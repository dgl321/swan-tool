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"/>
    </mc:Choice>
  </mc:AlternateContent>
  <xr:revisionPtr revIDLastSave="0" documentId="8_{F3D1C3E5-2871-461C-8AE0-1BF8EEF472B7}" xr6:coauthVersionLast="47" xr6:coauthVersionMax="47" xr10:uidLastSave="{00000000-0000-0000-0000-000000000000}"/>
  <bookViews>
    <workbookView xWindow="-120" yWindow="-120" windowWidth="51840" windowHeight="21120" xr2:uid="{122D2541-291F-4D65-8DBE-1641DBBC7D19}"/>
  </bookViews>
  <sheets>
    <sheet name="Setup" sheetId="1" r:id="rId1"/>
    <sheet name="DriftBuffers" sheetId="2" state="hidden" r:id="rId2"/>
    <sheet name="Runoff" sheetId="3" state="hidden" r:id="rId3"/>
    <sheet name="Mitigation details" sheetId="4" r:id="rId4"/>
    <sheet name="Crops" sheetId="8" state="hidden" r:id="rId5"/>
    <sheet name="Template" sheetId="7" state="hidden" r:id="rId6"/>
    <sheet name="main" sheetId="27" state="hidden" r:id="rId7"/>
    <sheet name="vd" sheetId="28" state="hidden" r:id="rId8"/>
    <sheet name="vd_24h_FOCUS" sheetId="29" state="hidden" r:id="rId9"/>
    <sheet name="drift_data" sheetId="45" state="hidden" r:id="rId10"/>
    <sheet name="vd_data" sheetId="40" state="hidden" r:id="rId11"/>
    <sheet name="applic_data" sheetId="41" state="hidden" r:id="rId12"/>
    <sheet name="report_table_data" sheetId="42" state="hidden" r:id="rId13"/>
    <sheet name="revision_table" sheetId="43" state="hidden" r:id="rId14"/>
    <sheet name="list_names" sheetId="44" state="hidden" r:id="rId15"/>
  </sheets>
  <definedNames>
    <definedName name="_xlnm._FilterDatabase" localSheetId="14" hidden="1">list_names!$A$1:$L$533</definedName>
    <definedName name="_xleta.ROUND" hidden="1" xlm="1">#NAME?</definedName>
    <definedName name="act_applic_rate">applic_data!$A$2:$L$2</definedName>
    <definedName name="act_factor">applic_data!$A$5:$L$5</definedName>
    <definedName name="act_interval_applic">applic_data!$A$8:$L$8</definedName>
    <definedName name="active_substance_product" localSheetId="6">main!$C$4</definedName>
    <definedName name="applic_rate">main!$C$9:$N$9</definedName>
    <definedName name="applic_rate_unit">main!$I$4</definedName>
    <definedName name="applic_rate_vd">vd!$C$18</definedName>
    <definedName name="applic_rate1">main!$C$9</definedName>
    <definedName name="cf_interc_study" localSheetId="7">vd!$C$43</definedName>
    <definedName name="col_zero" localSheetId="10">vd_data!$A:$A</definedName>
    <definedName name="compartment">main!$B$14</definedName>
    <definedName name="crit_drift_scenario" localSheetId="7">vd!$C$20</definedName>
    <definedName name="crop_interc_study" localSheetId="7">vd!$C$42</definedName>
    <definedName name="crop_interception" localSheetId="7">vd!$C$23</definedName>
    <definedName name="deg_amount_applic" localSheetId="11">applic_data!$A$15:$L$15</definedName>
    <definedName name="dep_5m" localSheetId="10">vd_data!$B$171</definedName>
    <definedName name="dep_5m_perc" localSheetId="10">vd_data!$B$173</definedName>
    <definedName name="dep_unit" localSheetId="8">vd_24h_FOCUS!$F$5</definedName>
    <definedName name="dist_matrix_final">main!$C$36:$C$40</definedName>
    <definedName name="drift_loss" localSheetId="10">vd_data!$A$121:$B$136</definedName>
    <definedName name="drift_percent_01m">#REF!</definedName>
    <definedName name="drift_percent_05m">#REF!</definedName>
    <definedName name="drift_percent_10m">#REF!</definedName>
    <definedName name="drift_percent_15m">#REF!</definedName>
    <definedName name="drift_percent_20m">#REF!</definedName>
    <definedName name="drift_percentile">#REF!</definedName>
    <definedName name="drift_red_index">main!$D$60:$D$64</definedName>
    <definedName name="drift_scenario_01m">drift_data!$A$13:$A$28</definedName>
    <definedName name="drift_scenario_05m">#REF!</definedName>
    <definedName name="drift_scenario_10m">#REF!</definedName>
    <definedName name="drift_scenario_15m">#REF!</definedName>
    <definedName name="drift_scenario_20m">#REF!</definedName>
    <definedName name="dt50_act_red">vd_data!$B$158</definedName>
    <definedName name="dt50_select_aqua" localSheetId="6">main!$E$19</definedName>
    <definedName name="dt50_select_terr" localSheetId="6">main!$E$19:$G$19</definedName>
    <definedName name="dt50_type" localSheetId="6">main!$B$20</definedName>
    <definedName name="dt50_value">main!$C$20</definedName>
    <definedName name="dt50_value_aqua" localSheetId="6">main!$E$19:$E$20</definedName>
    <definedName name="dt50_value_terr" localSheetId="6">main!$E$19:$G$21</definedName>
    <definedName name="f_accu_plat">#REF!</definedName>
    <definedName name="factor">main!$C$10:$N$10</definedName>
    <definedName name="factor1">main!$C$10</definedName>
    <definedName name="grnhouse_amount">vd!$C$30</definedName>
    <definedName name="grnhouse_area">vd!$C$26</definedName>
    <definedName name="grnhouse_area_default" localSheetId="7">vd!$D$26</definedName>
    <definedName name="grnhouse_area_user" localSheetId="7">vd!$E$26</definedName>
    <definedName name="grnhouse_dep_01m" localSheetId="10">vd_data!$B$176</definedName>
    <definedName name="grnhouse_dep_05m" localSheetId="10">vd_data!$B$177</definedName>
    <definedName name="grnhouse_dep_10m" localSheetId="10">vd_data!$B$178</definedName>
    <definedName name="grnhouse_dep_15m" localSheetId="10">vd_data!$B$179</definedName>
    <definedName name="grnhouse_dep_20m" localSheetId="10">vd_data!$B$180</definedName>
    <definedName name="grnhouse_exchange">vd!$C$28</definedName>
    <definedName name="grnhouse_exchange_default" localSheetId="7">vd!$D$28</definedName>
    <definedName name="grnhouse_exchange_user" localSheetId="7">vd!$E$28</definedName>
    <definedName name="grnhouse_f_air" localSheetId="10">vd_data!$B$163</definedName>
    <definedName name="grnhouse_q_em" localSheetId="10">vd_data!$B$167</definedName>
    <definedName name="grnhouse_q_em_act" localSheetId="10">vd_data!$B$168</definedName>
    <definedName name="grnhouse_vol">vd!$C$27</definedName>
    <definedName name="grnhouse_vol_default" localSheetId="7">vd!$D$27</definedName>
    <definedName name="grnhouse_vol_user" localSheetId="7">vd!$E$27</definedName>
    <definedName name="integration_factor" localSheetId="10">vd_data!$C$119:$S$119</definedName>
    <definedName name="intended_use" localSheetId="6">main!$C$5</definedName>
    <definedName name="interval_applic">main!$C$11:$N$11</definedName>
    <definedName name="interval_applic1">main!$C$11</definedName>
    <definedName name="k_deg">main!$C$21</definedName>
    <definedName name="k_deg_copy" localSheetId="11">applic_data!$A$11</definedName>
    <definedName name="k_deg_hour" localSheetId="10">vd_data!$B$150</definedName>
    <definedName name="logit_intercept">#REF!</definedName>
    <definedName name="logit_slope">#REF!</definedName>
    <definedName name="lower_bd_perc" localSheetId="9">drift_data!$Q$9</definedName>
    <definedName name="MAF_crit">applic_data!$A$18</definedName>
    <definedName name="MAF_crit_perc" localSheetId="9">drift_data!$O$9</definedName>
    <definedName name="matrix_rate_PEC_aqua_sed">report_table_data!$A$41:$C$47</definedName>
    <definedName name="matrix_rate_PEC_aqua_wat">report_table_data!$A$32:$C$38</definedName>
    <definedName name="matrix_rate_PEC_terr_">report_table_data!$A$50:$G$56</definedName>
    <definedName name="matrix_restriction">report_table_data!$A$59:$F$64</definedName>
    <definedName name="merged_cells" localSheetId="7">vd!$C$12:$E$13</definedName>
    <definedName name="mult_applic">main!$B$17</definedName>
    <definedName name="no_applic">main!$C$7</definedName>
    <definedName name="parameter">main!$B$24</definedName>
    <definedName name="peak_amount_01m">#REF!</definedName>
    <definedName name="peak_amount_applic" localSheetId="11">applic_data!$A$14:$L$14</definedName>
    <definedName name="peak_max_00p_01m">#REF!</definedName>
    <definedName name="peak_max_00p_05m">#REF!</definedName>
    <definedName name="peak_max_00p_10m">#REF!</definedName>
    <definedName name="peak_max_00p_15m">#REF!</definedName>
    <definedName name="peak_max_00p_20m">#REF!</definedName>
    <definedName name="peak_max_01m">#REF!</definedName>
    <definedName name="peak_max_05m">#REF!</definedName>
    <definedName name="peak_max_10m">#REF!</definedName>
    <definedName name="peak_max_15m">#REF!</definedName>
    <definedName name="peak_max_20m">#REF!</definedName>
    <definedName name="peak_max_50p_01m">#REF!</definedName>
    <definedName name="peak_max_50p_05m">#REF!</definedName>
    <definedName name="peak_max_50p_10m">#REF!</definedName>
    <definedName name="peak_max_50p_15m">#REF!</definedName>
    <definedName name="peak_max_50p_20m">#REF!</definedName>
    <definedName name="peak_max_75p_01m">#REF!</definedName>
    <definedName name="peak_max_75p_05m">#REF!</definedName>
    <definedName name="peak_max_75p_10m">#REF!</definedName>
    <definedName name="peak_max_75p_15m">#REF!</definedName>
    <definedName name="peak_max_75p_20m">#REF!</definedName>
    <definedName name="peak_max_90p_01m">#REF!</definedName>
    <definedName name="peak_max_90p_05m">#REF!</definedName>
    <definedName name="peak_max_90p_10m">#REF!</definedName>
    <definedName name="peak_max_90p_15m">#REF!</definedName>
    <definedName name="peak_max_90p_20m">#REF!</definedName>
    <definedName name="peak_single_crit">#REF!</definedName>
    <definedName name="PEC_matrix_final">main!$H$36:$K$40</definedName>
    <definedName name="PEC_unit">main!$I$24</definedName>
    <definedName name="perc_in_sed">#REF!</definedName>
    <definedName name="probit_intercept">#REF!</definedName>
    <definedName name="probit_slope">#REF!</definedName>
    <definedName name="prod_density">main!$K$4</definedName>
    <definedName name="rate_dep_factor" localSheetId="8">vd_24h_FOCUS!$I$5</definedName>
    <definedName name="reg_accept_conc" localSheetId="6">main!$F$45</definedName>
    <definedName name="rel_effect_value" localSheetId="6">main!$C$45</definedName>
    <definedName name="rel_HQ_criterion" localSheetId="6">main!$F$46</definedName>
    <definedName name="rel_TER_criterion" localSheetId="6">main!$C$46</definedName>
    <definedName name="report_doc" localSheetId="6">main!$I$28</definedName>
    <definedName name="report_table_content">report_table_data!$A$2:$D$8</definedName>
    <definedName name="report_table_type">report_table_data!$A$2:$D$2</definedName>
    <definedName name="risk_desc_type" localSheetId="6">main!$C$48</definedName>
    <definedName name="scenario_factor" localSheetId="6">main!$K$24</definedName>
    <definedName name="sed_density">#REF!</definedName>
    <definedName name="sed_layer">#REF!</definedName>
    <definedName name="select_applic_rate_unit">report_table_data!$A$16:$A$21</definedName>
    <definedName name="select_exp">report_table_data!$A$11:$A$12</definedName>
    <definedName name="select_fitting_approach">#REF!</definedName>
    <definedName name="select_int">report_table_data!$C$11:$C$12</definedName>
    <definedName name="select_parameter" localSheetId="6">main!$B$23</definedName>
    <definedName name="select_PEC_aqua_sed">report_table_data!$B$24:$B$25</definedName>
    <definedName name="select_PEC_aqua_wat">report_table_data!$A$24:$A$25</definedName>
    <definedName name="select_PEC_terr_">report_table_data!$C$24:$C$29</definedName>
    <definedName name="select_perc_type">main!$F$7</definedName>
    <definedName name="select_vd_applic_crit" localSheetId="7">vd!$C$15</definedName>
    <definedName name="select_vd_applic_eff">report_table_data!$B$67</definedName>
    <definedName name="select_vd_applic_res">report_table_data!$A$67:$A$69</definedName>
    <definedName name="select_vdf">report_table_data!$B$11:$B$13</definedName>
    <definedName name="single_applic_crit">#REF!</definedName>
    <definedName name="TER_final_01m" localSheetId="6">main!$H$52:$K$52</definedName>
    <definedName name="TER_final_05m" localSheetId="6">main!$H$53:$K$53</definedName>
    <definedName name="TER_final_10m" localSheetId="6">main!$H$54:$K$54</definedName>
    <definedName name="TER_final_15m" localSheetId="6">main!$H$55:$K$55</definedName>
    <definedName name="TER_final_20m" localSheetId="6">main!$H$56:$K$56</definedName>
    <definedName name="TER_matrix_final" localSheetId="6">main!$H$52:$K$56</definedName>
    <definedName name="twa_int_value">main!$E$24</definedName>
    <definedName name="twa_max_01m">#REF!</definedName>
    <definedName name="twa_max_05m">#REF!</definedName>
    <definedName name="twa_max_10m">#REF!</definedName>
    <definedName name="twa_max_15m">#REF!</definedName>
    <definedName name="twa_max_20m">#REF!</definedName>
    <definedName name="twa_single_crit">#REF!</definedName>
    <definedName name="twa_sum_01m">#REF!</definedName>
    <definedName name="upper_bd_perc" localSheetId="9">drift_data!$P$9</definedName>
    <definedName name="upplow_bd_perc" localSheetId="9">drift_data!$P$9:$Q$9</definedName>
    <definedName name="vapour_pressure_20">vd!$C$6</definedName>
    <definedName name="vapour_pressure_meas">vd!$C$4</definedName>
    <definedName name="vapour_pressure_temp">vd!$C$5</definedName>
    <definedName name="vd_applic_crit">vd!$C$16</definedName>
    <definedName name="vd_dynamics_arable" localSheetId="10">vd_data!$B$152:$Z$152</definedName>
    <definedName name="vd_dynamics_high" localSheetId="10">vd_data!$B$154:$Z$154</definedName>
    <definedName name="vd_dynamics_time" localSheetId="10">vd_data!$B$151:$Z$151</definedName>
    <definedName name="vd_limit_wat_sol">vd!$G$49:$G$53</definedName>
    <definedName name="vd_perc_final_01m">vd!$E$49</definedName>
    <definedName name="vd_perc_final_05m">vd!$E$50</definedName>
    <definedName name="vd_perc_final_10m">vd!$E$51</definedName>
    <definedName name="vd_perc_final_15m">vd!$E$52</definedName>
    <definedName name="vd_perc_final_20m">vd!$E$53</definedName>
    <definedName name="vd_percent_01m">vd_data!$A$34:$L$49</definedName>
    <definedName name="vd_percent_05m">vd_data!$A$50:$L$65</definedName>
    <definedName name="vd_percent_10m">vd_data!$A$66:$L$81</definedName>
    <definedName name="vd_percent_15m">vd_data!$A$82:$L$97</definedName>
    <definedName name="vd_percent_20m">vd_data!$A$98:$L$113</definedName>
    <definedName name="vd_percent_calc" localSheetId="7">vd!$F$34:$F$38</definedName>
    <definedName name="vd_percent_meas" localSheetId="7">vd!$F$41:$F$45</definedName>
    <definedName name="vd_rate_final">vd!$F$49:$F$53</definedName>
    <definedName name="vd_rate_final_01m">vd!$F$49</definedName>
    <definedName name="vd_rate_final_05m">vd!$F$50</definedName>
    <definedName name="vd_rate_final_10m">vd!$F$51</definedName>
    <definedName name="vd_rate_final_15m">vd!$F$52</definedName>
    <definedName name="vd_rate_final_20m">vd!$F$53</definedName>
    <definedName name="vd_rate_select" localSheetId="6">main!$B$51</definedName>
    <definedName name="vd_rate_select" localSheetId="7">vd!$B$48</definedName>
    <definedName name="volatility_class" localSheetId="10">vd_data!$E$33:$H$33</definedName>
    <definedName name="volatility_class_def">vd_data!$E$19:$H$22</definedName>
    <definedName name="water_solubility_20">vd!$C$9</definedName>
    <definedName name="water_solubility_20_sed">vd!$E$9</definedName>
    <definedName name="water_solubility_meas">vd!$C$7</definedName>
    <definedName name="water_solubility_temp">vd!$C$8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5" i="3"/>
  <c r="C4" i="28"/>
  <c r="C9" i="27" l="1"/>
  <c r="C7" i="27"/>
  <c r="A8" i="41" l="1"/>
  <c r="A2" i="41"/>
  <c r="C20" i="27"/>
  <c r="C20" i="28" l="1"/>
  <c r="E7" i="29" s="1"/>
  <c r="C10" i="27"/>
  <c r="C61" i="42" s="1" a="1"/>
  <c r="C61" i="42" s="1"/>
  <c r="B9" i="29" a="1"/>
  <c r="B19" i="29" s="1"/>
  <c r="A69" i="42"/>
  <c r="G56" i="42"/>
  <c r="F56" i="42"/>
  <c r="E56" i="42"/>
  <c r="D56" i="42"/>
  <c r="C56" i="42"/>
  <c r="B56" i="42"/>
  <c r="G55" i="42"/>
  <c r="F55" i="42"/>
  <c r="E55" i="42"/>
  <c r="D55" i="42"/>
  <c r="C55" i="42"/>
  <c r="B55" i="42"/>
  <c r="G54" i="42"/>
  <c r="F54" i="42"/>
  <c r="E54" i="42"/>
  <c r="D54" i="42"/>
  <c r="C54" i="42"/>
  <c r="B54" i="42"/>
  <c r="G53" i="42"/>
  <c r="F53" i="42"/>
  <c r="E53" i="42"/>
  <c r="D53" i="42"/>
  <c r="C53" i="42"/>
  <c r="B53" i="42"/>
  <c r="G52" i="42"/>
  <c r="F52" i="42"/>
  <c r="E52" i="42"/>
  <c r="D52" i="42"/>
  <c r="C52" i="42"/>
  <c r="B52" i="42"/>
  <c r="G51" i="42"/>
  <c r="F51" i="42"/>
  <c r="E51" i="42"/>
  <c r="D51" i="42"/>
  <c r="C51" i="42"/>
  <c r="B51" i="42"/>
  <c r="A51" i="42" a="1"/>
  <c r="A51" i="42" s="1"/>
  <c r="B50" i="42" a="1"/>
  <c r="B50" i="42" s="1"/>
  <c r="C45" i="42"/>
  <c r="A42" i="42" a="1"/>
  <c r="A47" i="42" s="1"/>
  <c r="C38" i="42"/>
  <c r="B38" i="42"/>
  <c r="C37" i="42"/>
  <c r="B37" i="42"/>
  <c r="C36" i="42"/>
  <c r="B36" i="42"/>
  <c r="C35" i="42"/>
  <c r="B35" i="42"/>
  <c r="C34" i="42"/>
  <c r="B34" i="42"/>
  <c r="C33" i="42"/>
  <c r="B33" i="42"/>
  <c r="A36" i="42"/>
  <c r="A33" i="42" a="1"/>
  <c r="A35" i="42" s="1"/>
  <c r="C24" i="42" a="1"/>
  <c r="C29" i="42" s="1"/>
  <c r="A5" i="41" a="1"/>
  <c r="C172" i="40"/>
  <c r="C168" i="40"/>
  <c r="C167" i="40"/>
  <c r="C165" i="40"/>
  <c r="Z154" i="40"/>
  <c r="Y154" i="40"/>
  <c r="X154" i="40"/>
  <c r="W154" i="40"/>
  <c r="V154" i="40"/>
  <c r="U154" i="40"/>
  <c r="T154" i="40"/>
  <c r="S154" i="40"/>
  <c r="R154" i="40"/>
  <c r="Q154" i="40"/>
  <c r="P154" i="40"/>
  <c r="O154" i="40"/>
  <c r="N154" i="40"/>
  <c r="M154" i="40"/>
  <c r="L154" i="40"/>
  <c r="K154" i="40"/>
  <c r="J154" i="40"/>
  <c r="I154" i="40"/>
  <c r="H154" i="40"/>
  <c r="G154" i="40"/>
  <c r="F154" i="40"/>
  <c r="E154" i="40"/>
  <c r="D154" i="40"/>
  <c r="C154" i="40"/>
  <c r="Z152" i="40"/>
  <c r="Y152" i="40"/>
  <c r="X152" i="40"/>
  <c r="W152" i="40"/>
  <c r="V152" i="40"/>
  <c r="U152" i="40"/>
  <c r="T152" i="40"/>
  <c r="S152" i="40"/>
  <c r="R152" i="40"/>
  <c r="Q152" i="40"/>
  <c r="P152" i="40"/>
  <c r="O152" i="40"/>
  <c r="N152" i="40"/>
  <c r="M152" i="40"/>
  <c r="L152" i="40"/>
  <c r="K152" i="40"/>
  <c r="J152" i="40"/>
  <c r="I152" i="40"/>
  <c r="H152" i="40"/>
  <c r="G152" i="40"/>
  <c r="F152" i="40"/>
  <c r="E152" i="40"/>
  <c r="D152" i="40"/>
  <c r="C152" i="40"/>
  <c r="B152" i="40"/>
  <c r="B136" i="40"/>
  <c r="B113" i="40" s="1"/>
  <c r="B135" i="40"/>
  <c r="B64" i="40" s="1"/>
  <c r="B134" i="40"/>
  <c r="B133" i="40"/>
  <c r="B94" i="40" s="1"/>
  <c r="B132" i="40"/>
  <c r="B93" i="40" s="1"/>
  <c r="B131" i="40"/>
  <c r="B76" i="40" s="1"/>
  <c r="B130" i="40"/>
  <c r="B75" i="40" s="1"/>
  <c r="B129" i="40"/>
  <c r="B90" i="40" s="1"/>
  <c r="B128" i="40"/>
  <c r="B89" i="40" s="1"/>
  <c r="B127" i="40"/>
  <c r="B72" i="40" s="1"/>
  <c r="B126" i="40"/>
  <c r="B71" i="40" s="1"/>
  <c r="B125" i="40"/>
  <c r="B54" i="40" s="1"/>
  <c r="B124" i="40"/>
  <c r="B69" i="40" s="1"/>
  <c r="B123" i="40"/>
  <c r="B68" i="40" s="1"/>
  <c r="B122" i="40"/>
  <c r="B121" i="40"/>
  <c r="B82" i="40" s="1"/>
  <c r="B110" i="40"/>
  <c r="B104" i="40"/>
  <c r="B102" i="40"/>
  <c r="B100" i="40"/>
  <c r="E98" i="40" a="1"/>
  <c r="H110" i="40" s="1"/>
  <c r="B98" i="40"/>
  <c r="B96" i="40"/>
  <c r="B95" i="40"/>
  <c r="B88" i="40"/>
  <c r="B87" i="40"/>
  <c r="B86" i="40"/>
  <c r="B84" i="40"/>
  <c r="B83" i="40"/>
  <c r="E82" i="40" a="1"/>
  <c r="G93" i="40" s="1"/>
  <c r="B81" i="40"/>
  <c r="B80" i="40"/>
  <c r="B78" i="40"/>
  <c r="B77" i="40"/>
  <c r="B70" i="40"/>
  <c r="E66" i="40" a="1"/>
  <c r="E76" i="40" s="1"/>
  <c r="B66" i="40"/>
  <c r="B65" i="40"/>
  <c r="B62" i="40"/>
  <c r="B61" i="40"/>
  <c r="B56" i="40"/>
  <c r="B55" i="40"/>
  <c r="E50" i="40" a="1"/>
  <c r="E64" i="40" s="1"/>
  <c r="B50" i="40"/>
  <c r="B46" i="40"/>
  <c r="B45" i="40"/>
  <c r="B41" i="40"/>
  <c r="B40" i="40"/>
  <c r="B39" i="40"/>
  <c r="B38" i="40"/>
  <c r="B36" i="40"/>
  <c r="E34" i="40" a="1"/>
  <c r="G47" i="40" s="1"/>
  <c r="B34" i="40"/>
  <c r="C44" i="42"/>
  <c r="F3" i="29"/>
  <c r="F48" i="28"/>
  <c r="C43" i="28"/>
  <c r="D30" i="28"/>
  <c r="C28" i="28"/>
  <c r="B166" i="40" s="1"/>
  <c r="C27" i="28"/>
  <c r="C26" i="28"/>
  <c r="E23" i="28"/>
  <c r="D18" i="28"/>
  <c r="D17" i="28"/>
  <c r="E16" i="28"/>
  <c r="E15" i="28"/>
  <c r="F9" i="28"/>
  <c r="E9" i="28"/>
  <c r="C9" i="28"/>
  <c r="D8" i="28"/>
  <c r="C6" i="28"/>
  <c r="H6" i="28" s="1"/>
  <c r="D5" i="28"/>
  <c r="B50" i="27"/>
  <c r="D48" i="27"/>
  <c r="E46" i="27"/>
  <c r="B46" i="27"/>
  <c r="G45" i="27"/>
  <c r="F45" i="27"/>
  <c r="E45" i="27"/>
  <c r="D45" i="27"/>
  <c r="G43" i="27"/>
  <c r="B34" i="27"/>
  <c r="C28" i="27"/>
  <c r="C27" i="27"/>
  <c r="D24" i="27"/>
  <c r="B23" i="27"/>
  <c r="G21" i="27"/>
  <c r="F21" i="27"/>
  <c r="E21" i="27"/>
  <c r="D21" i="27"/>
  <c r="G20" i="27"/>
  <c r="F20" i="27"/>
  <c r="G19" i="27"/>
  <c r="F19" i="27"/>
  <c r="E19" i="27"/>
  <c r="C17" i="27"/>
  <c r="C14" i="27"/>
  <c r="J4" i="27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48" i="2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" i="8"/>
  <c r="C30" i="27"/>
  <c r="C32" i="27"/>
  <c r="D37" i="27" l="1" a="1"/>
  <c r="D37" i="27" s="1"/>
  <c r="D38" i="27" a="1"/>
  <c r="D38" i="27" s="1"/>
  <c r="E61" i="42" a="1"/>
  <c r="E61" i="42" s="1"/>
  <c r="D40" i="27" a="1"/>
  <c r="D40" i="27" s="1"/>
  <c r="F61" i="42" a="1"/>
  <c r="F61" i="42" s="1"/>
  <c r="E62" i="42" a="1"/>
  <c r="E62" i="42" s="1"/>
  <c r="F5" i="41"/>
  <c r="E63" i="42" a="1"/>
  <c r="E63" i="42" s="1"/>
  <c r="F63" i="42" a="1"/>
  <c r="F63" i="42" s="1"/>
  <c r="F62" i="42" a="1"/>
  <c r="F62" i="42" s="1"/>
  <c r="D62" i="42" a="1"/>
  <c r="D62" i="42" s="1"/>
  <c r="D36" i="27" a="1"/>
  <c r="D36" i="27" s="1"/>
  <c r="H59" i="27" a="1"/>
  <c r="H59" i="27" s="1"/>
  <c r="D39" i="27" a="1"/>
  <c r="D39" i="27" s="1"/>
  <c r="H60" i="27" a="1"/>
  <c r="H60" i="27" s="1"/>
  <c r="H61" i="27" a="1"/>
  <c r="H61" i="27" s="1"/>
  <c r="H62" i="27" a="1"/>
  <c r="H62" i="27" s="1"/>
  <c r="F64" i="42" a="1"/>
  <c r="F64" i="42" s="1"/>
  <c r="C60" i="42" a="1"/>
  <c r="C60" i="42" s="1"/>
  <c r="D60" i="42" a="1"/>
  <c r="D60" i="42" s="1"/>
  <c r="E60" i="42" a="1"/>
  <c r="E60" i="42" s="1"/>
  <c r="F60" i="42" a="1"/>
  <c r="F60" i="42" s="1"/>
  <c r="B91" i="40"/>
  <c r="C50" i="42"/>
  <c r="D50" i="42"/>
  <c r="B101" i="40"/>
  <c r="B43" i="40"/>
  <c r="B103" i="40"/>
  <c r="B49" i="40"/>
  <c r="B112" i="40"/>
  <c r="B109" i="40"/>
  <c r="B37" i="40"/>
  <c r="B52" i="40"/>
  <c r="B85" i="40"/>
  <c r="B97" i="40"/>
  <c r="E50" i="42"/>
  <c r="B53" i="40"/>
  <c r="G50" i="42"/>
  <c r="B59" i="40"/>
  <c r="A33" i="42"/>
  <c r="B92" i="40"/>
  <c r="C38" i="27"/>
  <c r="C36" i="27" a="1"/>
  <c r="C36" i="27" s="1"/>
  <c r="C40" i="27"/>
  <c r="C39" i="27"/>
  <c r="C37" i="27" a="1"/>
  <c r="C37" i="27" s="1"/>
  <c r="C31" i="27"/>
  <c r="B48" i="40"/>
  <c r="B107" i="40"/>
  <c r="D61" i="42" a="1"/>
  <c r="D61" i="42" s="1"/>
  <c r="B45" i="42"/>
  <c r="H5" i="41"/>
  <c r="G5" i="41"/>
  <c r="G80" i="40"/>
  <c r="E85" i="40"/>
  <c r="E80" i="40"/>
  <c r="G83" i="40"/>
  <c r="G87" i="40"/>
  <c r="E68" i="40"/>
  <c r="H92" i="40"/>
  <c r="G68" i="40"/>
  <c r="E95" i="40"/>
  <c r="H69" i="40"/>
  <c r="G76" i="40"/>
  <c r="F70" i="40"/>
  <c r="H71" i="40"/>
  <c r="G72" i="40"/>
  <c r="H72" i="40"/>
  <c r="F76" i="40"/>
  <c r="B26" i="29"/>
  <c r="B12" i="29"/>
  <c r="B23" i="29"/>
  <c r="B18" i="29"/>
  <c r="B30" i="29"/>
  <c r="B16" i="29"/>
  <c r="B29" i="29"/>
  <c r="B28" i="29"/>
  <c r="B14" i="29"/>
  <c r="B27" i="29"/>
  <c r="B13" i="29"/>
  <c r="B25" i="29"/>
  <c r="B11" i="29"/>
  <c r="B24" i="29"/>
  <c r="B10" i="29"/>
  <c r="B22" i="29"/>
  <c r="B20" i="29"/>
  <c r="B32" i="29"/>
  <c r="B17" i="29"/>
  <c r="B15" i="29"/>
  <c r="G61" i="40"/>
  <c r="G77" i="40"/>
  <c r="B21" i="29"/>
  <c r="B9" i="29"/>
  <c r="G56" i="40"/>
  <c r="E60" i="40"/>
  <c r="G66" i="40"/>
  <c r="G78" i="40"/>
  <c r="H108" i="40"/>
  <c r="E58" i="40"/>
  <c r="H67" i="40"/>
  <c r="H79" i="40"/>
  <c r="G111" i="40"/>
  <c r="B31" i="29"/>
  <c r="G51" i="40"/>
  <c r="F52" i="40"/>
  <c r="E35" i="40"/>
  <c r="G43" i="40"/>
  <c r="H52" i="40"/>
  <c r="H61" i="40"/>
  <c r="I5" i="41"/>
  <c r="A37" i="42"/>
  <c r="B46" i="42"/>
  <c r="A54" i="42"/>
  <c r="G35" i="40"/>
  <c r="E44" i="40"/>
  <c r="G54" i="40"/>
  <c r="E62" i="40"/>
  <c r="G73" i="40"/>
  <c r="H87" i="40"/>
  <c r="H99" i="40"/>
  <c r="J5" i="41"/>
  <c r="A38" i="42"/>
  <c r="C46" i="42"/>
  <c r="H34" i="40"/>
  <c r="H42" i="40"/>
  <c r="G36" i="40"/>
  <c r="H45" i="40"/>
  <c r="H54" i="40"/>
  <c r="E63" i="40"/>
  <c r="E74" i="40"/>
  <c r="H88" i="40"/>
  <c r="G102" i="40"/>
  <c r="K5" i="41"/>
  <c r="B47" i="42"/>
  <c r="E37" i="40"/>
  <c r="E46" i="40"/>
  <c r="E55" i="40"/>
  <c r="H63" i="40"/>
  <c r="F91" i="40"/>
  <c r="H103" i="40"/>
  <c r="L5" i="41"/>
  <c r="A44" i="42"/>
  <c r="C47" i="42"/>
  <c r="G38" i="40"/>
  <c r="F46" i="40"/>
  <c r="H55" i="40"/>
  <c r="G91" i="40"/>
  <c r="G106" i="40"/>
  <c r="B42" i="42"/>
  <c r="G42" i="40"/>
  <c r="H38" i="40"/>
  <c r="E47" i="40"/>
  <c r="C42" i="42"/>
  <c r="E39" i="40"/>
  <c r="H47" i="40"/>
  <c r="B43" i="42"/>
  <c r="E40" i="40"/>
  <c r="F58" i="40"/>
  <c r="G95" i="40"/>
  <c r="H112" i="40"/>
  <c r="C25" i="42"/>
  <c r="C43" i="42"/>
  <c r="G40" i="40"/>
  <c r="H50" i="40"/>
  <c r="G58" i="40"/>
  <c r="C5" i="41"/>
  <c r="C28" i="42"/>
  <c r="B44" i="42"/>
  <c r="F50" i="42"/>
  <c r="E42" i="40"/>
  <c r="E51" i="40"/>
  <c r="G59" i="40"/>
  <c r="E83" i="40"/>
  <c r="Z158" i="40"/>
  <c r="Z148" i="40"/>
  <c r="B148" i="40"/>
  <c r="B149" i="40" s="1"/>
  <c r="B150" i="40" s="1"/>
  <c r="B50" i="28"/>
  <c r="C21" i="27"/>
  <c r="B51" i="28"/>
  <c r="B27" i="27"/>
  <c r="B28" i="27"/>
  <c r="C60" i="27" a="1"/>
  <c r="B32" i="27"/>
  <c r="B29" i="27"/>
  <c r="B163" i="40"/>
  <c r="C161" i="40"/>
  <c r="B161" i="40"/>
  <c r="E6" i="28"/>
  <c r="B30" i="27"/>
  <c r="B31" i="27"/>
  <c r="C52" i="27" a="1"/>
  <c r="B106" i="40"/>
  <c r="B74" i="40"/>
  <c r="B42" i="40"/>
  <c r="B58" i="40"/>
  <c r="B67" i="40"/>
  <c r="B99" i="40"/>
  <c r="B51" i="40"/>
  <c r="B35" i="40"/>
  <c r="B79" i="40"/>
  <c r="B47" i="40"/>
  <c r="B63" i="40"/>
  <c r="B111" i="40"/>
  <c r="H36" i="40"/>
  <c r="F40" i="40"/>
  <c r="H43" i="40"/>
  <c r="G52" i="40"/>
  <c r="E56" i="40"/>
  <c r="H59" i="40"/>
  <c r="G63" i="40"/>
  <c r="F78" i="40"/>
  <c r="F75" i="40"/>
  <c r="F72" i="40"/>
  <c r="F69" i="40"/>
  <c r="F66" i="40"/>
  <c r="E78" i="40"/>
  <c r="E75" i="40"/>
  <c r="E72" i="40"/>
  <c r="E69" i="40"/>
  <c r="E66" i="40"/>
  <c r="F80" i="40"/>
  <c r="F77" i="40"/>
  <c r="F74" i="40"/>
  <c r="F71" i="40"/>
  <c r="F68" i="40"/>
  <c r="E70" i="40"/>
  <c r="H73" i="40"/>
  <c r="H77" i="40"/>
  <c r="F85" i="40"/>
  <c r="E89" i="40"/>
  <c r="E100" i="40"/>
  <c r="E104" i="40"/>
  <c r="E109" i="40"/>
  <c r="C26" i="42"/>
  <c r="F96" i="40"/>
  <c r="F93" i="40"/>
  <c r="F90" i="40"/>
  <c r="F87" i="40"/>
  <c r="F84" i="40"/>
  <c r="E96" i="40"/>
  <c r="E93" i="40"/>
  <c r="E90" i="40"/>
  <c r="E87" i="40"/>
  <c r="E84" i="40"/>
  <c r="F95" i="40"/>
  <c r="F92" i="40"/>
  <c r="F89" i="40"/>
  <c r="F86" i="40"/>
  <c r="F83" i="40"/>
  <c r="G85" i="40"/>
  <c r="G89" i="40"/>
  <c r="H93" i="40"/>
  <c r="F100" i="40"/>
  <c r="H104" i="40"/>
  <c r="F109" i="40"/>
  <c r="C27" i="42"/>
  <c r="F48" i="40"/>
  <c r="F45" i="40"/>
  <c r="F42" i="40"/>
  <c r="F39" i="40"/>
  <c r="F36" i="40"/>
  <c r="F47" i="40"/>
  <c r="F44" i="40"/>
  <c r="F41" i="40"/>
  <c r="F38" i="40"/>
  <c r="F35" i="40"/>
  <c r="F37" i="40"/>
  <c r="H40" i="40"/>
  <c r="G44" i="40"/>
  <c r="E48" i="40"/>
  <c r="E53" i="40"/>
  <c r="H56" i="40"/>
  <c r="G60" i="40"/>
  <c r="H66" i="40"/>
  <c r="G70" i="40"/>
  <c r="G74" i="40"/>
  <c r="H78" i="40"/>
  <c r="E82" i="40"/>
  <c r="H85" i="40"/>
  <c r="H89" i="40"/>
  <c r="E94" i="40"/>
  <c r="G100" i="40"/>
  <c r="G105" i="40"/>
  <c r="G109" i="40"/>
  <c r="E34" i="40"/>
  <c r="G37" i="40"/>
  <c r="E41" i="40"/>
  <c r="H44" i="40"/>
  <c r="G48" i="40"/>
  <c r="F63" i="40"/>
  <c r="F60" i="40"/>
  <c r="F57" i="40"/>
  <c r="F54" i="40"/>
  <c r="F51" i="40"/>
  <c r="F62" i="40"/>
  <c r="F59" i="40"/>
  <c r="F56" i="40"/>
  <c r="F53" i="40"/>
  <c r="F50" i="40"/>
  <c r="G53" i="40"/>
  <c r="E57" i="40"/>
  <c r="H60" i="40"/>
  <c r="F64" i="40"/>
  <c r="E67" i="40"/>
  <c r="H70" i="40"/>
  <c r="H74" i="40"/>
  <c r="E79" i="40"/>
  <c r="F82" i="40"/>
  <c r="E86" i="40"/>
  <c r="G90" i="40"/>
  <c r="F94" i="40"/>
  <c r="H100" i="40"/>
  <c r="H105" i="40"/>
  <c r="H109" i="40"/>
  <c r="F34" i="40"/>
  <c r="H37" i="40"/>
  <c r="G41" i="40"/>
  <c r="E45" i="40"/>
  <c r="H48" i="40"/>
  <c r="B44" i="40"/>
  <c r="E50" i="40"/>
  <c r="H53" i="40"/>
  <c r="G57" i="40"/>
  <c r="E61" i="40"/>
  <c r="G64" i="40"/>
  <c r="F67" i="40"/>
  <c r="E71" i="40"/>
  <c r="G75" i="40"/>
  <c r="F79" i="40"/>
  <c r="G82" i="40"/>
  <c r="G86" i="40"/>
  <c r="H90" i="40"/>
  <c r="G94" i="40"/>
  <c r="E101" i="40"/>
  <c r="E106" i="40"/>
  <c r="E110" i="40"/>
  <c r="G34" i="40"/>
  <c r="E38" i="40"/>
  <c r="H41" i="40"/>
  <c r="G45" i="40"/>
  <c r="G50" i="40"/>
  <c r="E54" i="40"/>
  <c r="H57" i="40"/>
  <c r="F61" i="40"/>
  <c r="H64" i="40"/>
  <c r="G67" i="40"/>
  <c r="G71" i="40"/>
  <c r="H75" i="40"/>
  <c r="G79" i="40"/>
  <c r="H82" i="40"/>
  <c r="H86" i="40"/>
  <c r="E91" i="40"/>
  <c r="H94" i="40"/>
  <c r="H101" i="40"/>
  <c r="F106" i="40"/>
  <c r="B73" i="40"/>
  <c r="B105" i="40"/>
  <c r="B57" i="40"/>
  <c r="E5" i="41"/>
  <c r="D5" i="41"/>
  <c r="B5" i="41"/>
  <c r="A5" i="41"/>
  <c r="F111" i="40"/>
  <c r="F108" i="40"/>
  <c r="F105" i="40"/>
  <c r="F102" i="40"/>
  <c r="F99" i="40"/>
  <c r="E111" i="40"/>
  <c r="E108" i="40"/>
  <c r="E105" i="40"/>
  <c r="E102" i="40"/>
  <c r="E99" i="40"/>
  <c r="G110" i="40"/>
  <c r="G107" i="40"/>
  <c r="G104" i="40"/>
  <c r="G101" i="40"/>
  <c r="G98" i="40"/>
  <c r="F110" i="40"/>
  <c r="F107" i="40"/>
  <c r="F104" i="40"/>
  <c r="F101" i="40"/>
  <c r="F98" i="40"/>
  <c r="H102" i="40"/>
  <c r="H106" i="40"/>
  <c r="H111" i="40"/>
  <c r="A56" i="42"/>
  <c r="A55" i="42"/>
  <c r="A53" i="42"/>
  <c r="A52" i="42"/>
  <c r="H83" i="40"/>
  <c r="E88" i="40"/>
  <c r="H91" i="40"/>
  <c r="H95" i="40"/>
  <c r="E98" i="40"/>
  <c r="E103" i="40"/>
  <c r="E107" i="40"/>
  <c r="E112" i="40"/>
  <c r="B108" i="40"/>
  <c r="B60" i="40"/>
  <c r="A46" i="42"/>
  <c r="A45" i="42"/>
  <c r="H35" i="40"/>
  <c r="G39" i="40"/>
  <c r="E43" i="40"/>
  <c r="G46" i="40"/>
  <c r="H51" i="40"/>
  <c r="F55" i="40"/>
  <c r="H58" i="40"/>
  <c r="G62" i="40"/>
  <c r="H68" i="40"/>
  <c r="E73" i="40"/>
  <c r="H76" i="40"/>
  <c r="H80" i="40"/>
  <c r="G84" i="40"/>
  <c r="F88" i="40"/>
  <c r="E92" i="40"/>
  <c r="G96" i="40"/>
  <c r="H98" i="40"/>
  <c r="F103" i="40"/>
  <c r="H107" i="40"/>
  <c r="F112" i="40"/>
  <c r="C17" i="28"/>
  <c r="A42" i="42"/>
  <c r="E36" i="40"/>
  <c r="H39" i="40"/>
  <c r="F43" i="40"/>
  <c r="H46" i="40"/>
  <c r="E52" i="40"/>
  <c r="G55" i="40"/>
  <c r="E59" i="40"/>
  <c r="H62" i="40"/>
  <c r="G69" i="40"/>
  <c r="F73" i="40"/>
  <c r="E77" i="40"/>
  <c r="H84" i="40"/>
  <c r="G88" i="40"/>
  <c r="G92" i="40"/>
  <c r="H96" i="40"/>
  <c r="G99" i="40"/>
  <c r="G103" i="40"/>
  <c r="G108" i="40"/>
  <c r="G112" i="40"/>
  <c r="C24" i="42"/>
  <c r="A43" i="42"/>
  <c r="A34" i="42"/>
  <c r="K24" i="27"/>
  <c r="I5" i="29" l="1"/>
  <c r="K66" i="40" a="1"/>
  <c r="K74" i="40" s="1"/>
  <c r="K98" i="40" a="1"/>
  <c r="K100" i="40" s="1"/>
  <c r="C9" i="29" a="1"/>
  <c r="C12" i="29" s="1"/>
  <c r="A14" i="41" a="1"/>
  <c r="A14" i="41" s="1"/>
  <c r="K72" i="40"/>
  <c r="K66" i="40"/>
  <c r="L77" i="40"/>
  <c r="L71" i="40"/>
  <c r="K76" i="40"/>
  <c r="K70" i="40"/>
  <c r="L80" i="40"/>
  <c r="K73" i="40"/>
  <c r="L72" i="40"/>
  <c r="K79" i="40"/>
  <c r="L70" i="40"/>
  <c r="L78" i="40"/>
  <c r="L69" i="40"/>
  <c r="K77" i="40"/>
  <c r="L75" i="40"/>
  <c r="K68" i="40"/>
  <c r="K75" i="40"/>
  <c r="L67" i="40"/>
  <c r="L79" i="40"/>
  <c r="L74" i="40"/>
  <c r="K71" i="40"/>
  <c r="K67" i="40"/>
  <c r="C55" i="27"/>
  <c r="C56" i="27"/>
  <c r="C54" i="27"/>
  <c r="C53" i="27"/>
  <c r="C52" i="27"/>
  <c r="C61" i="27"/>
  <c r="C60" i="27"/>
  <c r="C64" i="27"/>
  <c r="C63" i="27"/>
  <c r="C62" i="27"/>
  <c r="K50" i="40" a="1"/>
  <c r="K34" i="40" a="1"/>
  <c r="K112" i="40"/>
  <c r="L105" i="40"/>
  <c r="L99" i="40"/>
  <c r="L110" i="40"/>
  <c r="L104" i="40"/>
  <c r="L98" i="40"/>
  <c r="K110" i="40"/>
  <c r="K104" i="40"/>
  <c r="K98" i="40"/>
  <c r="L106" i="40"/>
  <c r="K105" i="40"/>
  <c r="K102" i="40"/>
  <c r="L109" i="40"/>
  <c r="L101" i="40"/>
  <c r="K109" i="40"/>
  <c r="K101" i="40"/>
  <c r="L108" i="40"/>
  <c r="L100" i="40"/>
  <c r="K108" i="40"/>
  <c r="K99" i="40"/>
  <c r="L112" i="40"/>
  <c r="C153" i="40"/>
  <c r="C155" i="40"/>
  <c r="K82" i="40" a="1"/>
  <c r="K80" i="40" l="1"/>
  <c r="K78" i="40"/>
  <c r="L68" i="40"/>
  <c r="L73" i="40"/>
  <c r="L102" i="40"/>
  <c r="K111" i="40"/>
  <c r="L111" i="40"/>
  <c r="L76" i="40"/>
  <c r="L66" i="40"/>
  <c r="K107" i="40"/>
  <c r="K103" i="40"/>
  <c r="K106" i="40"/>
  <c r="K69" i="40"/>
  <c r="L107" i="40"/>
  <c r="L103" i="40"/>
  <c r="D37" i="28"/>
  <c r="C8" i="29"/>
  <c r="C18" i="28"/>
  <c r="C30" i="28" s="1"/>
  <c r="B165" i="40" s="1"/>
  <c r="I7" i="29"/>
  <c r="C36" i="28"/>
  <c r="E43" i="28"/>
  <c r="B4" i="29"/>
  <c r="C35" i="28"/>
  <c r="E44" i="28"/>
  <c r="D49" i="28"/>
  <c r="D50" i="28"/>
  <c r="D38" i="28"/>
  <c r="C22" i="29"/>
  <c r="D51" i="28"/>
  <c r="C21" i="29"/>
  <c r="C9" i="29"/>
  <c r="C16" i="29"/>
  <c r="D52" i="28"/>
  <c r="C26" i="29"/>
  <c r="D36" i="28"/>
  <c r="C38" i="28"/>
  <c r="C20" i="29"/>
  <c r="G7" i="29"/>
  <c r="E41" i="28"/>
  <c r="F7" i="29"/>
  <c r="C15" i="29"/>
  <c r="C31" i="29"/>
  <c r="D53" i="28"/>
  <c r="C34" i="28"/>
  <c r="C37" i="28"/>
  <c r="C19" i="29"/>
  <c r="D34" i="28"/>
  <c r="H7" i="29"/>
  <c r="B3" i="29"/>
  <c r="C25" i="29"/>
  <c r="E45" i="28"/>
  <c r="E42" i="28"/>
  <c r="C30" i="29"/>
  <c r="C13" i="29"/>
  <c r="D35" i="28"/>
  <c r="E18" i="28"/>
  <c r="C18" i="29"/>
  <c r="C28" i="29"/>
  <c r="C10" i="29"/>
  <c r="C29" i="29"/>
  <c r="C23" i="29"/>
  <c r="C17" i="29"/>
  <c r="C11" i="29"/>
  <c r="C27" i="29"/>
  <c r="C14" i="29"/>
  <c r="C24" i="29"/>
  <c r="C32" i="29"/>
  <c r="E36" i="28"/>
  <c r="E38" i="28"/>
  <c r="K44" i="40"/>
  <c r="K38" i="40"/>
  <c r="K48" i="40"/>
  <c r="K42" i="40"/>
  <c r="K36" i="40"/>
  <c r="L43" i="40"/>
  <c r="L36" i="40"/>
  <c r="K43" i="40"/>
  <c r="L35" i="40"/>
  <c r="L42" i="40"/>
  <c r="K35" i="40"/>
  <c r="L41" i="40"/>
  <c r="L34" i="40"/>
  <c r="L47" i="40"/>
  <c r="L40" i="40"/>
  <c r="K47" i="40"/>
  <c r="K40" i="40"/>
  <c r="L46" i="40"/>
  <c r="L39" i="40"/>
  <c r="K46" i="40"/>
  <c r="K39" i="40"/>
  <c r="L45" i="40"/>
  <c r="L38" i="40"/>
  <c r="K45" i="40"/>
  <c r="L37" i="40"/>
  <c r="L48" i="40"/>
  <c r="L44" i="40"/>
  <c r="K41" i="40"/>
  <c r="K37" i="40"/>
  <c r="K34" i="40"/>
  <c r="K64" i="40"/>
  <c r="K58" i="40"/>
  <c r="K52" i="40"/>
  <c r="K62" i="40"/>
  <c r="K56" i="40"/>
  <c r="K50" i="40"/>
  <c r="L59" i="40"/>
  <c r="L52" i="40"/>
  <c r="K59" i="40"/>
  <c r="L51" i="40"/>
  <c r="L58" i="40"/>
  <c r="K51" i="40"/>
  <c r="L57" i="40"/>
  <c r="L50" i="40"/>
  <c r="L63" i="40"/>
  <c r="L56" i="40"/>
  <c r="K63" i="40"/>
  <c r="L55" i="40"/>
  <c r="L62" i="40"/>
  <c r="K55" i="40"/>
  <c r="L61" i="40"/>
  <c r="L54" i="40"/>
  <c r="K61" i="40"/>
  <c r="K54" i="40"/>
  <c r="L60" i="40"/>
  <c r="L53" i="40"/>
  <c r="L64" i="40"/>
  <c r="K60" i="40"/>
  <c r="K57" i="40"/>
  <c r="K53" i="40"/>
  <c r="K92" i="40"/>
  <c r="K86" i="40"/>
  <c r="L91" i="40"/>
  <c r="L85" i="40"/>
  <c r="K96" i="40"/>
  <c r="K90" i="40"/>
  <c r="K84" i="40"/>
  <c r="L96" i="40"/>
  <c r="L88" i="40"/>
  <c r="L95" i="40"/>
  <c r="K88" i="40"/>
  <c r="K95" i="40"/>
  <c r="L87" i="40"/>
  <c r="L94" i="40"/>
  <c r="K87" i="40"/>
  <c r="L93" i="40"/>
  <c r="K85" i="40"/>
  <c r="K93" i="40"/>
  <c r="L84" i="40"/>
  <c r="L92" i="40"/>
  <c r="L83" i="40"/>
  <c r="K91" i="40"/>
  <c r="K83" i="40"/>
  <c r="L90" i="40"/>
  <c r="L82" i="40"/>
  <c r="L89" i="40"/>
  <c r="K82" i="40"/>
  <c r="K94" i="40"/>
  <c r="K89" i="40"/>
  <c r="L86" i="40"/>
  <c r="D153" i="40"/>
  <c r="E153" i="40" s="1"/>
  <c r="F153" i="40" s="1"/>
  <c r="G153" i="40" s="1"/>
  <c r="H153" i="40" s="1"/>
  <c r="I153" i="40" s="1"/>
  <c r="J153" i="40" s="1"/>
  <c r="K153" i="40" s="1"/>
  <c r="L153" i="40" s="1"/>
  <c r="M153" i="40" s="1"/>
  <c r="N153" i="40" s="1"/>
  <c r="O153" i="40" s="1"/>
  <c r="P153" i="40" s="1"/>
  <c r="Q153" i="40" s="1"/>
  <c r="R153" i="40" s="1"/>
  <c r="S153" i="40" s="1"/>
  <c r="T153" i="40" s="1"/>
  <c r="U153" i="40" s="1"/>
  <c r="V153" i="40" s="1"/>
  <c r="W153" i="40" s="1"/>
  <c r="X153" i="40" s="1"/>
  <c r="Y153" i="40" s="1"/>
  <c r="Z153" i="40" s="1"/>
  <c r="D155" i="40"/>
  <c r="E155" i="40" s="1"/>
  <c r="F155" i="40" s="1"/>
  <c r="G155" i="40" s="1"/>
  <c r="H155" i="40" s="1"/>
  <c r="I155" i="40" s="1"/>
  <c r="J155" i="40" s="1"/>
  <c r="K155" i="40" s="1"/>
  <c r="L155" i="40" s="1"/>
  <c r="M155" i="40" s="1"/>
  <c r="N155" i="40" s="1"/>
  <c r="O155" i="40" s="1"/>
  <c r="P155" i="40" s="1"/>
  <c r="Q155" i="40" s="1"/>
  <c r="R155" i="40" s="1"/>
  <c r="S155" i="40" s="1"/>
  <c r="T155" i="40" s="1"/>
  <c r="U155" i="40" s="1"/>
  <c r="V155" i="40" s="1"/>
  <c r="W155" i="40" s="1"/>
  <c r="X155" i="40" s="1"/>
  <c r="Y155" i="40" s="1"/>
  <c r="Z155" i="40" s="1"/>
  <c r="F38" i="28" l="1"/>
  <c r="C33" i="29"/>
  <c r="F36" i="28"/>
  <c r="E35" i="28"/>
  <c r="F35" i="28" s="1"/>
  <c r="E34" i="28"/>
  <c r="F34" i="28" s="1"/>
  <c r="E37" i="28"/>
  <c r="F37" i="28" s="1"/>
  <c r="B167" i="40"/>
  <c r="B169" i="40" s="1"/>
  <c r="B156" i="40"/>
  <c r="B157" i="40"/>
  <c r="B168" i="40" l="1"/>
  <c r="B171" i="40" s="1"/>
  <c r="B173" i="40" s="1"/>
  <c r="B158" i="40"/>
  <c r="B172" i="40" l="1"/>
  <c r="B180" i="40"/>
  <c r="B177" i="40"/>
  <c r="B176" i="40"/>
  <c r="B179" i="40"/>
  <c r="B178" i="40"/>
  <c r="H97" i="40" l="1"/>
  <c r="G97" i="40"/>
  <c r="L97" i="40"/>
  <c r="K97" i="40"/>
  <c r="G49" i="40"/>
  <c r="H49" i="40"/>
  <c r="L49" i="40"/>
  <c r="K49" i="40"/>
  <c r="G113" i="40"/>
  <c r="L113" i="40"/>
  <c r="H113" i="40"/>
  <c r="K113" i="40"/>
  <c r="K81" i="40"/>
  <c r="G81" i="40"/>
  <c r="H81" i="40"/>
  <c r="L81" i="40"/>
  <c r="H65" i="40"/>
  <c r="G65" i="40"/>
  <c r="L65" i="40"/>
  <c r="K65" i="40"/>
  <c r="A11" i="41" l="1"/>
  <c r="E39" i="27" l="1"/>
  <c r="E37" i="27"/>
  <c r="E38" i="27"/>
  <c r="E40" i="27"/>
  <c r="E36" i="27"/>
  <c r="I36" i="27" l="1" a="1"/>
  <c r="I36" i="27" s="1"/>
  <c r="K39" i="27" a="1"/>
  <c r="K39" i="27" s="1"/>
  <c r="I39" i="27" a="1"/>
  <c r="I39" i="27" s="1"/>
  <c r="H40" i="27"/>
  <c r="J38" i="27" a="1"/>
  <c r="J38" i="27" s="1"/>
  <c r="H39" i="27"/>
  <c r="H38" i="27"/>
  <c r="I38" i="27" l="1" a="1"/>
  <c r="I38" i="27" s="1"/>
  <c r="I20" i="27"/>
  <c r="H36" i="27"/>
  <c r="J36" i="27" a="1"/>
  <c r="J36" i="27" s="1"/>
  <c r="K36" i="27" a="1"/>
  <c r="K36" i="27" s="1"/>
  <c r="J40" i="27" a="1"/>
  <c r="J40" i="27" s="1"/>
  <c r="H37" i="27"/>
  <c r="I37" i="27" a="1"/>
  <c r="I37" i="27" s="1"/>
  <c r="K38" i="27" l="1" a="1"/>
  <c r="K38" i="27" s="1"/>
  <c r="K40" i="27" a="1"/>
  <c r="K40" i="27" s="1"/>
  <c r="J37" i="27" a="1"/>
  <c r="J37" i="27" s="1"/>
  <c r="K37" i="27" a="1"/>
  <c r="K37" i="27" s="1"/>
  <c r="J39" i="27" a="1"/>
  <c r="J39" i="27" s="1"/>
  <c r="I40" i="27" a="1"/>
  <c r="I40" i="27" s="1"/>
  <c r="E8" i="29" a="1"/>
  <c r="H52" i="27" l="1" a="1"/>
  <c r="H52" i="27" s="1"/>
  <c r="H67" i="27" s="1" a="1"/>
  <c r="H67" i="27" s="1"/>
  <c r="E8" i="29"/>
  <c r="H8" i="29"/>
  <c r="I8" i="29"/>
  <c r="G8" i="29"/>
  <c r="F8" i="29"/>
  <c r="H55" i="27" l="1"/>
  <c r="D63" i="27" s="1" a="1"/>
  <c r="D63" i="27" s="1"/>
  <c r="E63" i="27" s="1"/>
  <c r="H54" i="27"/>
  <c r="D62" i="27" s="1" a="1"/>
  <c r="D62" i="27" s="1"/>
  <c r="E62" i="27" s="1"/>
  <c r="K55" i="27"/>
  <c r="D60" i="27" a="1"/>
  <c r="D60" i="27" s="1"/>
  <c r="E60" i="27" s="1"/>
  <c r="J54" i="27"/>
  <c r="K52" i="27"/>
  <c r="K67" i="27" s="1"/>
  <c r="I55" i="27"/>
  <c r="K54" i="27"/>
  <c r="I52" i="27"/>
  <c r="I67" i="27" s="1"/>
  <c r="H53" i="27"/>
  <c r="D61" i="27" s="1" a="1"/>
  <c r="D61" i="27" s="1"/>
  <c r="E61" i="27" s="1"/>
  <c r="J52" i="27"/>
  <c r="J67" i="27" s="1"/>
  <c r="J53" i="27"/>
  <c r="J56" i="27"/>
  <c r="K56" i="27"/>
  <c r="I53" i="27"/>
  <c r="K53" i="27"/>
  <c r="I54" i="27"/>
  <c r="J55" i="27"/>
  <c r="H56" i="27"/>
  <c r="D64" i="27" s="1" a="1"/>
  <c r="D64" i="27" s="1"/>
  <c r="E64" i="27" s="1"/>
  <c r="I56" i="27"/>
  <c r="E9" i="29" a="1"/>
  <c r="I30" i="29" s="1"/>
  <c r="H64" i="27" l="1"/>
  <c r="E20" i="29"/>
  <c r="I20" i="29"/>
  <c r="G19" i="29"/>
  <c r="G27" i="29"/>
  <c r="E17" i="29"/>
  <c r="H21" i="29"/>
  <c r="E28" i="29"/>
  <c r="F20" i="29"/>
  <c r="I18" i="29"/>
  <c r="E25" i="29"/>
  <c r="I13" i="29"/>
  <c r="I21" i="29"/>
  <c r="I31" i="29"/>
  <c r="I28" i="29"/>
  <c r="F31" i="29"/>
  <c r="G26" i="29"/>
  <c r="I16" i="29"/>
  <c r="I22" i="29"/>
  <c r="H25" i="29"/>
  <c r="E10" i="29"/>
  <c r="H28" i="29"/>
  <c r="H29" i="29"/>
  <c r="H15" i="29"/>
  <c r="G25" i="29"/>
  <c r="G32" i="29"/>
  <c r="E11" i="29"/>
  <c r="G17" i="29"/>
  <c r="H32" i="29"/>
  <c r="E21" i="29"/>
  <c r="G31" i="29"/>
  <c r="G23" i="29"/>
  <c r="H9" i="29"/>
  <c r="F28" i="29"/>
  <c r="E15" i="29"/>
  <c r="G28" i="29"/>
  <c r="I11" i="29"/>
  <c r="E30" i="29"/>
  <c r="I25" i="29"/>
  <c r="E27" i="29"/>
  <c r="I26" i="29"/>
  <c r="H10" i="29"/>
  <c r="H31" i="29"/>
  <c r="E16" i="29"/>
  <c r="H23" i="29"/>
  <c r="E19" i="29"/>
  <c r="I14" i="29"/>
  <c r="E14" i="29"/>
  <c r="H17" i="29"/>
  <c r="F32" i="29"/>
  <c r="G10" i="29"/>
  <c r="F13" i="29"/>
  <c r="E23" i="29"/>
  <c r="G30" i="29"/>
  <c r="H11" i="29"/>
  <c r="I29" i="29"/>
  <c r="G21" i="29"/>
  <c r="F17" i="29"/>
  <c r="H19" i="29"/>
  <c r="G14" i="29"/>
  <c r="G18" i="29"/>
  <c r="G29" i="29"/>
  <c r="E31" i="29"/>
  <c r="F22" i="29"/>
  <c r="F24" i="29"/>
  <c r="G13" i="29"/>
  <c r="E18" i="29"/>
  <c r="E22" i="29"/>
  <c r="E32" i="29"/>
  <c r="H30" i="29"/>
  <c r="F15" i="29"/>
  <c r="G9" i="29"/>
  <c r="G16" i="29"/>
  <c r="H26" i="29"/>
  <c r="H14" i="29"/>
  <c r="F23" i="29"/>
  <c r="F9" i="29"/>
  <c r="G15" i="29"/>
  <c r="H13" i="29"/>
  <c r="F18" i="29"/>
  <c r="H12" i="29"/>
  <c r="G12" i="29"/>
  <c r="H18" i="29"/>
  <c r="F27" i="29"/>
  <c r="H24" i="29"/>
  <c r="E13" i="29"/>
  <c r="E29" i="29"/>
  <c r="E24" i="29"/>
  <c r="I9" i="29"/>
  <c r="I19" i="29"/>
  <c r="I32" i="29"/>
  <c r="F30" i="29"/>
  <c r="E9" i="29"/>
  <c r="H16" i="29"/>
  <c r="I12" i="29"/>
  <c r="H27" i="29"/>
  <c r="I17" i="29"/>
  <c r="F21" i="29"/>
  <c r="G11" i="29"/>
  <c r="I27" i="29"/>
  <c r="I23" i="29"/>
  <c r="F25" i="29"/>
  <c r="F19" i="29"/>
  <c r="F11" i="29"/>
  <c r="I10" i="29"/>
  <c r="G20" i="29"/>
  <c r="I24" i="29"/>
  <c r="E26" i="29"/>
  <c r="G24" i="29"/>
  <c r="F12" i="29"/>
  <c r="F29" i="29"/>
  <c r="H20" i="29"/>
  <c r="F16" i="29"/>
  <c r="E12" i="29"/>
  <c r="F14" i="29"/>
  <c r="F26" i="29"/>
  <c r="H22" i="29"/>
  <c r="I15" i="29"/>
  <c r="F10" i="29"/>
  <c r="G22" i="29"/>
  <c r="P9" i="29" l="1"/>
  <c r="Q9" i="29"/>
  <c r="R9" i="29"/>
  <c r="S9" i="29"/>
  <c r="T9" i="29"/>
  <c r="U9" i="29"/>
  <c r="V9" i="29"/>
  <c r="W9" i="29"/>
  <c r="T32" i="29"/>
  <c r="U32" i="29"/>
  <c r="V32" i="29"/>
  <c r="P32" i="29"/>
  <c r="W32" i="29"/>
  <c r="S32" i="29"/>
  <c r="R32" i="29"/>
  <c r="Q32" i="29"/>
  <c r="R10" i="29"/>
  <c r="S10" i="29"/>
  <c r="T10" i="29"/>
  <c r="U10" i="29"/>
  <c r="Q10" i="29"/>
  <c r="V10" i="29"/>
  <c r="P10" i="29"/>
  <c r="W10" i="29"/>
  <c r="V28" i="29"/>
  <c r="Q28" i="29"/>
  <c r="R28" i="29"/>
  <c r="P28" i="29"/>
  <c r="W28" i="29"/>
  <c r="S28" i="29"/>
  <c r="T28" i="29"/>
  <c r="U28" i="29"/>
  <c r="Q26" i="29"/>
  <c r="R26" i="29"/>
  <c r="S26" i="29"/>
  <c r="T26" i="29"/>
  <c r="U26" i="29"/>
  <c r="V26" i="29"/>
  <c r="P26" i="29"/>
  <c r="W26" i="29"/>
  <c r="S15" i="29"/>
  <c r="T15" i="29"/>
  <c r="U15" i="29"/>
  <c r="V15" i="29"/>
  <c r="W15" i="29"/>
  <c r="Q15" i="29"/>
  <c r="P15" i="29"/>
  <c r="R15" i="29"/>
  <c r="Q17" i="29"/>
  <c r="R17" i="29"/>
  <c r="S17" i="29"/>
  <c r="T17" i="29"/>
  <c r="U17" i="29"/>
  <c r="V17" i="29"/>
  <c r="W17" i="29"/>
  <c r="P17" i="29"/>
  <c r="R22" i="29"/>
  <c r="S22" i="29"/>
  <c r="T22" i="29"/>
  <c r="U22" i="29"/>
  <c r="V22" i="29"/>
  <c r="P22" i="29"/>
  <c r="W22" i="29"/>
  <c r="Q22" i="29"/>
  <c r="U25" i="29"/>
  <c r="V25" i="29"/>
  <c r="S25" i="29"/>
  <c r="W25" i="29"/>
  <c r="P25" i="29"/>
  <c r="Q25" i="29"/>
  <c r="T25" i="29"/>
  <c r="R25" i="29"/>
  <c r="P16" i="29"/>
  <c r="Q16" i="29"/>
  <c r="R16" i="29"/>
  <c r="S16" i="29"/>
  <c r="T16" i="29"/>
  <c r="V16" i="29"/>
  <c r="W16" i="29"/>
  <c r="U16" i="29"/>
  <c r="W21" i="29"/>
  <c r="P21" i="29"/>
  <c r="Q21" i="29"/>
  <c r="R21" i="29"/>
  <c r="S21" i="29"/>
  <c r="T21" i="29"/>
  <c r="U21" i="29"/>
  <c r="V21" i="29"/>
  <c r="S27" i="29"/>
  <c r="T27" i="29"/>
  <c r="U27" i="29"/>
  <c r="V27" i="29"/>
  <c r="W27" i="29"/>
  <c r="R27" i="29"/>
  <c r="Q27" i="29"/>
  <c r="P27" i="29"/>
  <c r="Q29" i="29"/>
  <c r="R29" i="29"/>
  <c r="S29" i="29"/>
  <c r="T29" i="29"/>
  <c r="U29" i="29"/>
  <c r="V29" i="29"/>
  <c r="W29" i="29"/>
  <c r="P29" i="29"/>
  <c r="P31" i="29"/>
  <c r="Q31" i="29"/>
  <c r="R31" i="29"/>
  <c r="S31" i="29"/>
  <c r="T31" i="29"/>
  <c r="U31" i="29"/>
  <c r="V31" i="29"/>
  <c r="W31" i="29"/>
  <c r="W11" i="29"/>
  <c r="P11" i="29"/>
  <c r="Q11" i="29"/>
  <c r="R11" i="29"/>
  <c r="V11" i="29"/>
  <c r="S11" i="29"/>
  <c r="T11" i="29"/>
  <c r="U11" i="29"/>
  <c r="Q14" i="29"/>
  <c r="R14" i="29"/>
  <c r="S14" i="29"/>
  <c r="T14" i="29"/>
  <c r="U14" i="29"/>
  <c r="V14" i="29"/>
  <c r="P14" i="29"/>
  <c r="W14" i="29"/>
  <c r="P19" i="29"/>
  <c r="Q19" i="29"/>
  <c r="R19" i="29"/>
  <c r="S19" i="29"/>
  <c r="T19" i="29"/>
  <c r="U19" i="29"/>
  <c r="V19" i="29"/>
  <c r="W19" i="29"/>
  <c r="V18" i="29"/>
  <c r="P18" i="29"/>
  <c r="W18" i="29"/>
  <c r="U18" i="29"/>
  <c r="T18" i="29"/>
  <c r="Q18" i="29"/>
  <c r="R18" i="29"/>
  <c r="S18" i="29"/>
  <c r="Q12" i="29"/>
  <c r="R12" i="29"/>
  <c r="S12" i="29"/>
  <c r="T12" i="29"/>
  <c r="U12" i="29"/>
  <c r="V12" i="29"/>
  <c r="P12" i="29"/>
  <c r="W12" i="29"/>
  <c r="W23" i="29"/>
  <c r="U23" i="29"/>
  <c r="P23" i="29"/>
  <c r="Q23" i="29"/>
  <c r="R23" i="29"/>
  <c r="V23" i="29"/>
  <c r="S23" i="29"/>
  <c r="T23" i="29"/>
  <c r="Q24" i="29"/>
  <c r="R24" i="29"/>
  <c r="S24" i="29"/>
  <c r="T24" i="29"/>
  <c r="U24" i="29"/>
  <c r="V24" i="29"/>
  <c r="P24" i="29"/>
  <c r="W24" i="29"/>
  <c r="U13" i="29"/>
  <c r="V13" i="29"/>
  <c r="T13" i="29"/>
  <c r="W13" i="29"/>
  <c r="P13" i="29"/>
  <c r="S13" i="29"/>
  <c r="Q13" i="29"/>
  <c r="R13" i="29"/>
  <c r="V30" i="29"/>
  <c r="P30" i="29"/>
  <c r="W30" i="29"/>
  <c r="U30" i="29"/>
  <c r="Q30" i="29"/>
  <c r="R30" i="29"/>
  <c r="S30" i="29"/>
  <c r="T30" i="29"/>
  <c r="T20" i="29"/>
  <c r="U20" i="29"/>
  <c r="V20" i="29"/>
  <c r="P20" i="29"/>
  <c r="W20" i="29"/>
  <c r="R20" i="29"/>
  <c r="S20" i="29"/>
  <c r="Q20" i="29"/>
  <c r="H33" i="29"/>
  <c r="G33" i="29"/>
  <c r="E33" i="29"/>
  <c r="F33" i="29"/>
  <c r="I33" i="29"/>
  <c r="E49" i="28" a="1"/>
  <c r="G49" i="28" a="1"/>
  <c r="F49" i="28" a="1"/>
  <c r="E51" i="28" l="1"/>
  <c r="F38" i="27" s="1"/>
  <c r="E52" i="28"/>
  <c r="F39" i="27" s="1"/>
  <c r="E50" i="28"/>
  <c r="F37" i="27" s="1"/>
  <c r="E49" i="28"/>
  <c r="F36" i="27" s="1"/>
  <c r="E53" i="28"/>
  <c r="F40" i="27" s="1"/>
  <c r="G52" i="28"/>
  <c r="G49" i="28"/>
  <c r="G53" i="28"/>
  <c r="G51" i="28"/>
  <c r="G50" i="28"/>
  <c r="F51" i="28"/>
  <c r="G38" i="27" s="1"/>
  <c r="F50" i="28"/>
  <c r="F52" i="28"/>
  <c r="G39" i="27" s="1"/>
  <c r="F53" i="28"/>
  <c r="G40" i="27" s="1"/>
  <c r="F49" i="28"/>
  <c r="G36" i="27" s="1"/>
  <c r="Y32" i="29"/>
  <c r="Y26" i="29"/>
  <c r="Y27" i="29"/>
  <c r="Y15" i="29"/>
  <c r="Y30" i="29"/>
  <c r="Y16" i="29"/>
  <c r="Y14" i="29"/>
  <c r="Y11" i="29"/>
  <c r="Y31" i="29"/>
  <c r="Y12" i="29"/>
  <c r="Y23" i="29"/>
  <c r="Y19" i="29"/>
  <c r="Y9" i="29"/>
  <c r="Y10" i="29"/>
  <c r="Y29" i="29"/>
  <c r="Y13" i="29"/>
  <c r="Y17" i="29"/>
  <c r="Y28" i="29"/>
  <c r="Y24" i="29"/>
  <c r="Y25" i="29"/>
  <c r="Y18" i="29"/>
  <c r="Y20" i="29"/>
  <c r="Y21" i="29"/>
  <c r="Y22" i="29"/>
  <c r="A82" i="7" l="1"/>
  <c r="C78" i="7"/>
  <c r="A95" i="7"/>
  <c r="C91" i="7"/>
  <c r="A75" i="7"/>
  <c r="C71" i="7"/>
  <c r="A78" i="7"/>
  <c r="C74" i="7"/>
  <c r="A92" i="7"/>
  <c r="C88" i="7"/>
  <c r="A81" i="7"/>
  <c r="C77" i="7"/>
  <c r="A94" i="7"/>
  <c r="C90" i="7"/>
  <c r="A79" i="7"/>
  <c r="C75" i="7"/>
  <c r="A76" i="7"/>
  <c r="C72" i="7"/>
  <c r="A80" i="7"/>
  <c r="C76" i="7"/>
  <c r="A91" i="7"/>
  <c r="C87" i="7"/>
  <c r="A90" i="7"/>
  <c r="C86" i="7"/>
  <c r="A96" i="7"/>
  <c r="C92" i="7"/>
  <c r="A84" i="7"/>
  <c r="C80" i="7"/>
  <c r="A88" i="7"/>
  <c r="C84" i="7"/>
  <c r="A93" i="7"/>
  <c r="C89" i="7"/>
  <c r="A74" i="7"/>
  <c r="C70" i="7"/>
  <c r="A86" i="7"/>
  <c r="C82" i="7"/>
  <c r="A83" i="7"/>
  <c r="C79" i="7"/>
  <c r="A89" i="7"/>
  <c r="C85" i="7"/>
  <c r="A77" i="7"/>
  <c r="C73" i="7"/>
  <c r="A85" i="7"/>
  <c r="C81" i="7"/>
  <c r="A87" i="7"/>
  <c r="C83" i="7"/>
  <c r="A73" i="7"/>
  <c r="C69" i="7"/>
  <c r="L36" i="27" a="1"/>
  <c r="L39" i="27" s="1"/>
  <c r="I21" i="27"/>
  <c r="G37" i="27"/>
  <c r="C29" i="27"/>
  <c r="L40" i="27" l="1"/>
  <c r="L38" i="27"/>
  <c r="L37" i="27"/>
  <c r="L36" i="27"/>
  <c r="A15" i="41" l="1" a="1"/>
  <c r="F15" i="41"/>
  <c r="H15" i="41"/>
  <c r="L15" i="41"/>
  <c r="I15" i="41"/>
  <c r="J15" i="41"/>
  <c r="D15" i="41"/>
  <c r="C15" i="41"/>
  <c r="A15" i="41"/>
  <c r="B15" i="41"/>
  <c r="K15" i="41"/>
  <c r="E15" i="41"/>
  <c r="G15" i="41"/>
  <c r="B14" i="41" a="1"/>
  <c r="H14" i="41" s="1"/>
  <c r="L14" i="41" l="1"/>
  <c r="G14" i="41"/>
  <c r="F14" i="41"/>
  <c r="E14" i="41"/>
  <c r="D14" i="41"/>
  <c r="I14" i="41"/>
  <c r="C14" i="41"/>
  <c r="B14" i="41"/>
  <c r="K14" i="41"/>
  <c r="J14" i="41"/>
  <c r="A18" i="41" l="1"/>
  <c r="Q5" i="45" l="1"/>
  <c r="O9" i="45"/>
  <c r="O12" i="45" l="1"/>
  <c r="Q9" i="45"/>
  <c r="P9" i="45"/>
  <c r="P61" i="45" l="1" a="1"/>
  <c r="P45" i="45" a="1"/>
  <c r="P12" i="45"/>
  <c r="P13" i="45" a="1"/>
  <c r="P29" i="45" a="1"/>
  <c r="P77" i="45" a="1"/>
  <c r="Q29" i="45" a="1"/>
  <c r="Q45" i="45" a="1"/>
  <c r="Q61" i="45" a="1"/>
  <c r="Q12" i="45"/>
  <c r="Q13" i="45" a="1"/>
  <c r="Q77" i="45" a="1"/>
  <c r="Q69" i="45" l="1"/>
  <c r="Q63" i="45"/>
  <c r="Q73" i="45"/>
  <c r="Q62" i="45"/>
  <c r="Q61" i="45"/>
  <c r="Q65" i="45"/>
  <c r="Q66" i="45"/>
  <c r="Q67" i="45"/>
  <c r="Q70" i="45"/>
  <c r="Q71" i="45"/>
  <c r="Q76" i="45"/>
  <c r="Q68" i="45"/>
  <c r="Q64" i="45"/>
  <c r="Q75" i="45"/>
  <c r="Q72" i="45"/>
  <c r="Q74" i="45"/>
  <c r="P73" i="45"/>
  <c r="O73" i="45" s="1" a="1"/>
  <c r="O73" i="45" s="1"/>
  <c r="P64" i="45"/>
  <c r="O64" i="45" s="1" a="1"/>
  <c r="O64" i="45" s="1"/>
  <c r="P67" i="45"/>
  <c r="O67" i="45" s="1" a="1"/>
  <c r="O67" i="45" s="1"/>
  <c r="P66" i="45"/>
  <c r="O66" i="45" s="1" a="1"/>
  <c r="O66" i="45" s="1"/>
  <c r="P74" i="45"/>
  <c r="O74" i="45" s="1" a="1"/>
  <c r="O74" i="45" s="1"/>
  <c r="P62" i="45"/>
  <c r="O62" i="45" s="1" a="1"/>
  <c r="O62" i="45" s="1"/>
  <c r="P70" i="45"/>
  <c r="O70" i="45" s="1" a="1"/>
  <c r="O70" i="45" s="1"/>
  <c r="P75" i="45"/>
  <c r="O75" i="45" s="1" a="1"/>
  <c r="O75" i="45" s="1"/>
  <c r="P76" i="45"/>
  <c r="O76" i="45" s="1" a="1"/>
  <c r="O76" i="45" s="1"/>
  <c r="P68" i="45"/>
  <c r="O68" i="45" s="1" a="1"/>
  <c r="O68" i="45" s="1"/>
  <c r="P71" i="45"/>
  <c r="O71" i="45" s="1" a="1"/>
  <c r="O71" i="45" s="1"/>
  <c r="P61" i="45"/>
  <c r="O61" i="45" s="1" a="1"/>
  <c r="O61" i="45" s="1"/>
  <c r="P65" i="45"/>
  <c r="O65" i="45" s="1" a="1"/>
  <c r="O65" i="45" s="1"/>
  <c r="P69" i="45"/>
  <c r="O69" i="45" s="1" a="1"/>
  <c r="O69" i="45" s="1"/>
  <c r="P72" i="45"/>
  <c r="O72" i="45" s="1" a="1"/>
  <c r="O72" i="45" s="1"/>
  <c r="P63" i="45"/>
  <c r="O63" i="45" s="1" a="1"/>
  <c r="O63" i="45" s="1"/>
  <c r="Q84" i="45"/>
  <c r="Q83" i="45"/>
  <c r="Q92" i="45"/>
  <c r="Q79" i="45"/>
  <c r="Q90" i="45"/>
  <c r="Q88" i="45"/>
  <c r="Q77" i="45"/>
  <c r="Q78" i="45"/>
  <c r="Q91" i="45"/>
  <c r="Q80" i="45"/>
  <c r="Q82" i="45"/>
  <c r="Q89" i="45"/>
  <c r="Q87" i="45"/>
  <c r="Q86" i="45"/>
  <c r="Q85" i="45"/>
  <c r="Q81" i="45"/>
  <c r="P85" i="45"/>
  <c r="O85" i="45" s="1" a="1"/>
  <c r="O85" i="45" s="1"/>
  <c r="P84" i="45"/>
  <c r="O84" i="45" s="1" a="1"/>
  <c r="O84" i="45" s="1"/>
  <c r="P81" i="45"/>
  <c r="O81" i="45" s="1" a="1"/>
  <c r="O81" i="45" s="1"/>
  <c r="P82" i="45"/>
  <c r="O82" i="45" s="1" a="1"/>
  <c r="O82" i="45" s="1"/>
  <c r="P80" i="45"/>
  <c r="O80" i="45" s="1" a="1"/>
  <c r="O80" i="45" s="1"/>
  <c r="P87" i="45"/>
  <c r="O87" i="45" s="1" a="1"/>
  <c r="O87" i="45" s="1"/>
  <c r="P91" i="45"/>
  <c r="O91" i="45" s="1" a="1"/>
  <c r="O91" i="45" s="1"/>
  <c r="P79" i="45"/>
  <c r="O79" i="45" s="1" a="1"/>
  <c r="O79" i="45" s="1"/>
  <c r="P77" i="45"/>
  <c r="O77" i="45" s="1" a="1"/>
  <c r="O77" i="45" s="1"/>
  <c r="P86" i="45"/>
  <c r="O86" i="45" s="1" a="1"/>
  <c r="O86" i="45" s="1"/>
  <c r="P88" i="45"/>
  <c r="O88" i="45" s="1" a="1"/>
  <c r="O88" i="45" s="1"/>
  <c r="P78" i="45"/>
  <c r="O78" i="45" s="1" a="1"/>
  <c r="O78" i="45" s="1"/>
  <c r="P83" i="45"/>
  <c r="O83" i="45" s="1" a="1"/>
  <c r="O83" i="45" s="1"/>
  <c r="P90" i="45"/>
  <c r="O90" i="45" s="1" a="1"/>
  <c r="O90" i="45" s="1"/>
  <c r="P89" i="45"/>
  <c r="O89" i="45" s="1" a="1"/>
  <c r="O89" i="45" s="1"/>
  <c r="P92" i="45"/>
  <c r="O92" i="45" s="1" a="1"/>
  <c r="O92" i="45" s="1"/>
  <c r="P37" i="45"/>
  <c r="O37" i="45" s="1" a="1"/>
  <c r="O37" i="45" s="1"/>
  <c r="P38" i="45"/>
  <c r="O38" i="45" s="1" a="1"/>
  <c r="O38" i="45" s="1"/>
  <c r="P32" i="45"/>
  <c r="O32" i="45" s="1" a="1"/>
  <c r="O32" i="45" s="1"/>
  <c r="P33" i="45"/>
  <c r="O33" i="45" s="1" a="1"/>
  <c r="O33" i="45" s="1"/>
  <c r="P39" i="45"/>
  <c r="O39" i="45" s="1" a="1"/>
  <c r="O39" i="45" s="1"/>
  <c r="P30" i="45"/>
  <c r="O30" i="45" s="1" a="1"/>
  <c r="O30" i="45" s="1"/>
  <c r="P36" i="45"/>
  <c r="O36" i="45" s="1" a="1"/>
  <c r="O36" i="45" s="1"/>
  <c r="P35" i="45"/>
  <c r="O35" i="45" s="1" a="1"/>
  <c r="O35" i="45" s="1"/>
  <c r="P31" i="45"/>
  <c r="O31" i="45" s="1" a="1"/>
  <c r="O31" i="45" s="1"/>
  <c r="P41" i="45"/>
  <c r="O41" i="45" s="1" a="1"/>
  <c r="O41" i="45" s="1"/>
  <c r="P40" i="45"/>
  <c r="O40" i="45" s="1" a="1"/>
  <c r="O40" i="45" s="1"/>
  <c r="P43" i="45"/>
  <c r="O43" i="45" s="1" a="1"/>
  <c r="O43" i="45" s="1"/>
  <c r="P34" i="45"/>
  <c r="O34" i="45" s="1" a="1"/>
  <c r="O34" i="45" s="1"/>
  <c r="P29" i="45"/>
  <c r="O29" i="45" s="1" a="1"/>
  <c r="O29" i="45" s="1"/>
  <c r="P44" i="45"/>
  <c r="O44" i="45" s="1" a="1"/>
  <c r="O44" i="45" s="1"/>
  <c r="P42" i="45"/>
  <c r="O42" i="45" s="1" a="1"/>
  <c r="O42" i="45" s="1"/>
  <c r="Q16" i="45"/>
  <c r="Q19" i="45"/>
  <c r="Q24" i="45"/>
  <c r="Q26" i="45"/>
  <c r="Q15" i="45"/>
  <c r="Q20" i="45"/>
  <c r="Q22" i="45"/>
  <c r="Q21" i="45"/>
  <c r="Q23" i="45"/>
  <c r="Q13" i="45"/>
  <c r="Q25" i="45"/>
  <c r="Q17" i="45"/>
  <c r="Q14" i="45"/>
  <c r="Q18" i="45"/>
  <c r="Q27" i="45"/>
  <c r="Q28" i="45"/>
  <c r="P20" i="45"/>
  <c r="O20" i="45" s="1" a="1"/>
  <c r="O20" i="45" s="1"/>
  <c r="P17" i="45"/>
  <c r="O17" i="45" s="1" a="1"/>
  <c r="O17" i="45" s="1"/>
  <c r="P19" i="45"/>
  <c r="O19" i="45" s="1" a="1"/>
  <c r="O19" i="45" s="1"/>
  <c r="P23" i="45"/>
  <c r="O23" i="45" s="1" a="1"/>
  <c r="O23" i="45" s="1"/>
  <c r="P16" i="45"/>
  <c r="O16" i="45" s="1" a="1"/>
  <c r="O16" i="45" s="1"/>
  <c r="P26" i="45"/>
  <c r="O26" i="45" s="1" a="1"/>
  <c r="O26" i="45" s="1"/>
  <c r="P28" i="45"/>
  <c r="O28" i="45" s="1" a="1"/>
  <c r="O28" i="45" s="1"/>
  <c r="P13" i="45"/>
  <c r="O13" i="45" s="1" a="1"/>
  <c r="O13" i="45" s="1"/>
  <c r="P14" i="45"/>
  <c r="O14" i="45" s="1" a="1"/>
  <c r="O14" i="45" s="1"/>
  <c r="P15" i="45"/>
  <c r="O15" i="45" s="1" a="1"/>
  <c r="O15" i="45" s="1"/>
  <c r="P18" i="45"/>
  <c r="O18" i="45" s="1" a="1"/>
  <c r="O18" i="45" s="1"/>
  <c r="P24" i="45"/>
  <c r="O24" i="45" s="1" a="1"/>
  <c r="O24" i="45" s="1"/>
  <c r="P22" i="45"/>
  <c r="O22" i="45" s="1" a="1"/>
  <c r="O22" i="45" s="1"/>
  <c r="P25" i="45"/>
  <c r="O25" i="45" s="1" a="1"/>
  <c r="O25" i="45" s="1"/>
  <c r="P21" i="45"/>
  <c r="O21" i="45" s="1" a="1"/>
  <c r="O21" i="45" s="1"/>
  <c r="P27" i="45"/>
  <c r="O27" i="45" s="1" a="1"/>
  <c r="O27" i="45" s="1"/>
  <c r="Q51" i="45"/>
  <c r="Q56" i="45"/>
  <c r="Q45" i="45"/>
  <c r="Q58" i="45"/>
  <c r="Q60" i="45"/>
  <c r="Q55" i="45"/>
  <c r="Q46" i="45"/>
  <c r="Q49" i="45"/>
  <c r="Q54" i="45"/>
  <c r="Q52" i="45"/>
  <c r="Q48" i="45"/>
  <c r="Q59" i="45"/>
  <c r="Q53" i="45"/>
  <c r="Q57" i="45"/>
  <c r="Q47" i="45"/>
  <c r="Q50" i="45"/>
  <c r="Q29" i="45"/>
  <c r="Q32" i="45"/>
  <c r="Q39" i="45"/>
  <c r="Q44" i="45"/>
  <c r="Q40" i="45"/>
  <c r="Q42" i="45"/>
  <c r="Q35" i="45"/>
  <c r="Q41" i="45"/>
  <c r="Q31" i="45"/>
  <c r="Q36" i="45"/>
  <c r="Q34" i="45"/>
  <c r="Q37" i="45"/>
  <c r="Q33" i="45"/>
  <c r="Q38" i="45"/>
  <c r="Q30" i="45"/>
  <c r="Q43" i="45"/>
  <c r="P58" i="45"/>
  <c r="O58" i="45" s="1" a="1"/>
  <c r="O58" i="45" s="1"/>
  <c r="P52" i="45"/>
  <c r="O52" i="45" s="1" a="1"/>
  <c r="O52" i="45" s="1"/>
  <c r="P50" i="45"/>
  <c r="O50" i="45" s="1" a="1"/>
  <c r="O50" i="45" s="1"/>
  <c r="P59" i="45"/>
  <c r="O59" i="45" s="1" a="1"/>
  <c r="O59" i="45" s="1"/>
  <c r="P53" i="45"/>
  <c r="O53" i="45" s="1" a="1"/>
  <c r="O53" i="45" s="1"/>
  <c r="P57" i="45"/>
  <c r="O57" i="45" s="1" a="1"/>
  <c r="O57" i="45" s="1"/>
  <c r="P46" i="45"/>
  <c r="O46" i="45" s="1" a="1"/>
  <c r="O46" i="45" s="1"/>
  <c r="P47" i="45"/>
  <c r="O47" i="45" s="1" a="1"/>
  <c r="O47" i="45" s="1"/>
  <c r="P48" i="45"/>
  <c r="O48" i="45" s="1" a="1"/>
  <c r="O48" i="45" s="1"/>
  <c r="P51" i="45"/>
  <c r="O51" i="45" s="1" a="1"/>
  <c r="O51" i="45" s="1"/>
  <c r="P60" i="45"/>
  <c r="O60" i="45" s="1" a="1"/>
  <c r="O60" i="45" s="1"/>
  <c r="P45" i="45"/>
  <c r="O45" i="45" s="1" a="1"/>
  <c r="O45" i="45" s="1"/>
  <c r="P55" i="45"/>
  <c r="O55" i="45" s="1" a="1"/>
  <c r="O55" i="45" s="1"/>
  <c r="P54" i="45"/>
  <c r="O54" i="45" s="1" a="1"/>
  <c r="O54" i="45" s="1"/>
  <c r="P56" i="45"/>
  <c r="O56" i="45" s="1" a="1"/>
  <c r="O56" i="45" s="1"/>
  <c r="P49" i="45"/>
  <c r="O49" i="45" s="1" a="1"/>
  <c r="O49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<sst xmlns="http://schemas.openxmlformats.org/spreadsheetml/2006/main" count="3020" uniqueCount="2077">
  <si>
    <t>SWAN Cli Location</t>
  </si>
  <si>
    <t>Select Step 3 folders to mitigate</t>
  </si>
  <si>
    <t>10mL&amp;M</t>
  </si>
  <si>
    <t>20mL&amp;M</t>
  </si>
  <si>
    <t>Enter Nozzle reductions</t>
  </si>
  <si>
    <t>Select no spray buffer widths</t>
  </si>
  <si>
    <t>Select runoff buffers</t>
  </si>
  <si>
    <t>Folder path</t>
  </si>
  <si>
    <t>No spray buffer (m)</t>
  </si>
  <si>
    <t>Spray drift mitigation</t>
  </si>
  <si>
    <t>Runoff mitigation</t>
  </si>
  <si>
    <t>R.O. vol Red (L/L)</t>
  </si>
  <si>
    <t>R.O. flux Red (mg/mg)</t>
  </si>
  <si>
    <t>Eros mass red (g/g)</t>
  </si>
  <si>
    <t>Eros flux red (mg/mg)</t>
  </si>
  <si>
    <t>Nozzle reduction (%)</t>
  </si>
  <si>
    <t>Simulation details</t>
  </si>
  <si>
    <t>File Format Version: 2</t>
  </si>
  <si>
    <t>*-----------------------------------------------------------------</t>
  </si>
  <si>
    <t>*</t>
  </si>
  <si>
    <t>* SWAN parameter file</t>
  </si>
  <si>
    <t>* Created by SWAN v5.0.1 (October 2018)</t>
  </si>
  <si>
    <t>* Created:  30-Jan-2019, 11:54:12</t>
  </si>
  <si>
    <t>* General parameters</t>
  </si>
  <si>
    <t>Scenario  Water Body  R.O.  S.D.  D.D.</t>
  </si>
  <si>
    <t>* Run-off mitigation parameters</t>
  </si>
  <si>
    <t>Reduction run-off mode:                 ManualReduction</t>
  </si>
  <si>
    <t>* Spray drift mitigation parameters</t>
  </si>
  <si>
    <t>* Dry deposition mitigation parameters</t>
  </si>
  <si>
    <t>Pond contribution factor: 0.2</t>
  </si>
  <si>
    <t>Pond width factor:        0.4926</t>
  </si>
  <si>
    <t>Pond time offset (h):     0</t>
  </si>
  <si>
    <t>Ditch contribution factor: 0.01</t>
  </si>
  <si>
    <t>Ditch width factor:        0.9733</t>
  </si>
  <si>
    <t>Ditch time offset (h):     0</t>
  </si>
  <si>
    <t>Stream contribution factor: 0.0005714286</t>
  </si>
  <si>
    <t>Stream width factor:        0.9733</t>
  </si>
  <si>
    <t>Stream time offset (h):     -3</t>
  </si>
  <si>
    <t>Hour   Rates for applications 1-8 (mg/m²)</t>
  </si>
  <si>
    <t>* End of parameter file</t>
  </si>
  <si>
    <t>Potatoes</t>
  </si>
  <si>
    <t>* Filename: &lt;fName&gt;</t>
  </si>
  <si>
    <t>Crop:         &lt;rCrop&gt;</t>
  </si>
  <si>
    <t>Substance:    &lt;rCompund&gt;</t>
  </si>
  <si>
    <t>Applications: &lt;nApps&gt;</t>
  </si>
  <si>
    <t>Source project name: &lt;srcProjName&gt;</t>
  </si>
  <si>
    <t>Source project path: &lt;srcProjPath&gt;</t>
  </si>
  <si>
    <t>Output project path: &lt;outputProjPath&gt;</t>
  </si>
  <si>
    <t>Parameter filename:  &lt;SWANtpf&gt;</t>
  </si>
  <si>
    <t>Default TOXSWA location: C:\SWASH\TOXSWA\toxswa_focus_3.exe</t>
  </si>
  <si>
    <t>Vapour pressure (Pa):    &lt;VP&gt;</t>
  </si>
  <si>
    <t>Mitigation count:        &lt;MitCount&gt;</t>
  </si>
  <si>
    <t>&lt;MitMatrix&gt;</t>
  </si>
  <si>
    <t>Fractional reduction in run-off volume: &lt;ROVolRed&gt;</t>
  </si>
  <si>
    <t>Fractional reduction in run-off flux:   &lt;ROFluxRed&gt;</t>
  </si>
  <si>
    <t>Fractional reduction in erosion mass:   &lt;ErosMassRed&gt;</t>
  </si>
  <si>
    <t>Fractional reduction in erosion flux:   &lt;ErosFluxRed&gt;</t>
  </si>
  <si>
    <t>Nozzle reduction (%): &lt;NozRed&gt;</t>
  </si>
  <si>
    <t>Buffer width (m):    &lt;BuffWid&gt;</t>
  </si>
  <si>
    <t>Enter mass loadings directly: No</t>
  </si>
  <si>
    <t>Pond mass loading (mg/m²):    0</t>
  </si>
  <si>
    <t>Ditch mass loading (mg/m²):   0</t>
  </si>
  <si>
    <t>Stream mass loading (mg/m²):  0</t>
  </si>
  <si>
    <t>Crop</t>
  </si>
  <si>
    <t>Cereals, spring</t>
  </si>
  <si>
    <t>Cereals, winter</t>
  </si>
  <si>
    <t>Citrus</t>
  </si>
  <si>
    <t>Cotton</t>
  </si>
  <si>
    <t>Field beans</t>
  </si>
  <si>
    <t>Grass/alfalfa</t>
  </si>
  <si>
    <t>Hops</t>
  </si>
  <si>
    <t>Legumes</t>
  </si>
  <si>
    <t>Maize</t>
  </si>
  <si>
    <t>Oil seed rape, spring</t>
  </si>
  <si>
    <t>Oil seed rape, winter</t>
  </si>
  <si>
    <t>Olives</t>
  </si>
  <si>
    <t>Pome/stone fruit, early applns</t>
  </si>
  <si>
    <t>Pome/stone fruit, late applns</t>
  </si>
  <si>
    <t>Soybeans</t>
  </si>
  <si>
    <t>Sunflowers</t>
  </si>
  <si>
    <t>Tobacco</t>
  </si>
  <si>
    <t>Vegetables, bulb</t>
  </si>
  <si>
    <t>Vegetables, fruiting</t>
  </si>
  <si>
    <t>Vegetables, leafy</t>
  </si>
  <si>
    <t>Vegetables, root</t>
  </si>
  <si>
    <t>Vines, early applns</t>
  </si>
  <si>
    <t>Vines, late applns</t>
  </si>
  <si>
    <t>FOCUS NAMEq</t>
  </si>
  <si>
    <t>Trimmed in report file</t>
  </si>
  <si>
    <t>srcProjName</t>
  </si>
  <si>
    <t>rCompound</t>
  </si>
  <si>
    <t>nApps</t>
  </si>
  <si>
    <t>VP (pa)</t>
  </si>
  <si>
    <t>Scenarios</t>
  </si>
  <si>
    <t>C:\Program Files (x86)\Tessella\SWAN 5\Swan.CLI.exe</t>
  </si>
  <si>
    <t>Step 4 list</t>
  </si>
  <si>
    <t>Maximum simultaneous TOXSWA instances</t>
  </si>
  <si>
    <t>Select buffer width: &lt;SelBuf&gt;</t>
  </si>
  <si>
    <t>Use Step 3 mass loadings: &lt;Step3&gt;</t>
  </si>
  <si>
    <t>0-1    0.0059 0 0 0 0 0 0 0</t>
  </si>
  <si>
    <t>1-2    0.0059 0 0 0 0 0 0 0</t>
  </si>
  <si>
    <t>2-3    0.0059 0 0 0 0 0 0 0</t>
  </si>
  <si>
    <t>3-4    0.0059 0 0 0 0 0 0 0</t>
  </si>
  <si>
    <t>4-5    0.0029 0 0 0 0 0 0 0</t>
  </si>
  <si>
    <t>5-6    0.0029 0 0 0 0 0 0 0</t>
  </si>
  <si>
    <t>6-7    0.0029 0 0 0 0 0 0 0</t>
  </si>
  <si>
    <t>7-8    0.0029 0 0 0 0 0 0 0</t>
  </si>
  <si>
    <t>8-9    0.0029 0 0 0 0 0 0 0</t>
  </si>
  <si>
    <t>9-10   0.0029 0 0 0 0 0 0 0</t>
  </si>
  <si>
    <t>10-11  0.0029 0 0 0 0 0 0 0</t>
  </si>
  <si>
    <t>11-12  0.0029 0 0 0 0 0 0 0</t>
  </si>
  <si>
    <t>12-13  0.0015 0 0 0 0 0 0 0</t>
  </si>
  <si>
    <t>13-14  0.0015 0 0 0 0 0 0 0</t>
  </si>
  <si>
    <t>14-15  0.0015 0 0 0 0 0 0 0</t>
  </si>
  <si>
    <t>15-16  0.0015 0 0 0 0 0 0 0</t>
  </si>
  <si>
    <t>16-17  0.0015 0 0 0 0 0 0 0</t>
  </si>
  <si>
    <t>17-18  0.0015 0 0 0 0 0 0 0</t>
  </si>
  <si>
    <t>18-19  0.0015 0 0 0 0 0 0 0</t>
  </si>
  <si>
    <t>19-20  0.0015 0 0 0 0 0 0 0</t>
  </si>
  <si>
    <t>20-21  0.0015 0 0 0 0 0 0 0</t>
  </si>
  <si>
    <t>21-22  0.0015 0 0 0 0 0 0 0</t>
  </si>
  <si>
    <t>22-23  0.0015 0 0 0 0 0 0 0</t>
  </si>
  <si>
    <t>23-24  0.0015 0 0 0 0 0 0 0</t>
  </si>
  <si>
    <t>Current Buffer</t>
  </si>
  <si>
    <t>Dep</t>
  </si>
  <si>
    <t>0-1    0.0034 0 0 0 0 0 0 0</t>
  </si>
  <si>
    <t>1-2    0.0034 0 0 0 0 0 0 0</t>
  </si>
  <si>
    <t>2-3    0.0034 0 0 0 0 0 0 0</t>
  </si>
  <si>
    <t>3-4    0.0034 0 0 0 0 0 0 0</t>
  </si>
  <si>
    <t>4-5    0.0017 0 0 0 0 0 0 0</t>
  </si>
  <si>
    <t>5-6    0.0017 0 0 0 0 0 0 0</t>
  </si>
  <si>
    <t>6-7    0.0017 0 0 0 0 0 0 0</t>
  </si>
  <si>
    <t>7-8    0.0017 0 0 0 0 0 0 0</t>
  </si>
  <si>
    <t>8-9    0.0017 0 0 0 0 0 0 0</t>
  </si>
  <si>
    <t>9-10   0.0017 0 0 0 0 0 0 0</t>
  </si>
  <si>
    <t>10-11  0.0017 0 0 0 0 0 0 0</t>
  </si>
  <si>
    <t>11-12  0.0017 0 0 0 0 0 0 0</t>
  </si>
  <si>
    <t>12-13  0.0009 0 0 0 0 0 0 0</t>
  </si>
  <si>
    <t>13-14  0.0009 0 0 0 0 0 0 0</t>
  </si>
  <si>
    <t>14-15  0.0009 0 0 0 0 0 0 0</t>
  </si>
  <si>
    <t>15-16  0.0009 0 0 0 0 0 0 0</t>
  </si>
  <si>
    <t>16-17  0.0009 0 0 0 0 0 0 0</t>
  </si>
  <si>
    <t>17-18  0.0009 0 0 0 0 0 0 0</t>
  </si>
  <si>
    <t>18-19  0.0009 0 0 0 0 0 0 0</t>
  </si>
  <si>
    <t>19-20  0.0009 0 0 0 0 0 0 0</t>
  </si>
  <si>
    <t>20-21  0.0009 0 0 0 0 0 0 0</t>
  </si>
  <si>
    <t>21-22  0.0009 0 0 0 0 0 0 0</t>
  </si>
  <si>
    <t>22-23  0.0009 0 0 0 0 0 0 0</t>
  </si>
  <si>
    <t>23-24  0.0009 0 0 0 0 0 0 0</t>
  </si>
  <si>
    <t>Buffers</t>
  </si>
  <si>
    <t>Deposition (paste in all deposition data for each buffer to be included)</t>
  </si>
  <si>
    <t>(This means drift and runoff buffers are equal)</t>
  </si>
  <si>
    <r>
      <rPr>
        <sz val="28"/>
        <color rgb="FF895880"/>
        <rFont val="Calibri"/>
        <family val="2"/>
        <scheme val="minor"/>
      </rPr>
      <t>Step 4 S</t>
    </r>
    <r>
      <rPr>
        <sz val="28"/>
        <color theme="1" tint="0.249977111117893"/>
        <rFont val="Calibri"/>
        <family val="2"/>
        <scheme val="minor"/>
      </rPr>
      <t xml:space="preserve">WAN </t>
    </r>
    <r>
      <rPr>
        <sz val="28"/>
        <color rgb="FF895880"/>
        <rFont val="Calibri"/>
        <family val="2"/>
        <scheme val="minor"/>
      </rPr>
      <t>MA</t>
    </r>
    <r>
      <rPr>
        <sz val="28"/>
        <color theme="1" tint="0.249977111117893"/>
        <rFont val="Calibri"/>
        <family val="2"/>
        <scheme val="minor"/>
      </rPr>
      <t>t</t>
    </r>
    <r>
      <rPr>
        <sz val="28"/>
        <color rgb="FF895880"/>
        <rFont val="Calibri"/>
        <family val="2"/>
        <scheme val="minor"/>
      </rPr>
      <t>R</t>
    </r>
    <r>
      <rPr>
        <sz val="28"/>
        <color theme="1" tint="0.249977111117893"/>
        <rFont val="Calibri"/>
        <family val="2"/>
        <scheme val="minor"/>
      </rPr>
      <t xml:space="preserve">ix </t>
    </r>
    <r>
      <rPr>
        <sz val="28"/>
        <color rgb="FF895880"/>
        <rFont val="Calibri"/>
        <family val="2"/>
        <scheme val="minor"/>
      </rPr>
      <t>T</t>
    </r>
    <r>
      <rPr>
        <sz val="28"/>
        <color theme="1" tint="0.249977111117893"/>
        <rFont val="Calibri"/>
        <family val="2"/>
        <scheme val="minor"/>
      </rPr>
      <t>ool</t>
    </r>
  </si>
  <si>
    <t>vp (Pa) ≥ …</t>
  </si>
  <si>
    <t>class</t>
  </si>
  <si>
    <t>nonvolatile</t>
  </si>
  <si>
    <t>semivolatile (plants)</t>
  </si>
  <si>
    <t>semivolatile (plants/soil)</t>
  </si>
  <si>
    <t>volatile</t>
  </si>
  <si>
    <t>group</t>
  </si>
  <si>
    <t>vd-% 1 m</t>
  </si>
  <si>
    <t>vd-% plants
= vd-% 1 m × exp(-0,05446 × (dist. - 1)) × chf</t>
  </si>
  <si>
    <t>vd-% soil
= 1/3 of vd-% plants/chf (where relevant)</t>
  </si>
  <si>
    <t>drift scenario</t>
  </si>
  <si>
    <t>drift loss (90. %-ile)</t>
  </si>
  <si>
    <t>dist. (m)</t>
  </si>
  <si>
    <t>crop height factor (chf)</t>
  </si>
  <si>
    <t>arable crops</t>
  </si>
  <si>
    <t>arable crops × 2</t>
  </si>
  <si>
    <t>arable crops &gt;900 L/ha</t>
  </si>
  <si>
    <t>vines</t>
  </si>
  <si>
    <t>orchards early</t>
  </si>
  <si>
    <t>orchards late</t>
  </si>
  <si>
    <t>hops</t>
  </si>
  <si>
    <t>knapsack sprayer, plants &lt;50 cm</t>
  </si>
  <si>
    <t>knapsack sprayer, plants &gt;50 cm</t>
  </si>
  <si>
    <t>knapsack sprayer, spraying screen</t>
  </si>
  <si>
    <t>gardening, plants &lt;50 cm</t>
  </si>
  <si>
    <t>gardening, plants &gt;50 cm</t>
  </si>
  <si>
    <t>gardening, trees early &lt;2 m</t>
  </si>
  <si>
    <t>gardening, trees early &gt;2 m</t>
  </si>
  <si>
    <t>gardening, trees late</t>
  </si>
  <si>
    <t>greenhouse (no drift)</t>
  </si>
  <si>
    <t>integr. fact.</t>
  </si>
  <si>
    <t>drift loss</t>
  </si>
  <si>
    <t>reduced 24-h vd for short-lived compounds</t>
  </si>
  <si>
    <t>DT50 (d)</t>
  </si>
  <si>
    <t>DT50 (h) for calculation</t>
  </si>
  <si>
    <t>k-deg (1/h)</t>
  </si>
  <si>
    <t>time (h)</t>
  </si>
  <si>
    <t>arable crops - v(t)/t</t>
  </si>
  <si>
    <t>act_vd(t)</t>
  </si>
  <si>
    <t>high crops - v(t)/t</t>
  </si>
  <si>
    <t>act_vd(max), arable crops</t>
  </si>
  <si>
    <t>act_vd(max), high crops</t>
  </si>
  <si>
    <t>reduction factor</t>
  </si>
  <si>
    <t>vd from greenhouse uses</t>
  </si>
  <si>
    <t>vp (Pa)</t>
  </si>
  <si>
    <t>amount in greenhouse air</t>
  </si>
  <si>
    <r>
      <t xml:space="preserve">f-air
= 18.950 </t>
    </r>
    <r>
      <rPr>
        <sz val="10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 xml:space="preserve"> vp² + 0.057 × vp
+ 0.00003</t>
    </r>
  </si>
  <si>
    <t>fraction of applied amount</t>
  </si>
  <si>
    <t>emission in 24 h</t>
  </si>
  <si>
    <t>applied amount/greenhouse</t>
  </si>
  <si>
    <t>air exchange rate, XR</t>
  </si>
  <si>
    <t>1/h</t>
  </si>
  <si>
    <r>
      <t xml:space="preserve">q-em =
f-air </t>
    </r>
    <r>
      <rPr>
        <sz val="10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 xml:space="preserve"> amount-g × XR × 24 h</t>
    </r>
  </si>
  <si>
    <t>q-em-act
(max. 80 % of appl. amt.)</t>
  </si>
  <si>
    <t>deposition at 5 m</t>
  </si>
  <si>
    <r>
      <t xml:space="preserve">dep_5m =
2e-5 </t>
    </r>
    <r>
      <rPr>
        <sz val="10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 xml:space="preserve"> q-em-act / amount-g
+ 3e-7</t>
    </r>
  </si>
  <si>
    <t>deposition rate at 5 m</t>
  </si>
  <si>
    <t>deposition percentage at 5 m</t>
  </si>
  <si>
    <t>fraction of application rate</t>
  </si>
  <si>
    <t>deposition at n m</t>
  </si>
  <si>
    <t xml:space="preserve">
dep_nm = dep_5m × exp(-0.0358 × n) / exp(-0.0358 × 5)</t>
  </si>
  <si>
    <t>grnhouse_dep_01m</t>
  </si>
  <si>
    <t>grnhouse_dep_05m</t>
  </si>
  <si>
    <t>grnhouse_dep_10m</t>
  </si>
  <si>
    <t>grnhouse_dep_15m</t>
  </si>
  <si>
    <t>grnhouse_dep_20m</t>
  </si>
  <si>
    <t>Rate</t>
  </si>
  <si>
    <t>(g/ha)</t>
  </si>
  <si>
    <t>physico-chemical data</t>
  </si>
  <si>
    <t>vapour pressure meas. (Pa)</t>
  </si>
  <si>
    <t xml:space="preserve">   at temperature (°C or K)</t>
  </si>
  <si>
    <t>vapour pressure, 20 °C (Pa)</t>
  </si>
  <si>
    <t>water solubility meas. (mg/L)</t>
  </si>
  <si>
    <t>water solubility, 20 °C (mg/L)</t>
  </si>
  <si>
    <t>intended use parameters</t>
  </si>
  <si>
    <t>active substance/product</t>
  </si>
  <si>
    <t>intended use</t>
  </si>
  <si>
    <t>select critical applic. for v/d</t>
  </si>
  <si>
    <t>final application rate</t>
  </si>
  <si>
    <t>critical application #</t>
  </si>
  <si>
    <t>critical application rate</t>
  </si>
  <si>
    <t>relevant applic. rate for v/d</t>
  </si>
  <si>
    <t>critical drift scenario</t>
  </si>
  <si>
    <t>field-related parameters</t>
  </si>
  <si>
    <t>crop interception</t>
  </si>
  <si>
    <t>greenhouse-related parameters</t>
  </si>
  <si>
    <t>default</t>
  </si>
  <si>
    <t>user input</t>
  </si>
  <si>
    <t>greenhouse area (m²)</t>
  </si>
  <si>
    <t>greenhouse volume, VG (m³)</t>
  </si>
  <si>
    <t>air exchange rate, XR (VG/h)</t>
  </si>
  <si>
    <t>deposition percentages</t>
  </si>
  <si>
    <t>calculated values</t>
  </si>
  <si>
    <t>v/d (plants)</t>
  </si>
  <si>
    <t>v/d (soil)</t>
  </si>
  <si>
    <t>v/d (calc.)</t>
  </si>
  <si>
    <t>measured data</t>
  </si>
  <si>
    <t>v/d (meas.)</t>
  </si>
  <si>
    <t>(where available)</t>
  </si>
  <si>
    <t>crop interception in study</t>
  </si>
  <si>
    <t>corr. factor for interception</t>
  </si>
  <si>
    <t>deposition rates</t>
  </si>
  <si>
    <t>v/d-%</t>
  </si>
  <si>
    <t>rate unit</t>
  </si>
  <si>
    <t>dep. unit</t>
  </si>
  <si>
    <t>mg/m²</t>
  </si>
  <si>
    <t>factor</t>
  </si>
  <si>
    <t>v/d in 24 h
no dissip.</t>
  </si>
  <si>
    <t>0 - 24</t>
  </si>
  <si>
    <t>examplamine</t>
  </si>
  <si>
    <t>g/ha</t>
  </si>
  <si>
    <t>00-001</t>
  </si>
  <si>
    <t># applications</t>
  </si>
  <si>
    <t>%-ile selection</t>
  </si>
  <si>
    <t>fixed</t>
  </si>
  <si>
    <t>application rate</t>
  </si>
  <si>
    <t>interval (d)</t>
  </si>
  <si>
    <t>compartment</t>
  </si>
  <si>
    <t>aquatic environment - water</t>
  </si>
  <si>
    <t>mult. application assessment</t>
  </si>
  <si>
    <t>residue dynamics</t>
  </si>
  <si>
    <t>DT50/MAF selection</t>
  </si>
  <si>
    <t>DisT50 wat</t>
  </si>
  <si>
    <t>←  DT50</t>
  </si>
  <si>
    <t>k</t>
  </si>
  <si>
    <t>PECini/PECact</t>
  </si>
  <si>
    <t>PEC unit</t>
  </si>
  <si>
    <t>µg/L</t>
  </si>
  <si>
    <t>report data</t>
  </si>
  <si>
    <t>report</t>
  </si>
  <si>
    <t>document</t>
  </si>
  <si>
    <t>NA</t>
  </si>
  <si>
    <t>(final)
drift-%</t>
  </si>
  <si>
    <t>drift only</t>
  </si>
  <si>
    <t>(critical)
v/d-%</t>
  </si>
  <si>
    <t>v/d only</t>
  </si>
  <si>
    <t>no drift reduction</t>
  </si>
  <si>
    <t>50% drift reduction</t>
  </si>
  <si>
    <t>75% drift reduction</t>
  </si>
  <si>
    <t>90% drift reduction</t>
  </si>
  <si>
    <t>ecotoxicity data</t>
  </si>
  <si>
    <t>test species</t>
  </si>
  <si>
    <t>Daphnia magna</t>
  </si>
  <si>
    <t>endpt. type</t>
  </si>
  <si>
    <t>EC50</t>
  </si>
  <si>
    <t>relevant effect value</t>
  </si>
  <si>
    <t>risk descriptor type</t>
  </si>
  <si>
    <t>TER</t>
  </si>
  <si>
    <t>risk mitigation measures</t>
  </si>
  <si>
    <t>drift
red. index</t>
  </si>
  <si>
    <t>req'd drift reduction</t>
  </si>
  <si>
    <t>restriction</t>
  </si>
  <si>
    <t>req'd dist. (m)</t>
  </si>
  <si>
    <t>MAF-crit</t>
  </si>
  <si>
    <t>%-ile</t>
  </si>
  <si>
    <t>upper bound</t>
  </si>
  <si>
    <t>lower bound</t>
  </si>
  <si>
    <t>no. applications</t>
  </si>
  <si>
    <t>dist.</t>
  </si>
  <si>
    <t>1 ×</t>
  </si>
  <si>
    <t>2 ×</t>
  </si>
  <si>
    <t>3 ×</t>
  </si>
  <si>
    <t>4 ×</t>
  </si>
  <si>
    <t>5 ×</t>
  </si>
  <si>
    <t>6 ×</t>
  </si>
  <si>
    <t>7 ×</t>
  </si>
  <si>
    <t>8 ×</t>
  </si>
  <si>
    <t>9 ×</t>
  </si>
  <si>
    <t>10 ×</t>
  </si>
  <si>
    <t>11 ×</t>
  </si>
  <si>
    <t>12 ×</t>
  </si>
  <si>
    <t>(m)</t>
  </si>
  <si>
    <t>90 %-ile</t>
  </si>
  <si>
    <t>82 %-ile</t>
  </si>
  <si>
    <t>77 %-ile</t>
  </si>
  <si>
    <t>74 %-ile</t>
  </si>
  <si>
    <t>72 %-ile</t>
  </si>
  <si>
    <t>70 %-ile</t>
  </si>
  <si>
    <t>69 %-ile</t>
  </si>
  <si>
    <t>67 %-ile</t>
  </si>
  <si>
    <t>act_applic_rate (#1-12)</t>
  </si>
  <si>
    <t>act_factor (#1-12)</t>
  </si>
  <si>
    <t>act_interval_applic (#1-12)</t>
  </si>
  <si>
    <t>k_deg_copy</t>
  </si>
  <si>
    <t>peak_amount_applic, deg_amount_applic (#1-12)</t>
  </si>
  <si>
    <t>MAF_crit</t>
  </si>
  <si>
    <t>report_table_type, report_table_content</t>
  </si>
  <si>
    <t>aquatic environment - sed.</t>
  </si>
  <si>
    <t>terrestrial arthropods</t>
  </si>
  <si>
    <t>terrestrial plants</t>
  </si>
  <si>
    <t>active substance/product:</t>
  </si>
  <si>
    <t>intended use:</t>
  </si>
  <si>
    <t>application parameters:</t>
  </si>
  <si>
    <t>DisT50 water phase (SFO):</t>
  </si>
  <si>
    <t>DegT50 w.-s. system (SFO):</t>
  </si>
  <si>
    <t>MAF:</t>
  </si>
  <si>
    <t>scenario, drift percentile:</t>
  </si>
  <si>
    <t>PEC type:</t>
  </si>
  <si>
    <t>vdf (2D/3D correction)</t>
  </si>
  <si>
    <t>interception (off-crop)</t>
  </si>
  <si>
    <t>select_exp</t>
  </si>
  <si>
    <t>select_vdf</t>
  </si>
  <si>
    <t>select_int</t>
  </si>
  <si>
    <t>PECtwa</t>
  </si>
  <si>
    <t>select_applic_rate_unit</t>
  </si>
  <si>
    <t>g/m²</t>
  </si>
  <si>
    <t>kg/ha</t>
  </si>
  <si>
    <t>mL/m²</t>
  </si>
  <si>
    <t>L/ha</t>
  </si>
  <si>
    <t>select_PEC_aqua_wat</t>
  </si>
  <si>
    <t>select_PEC_aqua_sed</t>
  </si>
  <si>
    <t>select_PEC_terr_</t>
  </si>
  <si>
    <t>µg/kg</t>
  </si>
  <si>
    <t>mg/L</t>
  </si>
  <si>
    <t>mg/kg</t>
  </si>
  <si>
    <t>matrix_rate_PEC_aqua_wat</t>
  </si>
  <si>
    <t>matrix_rate_PEC_aqua_sed</t>
  </si>
  <si>
    <t>matrix_rate_PEC_terr_</t>
  </si>
  <si>
    <t>matrix_restriction</t>
  </si>
  <si>
    <t>↓ MIN(dri) / MAX(dri) →</t>
  </si>
  <si>
    <t>none</t>
  </si>
  <si>
    <t>-/-</t>
  </si>
  <si>
    <t>select_vd_applic_res</t>
  </si>
  <si>
    <t>select_vd_applic_eff</t>
  </si>
  <si>
    <t>max. application rate</t>
  </si>
  <si>
    <t>version</t>
  </si>
  <si>
    <t>issue</t>
  </si>
  <si>
    <t>affected worksheets and/or cell ranges</t>
  </si>
  <si>
    <t>rev1i</t>
  </si>
  <si>
    <t>PEC and TER values considering drift-reducing nozzles are no longer displayed for drift scenarios knapsack sprayer, gardening, and greenhouse</t>
  </si>
  <si>
    <t>main!I33:K37
null string if respective scenarios are selected</t>
  </si>
  <si>
    <t>correction factor for considering actual interception in wind tunnel studies</t>
  </si>
  <si>
    <t>vd!C40:C41
formula considering different volatilisation amounts from plant and soil</t>
  </si>
  <si>
    <t>vd!E47:F51
correction factor included in calculation</t>
  </si>
  <si>
    <t>error correction in determining the relevant application rate for v/d calculation</t>
  </si>
  <si>
    <t>vd!C16
formula re-entered as matrix formula (similar to C15)</t>
  </si>
  <si>
    <t>rev2a-development</t>
  </si>
  <si>
    <t>inclusion of new concept for drift percentiles accounting for residue dynamics in the target compartment</t>
  </si>
  <si>
    <r>
      <t>drift_data!O5:Q92
calculation of sequence drift percentiles according to formula:
perc</t>
    </r>
    <r>
      <rPr>
        <vertAlign val="subscript"/>
        <sz val="10"/>
        <color theme="1"/>
        <rFont val="Arial"/>
        <family val="2"/>
      </rPr>
      <t>i</t>
    </r>
    <r>
      <rPr>
        <sz val="11"/>
        <color theme="1"/>
        <rFont val="Calibri"/>
        <family val="2"/>
        <scheme val="minor"/>
      </rPr>
      <t xml:space="preserve"> = Φ (Φ</t>
    </r>
    <r>
      <rPr>
        <vertAlign val="superscript"/>
        <sz val="10"/>
        <color theme="1"/>
        <rFont val="Arial"/>
        <family val="2"/>
      </rPr>
      <t xml:space="preserve">-1 </t>
    </r>
    <r>
      <rPr>
        <sz val="11"/>
        <color theme="1"/>
        <rFont val="Calibri"/>
        <family val="2"/>
        <scheme val="minor"/>
      </rPr>
      <t>(0.9) / √MAF-crit)
with interpolation of corresponding drift values between tabulated basic drift values</t>
    </r>
  </si>
  <si>
    <t>new worksheet MAF_crit_applic
calculation of a MAF-crit that is normalised to the highest single rate in the application sequence</t>
  </si>
  <si>
    <t>main!E7:F7
selection of drift percentile type</t>
  </si>
  <si>
    <t>main!C28
consideration in output for report</t>
  </si>
  <si>
    <t>drift_only!C5:N9; drift_red_no!C5:N9; drift_red_50!C5:N9; drift_red_75!C5:N9; drift_red_90!C5:N9
selection for drift percentile values extended</t>
  </si>
  <si>
    <t xml:space="preserve">v/d event associated to drift event that produces the highest peak concentration in the target compartment </t>
  </si>
  <si>
    <t>MAF_crit_applic!C14
identification of critical drift event in the sequence</t>
  </si>
  <si>
    <r>
      <t xml:space="preserve">vd!C15:C16
formulas changed to refer to critical drift event in sequence
</t>
    </r>
    <r>
      <rPr>
        <sz val="10"/>
        <color rgb="FFFF0000"/>
        <rFont val="Arial"/>
        <family val="2"/>
      </rPr>
      <t>formula corrected in rev2b</t>
    </r>
  </si>
  <si>
    <r>
      <t xml:space="preserve">drift_red_no!C11:N15; drift_red_50!C11:N15; drift_red_75!C11:N15; drift_red_90!C11:N15
v/d concentrations added to critical drift event in sequence
</t>
    </r>
    <r>
      <rPr>
        <sz val="10"/>
        <color rgb="FFFF0000"/>
        <rFont val="Arial"/>
        <family val="2"/>
      </rPr>
      <t>formula corrected in rev2b</t>
    </r>
  </si>
  <si>
    <t>rev2b</t>
  </si>
  <si>
    <t>inclusion of new concept for multiple exposure accounting for cumulation of effects in the target organisms</t>
  </si>
  <si>
    <r>
      <t xml:space="preserve">new worksheet cum-eff
calculation of probit or logit slope 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and intercept 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 xml:space="preserve"> from two values ER</t>
    </r>
    <r>
      <rPr>
        <i/>
        <vertAlign val="subscript"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and ER</t>
    </r>
    <r>
      <rPr>
        <i/>
        <vertAlign val="subscript"/>
        <sz val="10"/>
        <color theme="1"/>
        <rFont val="Arial"/>
        <family val="2"/>
      </rPr>
      <t>y</t>
    </r>
    <r>
      <rPr>
        <sz val="11"/>
        <color theme="1"/>
        <rFont val="Calibri"/>
        <family val="2"/>
        <scheme val="minor"/>
      </rPr>
      <t xml:space="preserve"> according to formula
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= [Φ</t>
    </r>
    <r>
      <rPr>
        <vertAlign val="superscript"/>
        <sz val="10"/>
        <color theme="1"/>
        <rFont val="Arial"/>
        <family val="2"/>
      </rPr>
      <t>-1</t>
    </r>
    <r>
      <rPr>
        <sz val="11"/>
        <color theme="1"/>
        <rFont val="Calibri"/>
        <family val="2"/>
        <scheme val="minor"/>
      </rPr>
      <t xml:space="preserve"> (</t>
    </r>
    <r>
      <rPr>
        <i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>) - Φ</t>
    </r>
    <r>
      <rPr>
        <vertAlign val="superscript"/>
        <sz val="10"/>
        <color theme="1"/>
        <rFont val="Arial"/>
        <family val="2"/>
      </rPr>
      <t>-1</t>
    </r>
    <r>
      <rPr>
        <sz val="11"/>
        <color theme="1"/>
        <rFont val="Calibri"/>
        <family val="2"/>
        <scheme val="minor"/>
      </rPr>
      <t xml:space="preserve"> (</t>
    </r>
    <r>
      <rPr>
        <i/>
        <sz val="10"/>
        <color theme="1"/>
        <rFont val="Arial"/>
        <family val="2"/>
      </rPr>
      <t>y</t>
    </r>
    <r>
      <rPr>
        <sz val="11"/>
        <color theme="1"/>
        <rFont val="Calibri"/>
        <family val="2"/>
        <scheme val="minor"/>
      </rPr>
      <t>)] / (ln ER</t>
    </r>
    <r>
      <rPr>
        <i/>
        <vertAlign val="subscript"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- ln ER</t>
    </r>
    <r>
      <rPr>
        <i/>
        <vertAlign val="subscript"/>
        <sz val="10"/>
        <color theme="1"/>
        <rFont val="Arial"/>
        <family val="2"/>
      </rPr>
      <t>y</t>
    </r>
    <r>
      <rPr>
        <sz val="11"/>
        <color theme="1"/>
        <rFont val="Calibri"/>
        <family val="2"/>
        <scheme val="minor"/>
      </rPr>
      <t xml:space="preserve">)
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 xml:space="preserve"> = Φ</t>
    </r>
    <r>
      <rPr>
        <vertAlign val="superscript"/>
        <sz val="10"/>
        <color theme="1"/>
        <rFont val="Arial"/>
        <family val="2"/>
      </rPr>
      <t>-1</t>
    </r>
    <r>
      <rPr>
        <sz val="11"/>
        <color theme="1"/>
        <rFont val="Calibri"/>
        <family val="2"/>
        <scheme val="minor"/>
      </rPr>
      <t xml:space="preserve"> (</t>
    </r>
    <r>
      <rPr>
        <i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) - 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ln ER</t>
    </r>
    <r>
      <rPr>
        <i/>
        <vertAlign val="subscript"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  (probit)
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= {ln [</t>
    </r>
    <r>
      <rPr>
        <i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/ (1 - </t>
    </r>
    <r>
      <rPr>
        <i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>)] - ln [</t>
    </r>
    <r>
      <rPr>
        <i/>
        <sz val="10"/>
        <color theme="1"/>
        <rFont val="Arial"/>
        <family val="2"/>
      </rPr>
      <t>y</t>
    </r>
    <r>
      <rPr>
        <sz val="11"/>
        <color theme="1"/>
        <rFont val="Calibri"/>
        <family val="2"/>
        <scheme val="minor"/>
      </rPr>
      <t xml:space="preserve"> / (1 - </t>
    </r>
    <r>
      <rPr>
        <i/>
        <sz val="10"/>
        <color theme="1"/>
        <rFont val="Arial"/>
        <family val="2"/>
      </rPr>
      <t>y</t>
    </r>
    <r>
      <rPr>
        <sz val="11"/>
        <color theme="1"/>
        <rFont val="Calibri"/>
        <family val="2"/>
        <scheme val="minor"/>
      </rPr>
      <t>)]} / (ln ER</t>
    </r>
    <r>
      <rPr>
        <i/>
        <vertAlign val="subscript"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- ln ER</t>
    </r>
    <r>
      <rPr>
        <i/>
        <vertAlign val="subscript"/>
        <sz val="10"/>
        <color theme="1"/>
        <rFont val="Arial"/>
        <family val="2"/>
      </rPr>
      <t>y</t>
    </r>
    <r>
      <rPr>
        <sz val="11"/>
        <color theme="1"/>
        <rFont val="Calibri"/>
        <family val="2"/>
        <scheme val="minor"/>
      </rPr>
      <t xml:space="preserve">)
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 xml:space="preserve"> = ln [</t>
    </r>
    <r>
      <rPr>
        <i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/ (1 - </t>
    </r>
    <r>
      <rPr>
        <i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)] - 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ln ER</t>
    </r>
    <r>
      <rPr>
        <i/>
        <vertAlign val="subscript"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  (logit)</t>
    </r>
  </si>
  <si>
    <r>
      <t>new worksheet drift_cum-effect
calculation of effect cumulation according to formula
p</t>
    </r>
    <r>
      <rPr>
        <vertAlign val="subscript"/>
        <sz val="10"/>
        <color theme="1"/>
        <rFont val="Arial"/>
        <family val="2"/>
      </rPr>
      <t>cum</t>
    </r>
    <r>
      <rPr>
        <sz val="11"/>
        <color theme="1"/>
        <rFont val="Calibri"/>
        <family val="2"/>
        <scheme val="minor"/>
      </rPr>
      <t xml:space="preserve"> = 1 - (1 - p)</t>
    </r>
    <r>
      <rPr>
        <vertAlign val="superscript"/>
        <sz val="10"/>
        <color theme="1"/>
        <rFont val="Arial"/>
        <family val="2"/>
      </rPr>
      <t>n</t>
    </r>
    <r>
      <rPr>
        <sz val="11"/>
        <color theme="1"/>
        <rFont val="Calibri"/>
        <family val="2"/>
        <scheme val="minor"/>
      </rPr>
      <t xml:space="preserve">
using single-exposure effect levels calculated from application rate (AR) and drift percentage (DP) according to formula
p = Φ [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ln (AR × DP) + 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>]   (probit)
p = 1 / {1 + exp [-(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ln (AR × DP) + 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>)]}   (logit)
with back-calculation to cumulative-effect rates (CR) according to formula
ln CR = [Φ</t>
    </r>
    <r>
      <rPr>
        <vertAlign val="superscript"/>
        <sz val="10"/>
        <color theme="1"/>
        <rFont val="Arial"/>
        <family val="2"/>
      </rPr>
      <t>-1</t>
    </r>
    <r>
      <rPr>
        <sz val="11"/>
        <color theme="1"/>
        <rFont val="Calibri"/>
        <family val="2"/>
        <scheme val="minor"/>
      </rPr>
      <t xml:space="preserve"> (p</t>
    </r>
    <r>
      <rPr>
        <vertAlign val="subscript"/>
        <sz val="10"/>
        <color theme="1"/>
        <rFont val="Arial"/>
        <family val="2"/>
      </rPr>
      <t>cum</t>
    </r>
    <r>
      <rPr>
        <sz val="11"/>
        <color theme="1"/>
        <rFont val="Calibri"/>
        <family val="2"/>
        <scheme val="minor"/>
      </rPr>
      <t xml:space="preserve">) - 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 xml:space="preserve">] / 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  (probit)
ln CR = {ln [p</t>
    </r>
    <r>
      <rPr>
        <vertAlign val="subscript"/>
        <sz val="10"/>
        <color theme="1"/>
        <rFont val="Arial"/>
        <family val="2"/>
      </rPr>
      <t>cum</t>
    </r>
    <r>
      <rPr>
        <sz val="11"/>
        <color theme="1"/>
        <rFont val="Calibri"/>
        <family val="2"/>
        <scheme val="minor"/>
      </rPr>
      <t>/(1 - p</t>
    </r>
    <r>
      <rPr>
        <vertAlign val="subscript"/>
        <sz val="10"/>
        <color theme="1"/>
        <rFont val="Arial"/>
        <family val="2"/>
      </rPr>
      <t>cum</t>
    </r>
    <r>
      <rPr>
        <sz val="11"/>
        <color theme="1"/>
        <rFont val="Calibri"/>
        <family val="2"/>
        <scheme val="minor"/>
      </rPr>
      <t xml:space="preserve">)] - 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 xml:space="preserve">} / 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  (logit)</t>
    </r>
  </si>
  <si>
    <t>main!C17
selection of method for considering multiple exposure</t>
  </si>
  <si>
    <t>main!B20;C20:C21;E20:G21;I20:I21
MAF calculations greyed out when effect cumulation is selected in combination with fixed drift percentiles</t>
  </si>
  <si>
    <t>main!C30
option for effect cumulation included in description of MAF</t>
  </si>
  <si>
    <t>main!H36:C40
option for effect cumulation included in PEC calculation</t>
  </si>
  <si>
    <t>main!H43
request for dose/response data when effect cumulation is selected</t>
  </si>
  <si>
    <t>vd!C15:C16
formulas changed to refer to either critical drift event in sequence (MAF based on residue dynamics) or highest single exposure peak (MAF based on effect cumulation - not affected by order of peaks)</t>
  </si>
  <si>
    <t>drift_red_no!C11:N15; drift_red_50!C11:N15; drift_red_75!C11:N15; drift_red_90!C11:N15
v/d concentrations added to either critical drift event in sequence (MAF based on residue dynamics) or highest single exposure peak (MAF based on effect cumulation - not affected by order of peaks)</t>
  </si>
  <si>
    <t>problem solved: limited computational accuracy of Excel in calculation of normalised vapour pressure values</t>
  </si>
  <si>
    <t>vd!C6
formula amended to provide calculated vapour pressure as rounded value (15 digits)</t>
  </si>
  <si>
    <t>problem solved: error in selection to either consider accumulation or not in PEC-sed calculation (UK- or US-versions of Excel)</t>
  </si>
  <si>
    <t xml:space="preserve">sed!E9:F9
use description text "f-accu-plat." instead of "f-accu,plat." </t>
  </si>
  <si>
    <t>rev2c</t>
  </si>
  <si>
    <t>simplification of formulas by providing complete application parameters as named array variables on the (hidden) worksheet applic_data</t>
  </si>
  <si>
    <t>new worksheet applic_data</t>
  </si>
  <si>
    <t>vd!C16:C18
check_single_applic!C5:N5
drift_only!C5:N10
drift_red_no...drift_red_90!C5:N10; C22:N22
calculations of drift exposure refer to named variables act_applic_rate, act_factor, and act_interval_applic</t>
  </si>
  <si>
    <t>manual selection of critical application event for v/d calculation</t>
  </si>
  <si>
    <t>vd!C15
additional cell for selection of options
option lists provided as named variables select_vd_applic_res (multiple application assessed via residue dynamics) and select_vd_applic_eff (multiple application assessed via effect cumulation) on worksheet report_table_data
vd!E15
explanations and hints for the selection</t>
  </si>
  <si>
    <t>vd!C16
calculation of the position of the critical application event
"final application rate" - named variable no_applic
"max. application rate" - from named variable act_applic_rate
"max. drift PECact", "max. drift PECtwa" - data from worksheet drift_only</t>
  </si>
  <si>
    <t>vd!C17:C18
formulas simplified, position of critical application event taken from vd!C16</t>
  </si>
  <si>
    <t>drift_red_no!C11:N15; drift_red_50!C11:N15; drift_red_75!C11:N15; drift_red_90!C11:N15
formulas simplified, position of critical application event taken from vd!C16</t>
  </si>
  <si>
    <t>main!C29
applic. # for critical application event additionally listed (where relevant)</t>
  </si>
  <si>
    <t>worksheet MAF_crit_applic no longer required</t>
  </si>
  <si>
    <r>
      <t xml:space="preserve">worksheet MAF_crit_applic deleted
</t>
    </r>
    <r>
      <rPr>
        <sz val="10"/>
        <color rgb="FFFF0000"/>
        <rFont val="Arial"/>
        <family val="2"/>
      </rPr>
      <t>wrong conclusion, corrected in rev2d</t>
    </r>
  </si>
  <si>
    <t>rev2d</t>
  </si>
  <si>
    <t>independent calculation of critical MAF for residue-dynamic dependent calculation of percentiles to avoid a circular reference</t>
  </si>
  <si>
    <t>additional independent calculation of MAF-crit now amended on worksheet applic_data</t>
  </si>
  <si>
    <t>error correction: calculated drift percentiles are now displayed when "MAF-crit" is chosen for %-ile selection</t>
  </si>
  <si>
    <t>main!D36:D40</t>
  </si>
  <si>
    <t>rev2e</t>
  </si>
  <si>
    <t>worksheet added for calculation of time-dependent v/d values over 24 h (input data for FOCUS Step 4)</t>
  </si>
  <si>
    <t>new worksheet vd_24h_FOCUS</t>
  </si>
  <si>
    <t>toggle button for hiding/unhiding the new worksheet added on worksheet vd</t>
  </si>
  <si>
    <t>vd_data!B151:Z155
revised calculation of reduced v/d for substances with DT50 &lt; 1d, now based on a 1-h time scale (congruent to time scale used for FOCUS Step 4)</t>
  </si>
  <si>
    <t>vd_data!B149
In accordance with the temporal resolution of the volatilisation dynamics data, DT50 values are considered step-wise on a 1-h time scale with rounding-up to the next full hour.</t>
  </si>
  <si>
    <t>deactivation of new concept for drift percentiles accounting for residue dynamics in the target compartment (worksheets remain in the workbook)</t>
  </si>
  <si>
    <t>main!F7
input field for selection between "fixed" and "MAF-crit" replaced by entry "fixed" in protected cell</t>
  </si>
  <si>
    <t>new concept for multiple exposure accounting for cumulation of effects in the target organisms flagged out as not yet applied in regulation</t>
  </si>
  <si>
    <t>main!B17;C17
warning message (cell format, text) when "effect cumulation" is selected in B17</t>
  </si>
  <si>
    <t>manual selection of critical application event for v/d calculation flagged out as not yet applied in regulation</t>
  </si>
  <si>
    <t>vd!C15;E15;E16
warning message (cell format, text) when "max. application rate" or "max. drift PECact" are selected in C15</t>
  </si>
  <si>
    <r>
      <t xml:space="preserve">FOCUS default values ΔH-vap = 95 kJ/mol and ΔH-sol = 27 kJ/mol for temperature-dependent recalculation of measured (a) vapour pressure and (b) water solubility to 293.15 K using the Clausius-Clapeyron equation:
(a) p-vap_recalc = exp(-((ΔH-vap/R) </t>
    </r>
    <r>
      <rPr>
        <sz val="10"/>
        <color theme="1"/>
        <rFont val="Calibri"/>
        <family val="2"/>
      </rPr>
      <t xml:space="preserve">× </t>
    </r>
    <r>
      <rPr>
        <sz val="11"/>
        <color theme="1"/>
        <rFont val="Calibri"/>
        <family val="2"/>
        <scheme val="minor"/>
      </rPr>
      <t>((1/293.15) - (1/(T_meas)))) + LN(p-vap_meas)
(b) sol-w_recalc = exp(-((ΔH-sol/R) × ((1/293.15) - (1/(T_meas)))) + LN(sol-w_meas)</t>
    </r>
  </si>
  <si>
    <t>vd!C6
no change to previous versions
vd!C9
previous value 10000 changed to 27000</t>
  </si>
  <si>
    <t>rev 2f</t>
  </si>
  <si>
    <t>PEC/RAC ratios as alternative risk descriptor (for aquatic organisms)</t>
  </si>
  <si>
    <t>main!E45:G45
RAC calculation</t>
  </si>
  <si>
    <t>main!B46;B50
description text according to selection of either TER or PEC/RAC</t>
  </si>
  <si>
    <t>main!C48;D48
selection of either TER or PEC/RAC as risk descriptor</t>
  </si>
  <si>
    <t>main!H52:K56;D60:D64;H67:K67
consideration of either TER or PEC/RAC in calculations</t>
  </si>
  <si>
    <t>amendment in line with earlier revision due to limited computational accuracy of Excel</t>
  </si>
  <si>
    <t>vd!C9
formula amended to provide calculated water solubility as rounded value (15 digits)</t>
  </si>
  <si>
    <t>formula corrected to detect "gardening" in drift scenario sequence</t>
  </si>
  <si>
    <t>main!H62
same functional approach as in main!H59:H61</t>
  </si>
  <si>
    <t>rev 2g</t>
  </si>
  <si>
    <t>option for core assessment to include buffer zones up to 10 m in calculations for terrestrial organisms</t>
  </si>
  <si>
    <t>main!I28
selection between CA and NA as report type</t>
  </si>
  <si>
    <t>main!C38:K38
display values for 10 m buffer zone in terrestrial compartments for report type CA</t>
  </si>
  <si>
    <t>main!H64
German risk mitigation measures only for report type NA</t>
  </si>
  <si>
    <t>HQ approach according to Escort 2 for terrestrial arthropods</t>
  </si>
  <si>
    <t>main!C48;D48
selection between TER, PEC/RAC or HQ (arthrop.) in calculations</t>
  </si>
  <si>
    <t>main!E46:F46
HQ acceptability criterion</t>
  </si>
  <si>
    <t>main!B46;B50
description text according to selection of either TER, PEC/RAC or HQ (arthrop.)</t>
  </si>
  <si>
    <t>main!H52:K56;D60:D64;H67:K67
consideration of either TER, PEC/RAC or HQ (arthrop.) in calculations</t>
  </si>
  <si>
    <t>rev 2h</t>
  </si>
  <si>
    <t>error correction in v/d calculation, limitation due to solubility in water was not correctly implemented (limitation was not considered in final PECsw, formulas did not provide correct results for PECsed)</t>
  </si>
  <si>
    <t>main!G36:G40;L36:L40
formulas/references simplified (consideration of water solubility limit now implemented on worksheet vd - see below)</t>
  </si>
  <si>
    <t>vd!E9;E10
solubility limit recalculated to mg/kg as basis for comparison when PECsed is selected</t>
  </si>
  <si>
    <t>vd!E49:F53
consideration of water solubility limit now implemented in formulas for calculating v/d-% and v/d in g/ha</t>
  </si>
  <si>
    <t>vd!G49:G53
notes is displayed if v/d is limited by water solubility</t>
  </si>
  <si>
    <t>Name</t>
  </si>
  <si>
    <t>RefersToLocal</t>
  </si>
  <si>
    <t>Visible</t>
  </si>
  <si>
    <t>Local name</t>
  </si>
  <si>
    <t>Error</t>
  </si>
  <si>
    <t>External link</t>
  </si>
  <si>
    <t>Relative</t>
  </si>
  <si>
    <t>3-D</t>
  </si>
  <si>
    <t>Areas</t>
  </si>
  <si>
    <t>Cells</t>
  </si>
  <si>
    <t>UnUsed</t>
  </si>
  <si>
    <t>RefersToRange</t>
  </si>
  <si>
    <t>=main!$B$14</t>
  </si>
  <si>
    <t>Not checked</t>
  </si>
  <si>
    <t>[EVA3_rev2h.xlsm]main!$B$14</t>
  </si>
  <si>
    <t>mult_applic</t>
  </si>
  <si>
    <t>=main!$B$17</t>
  </si>
  <si>
    <t>[EVA3_rev2h.xlsm]main!$B$17</t>
  </si>
  <si>
    <t>main!dt50_type</t>
  </si>
  <si>
    <t>=main!$B$20</t>
  </si>
  <si>
    <t>[EVA3_rev2h.xlsm]main!$B$20</t>
  </si>
  <si>
    <t>main!select_parameter</t>
  </si>
  <si>
    <t>=main!$B$23</t>
  </si>
  <si>
    <t>[EVA3_rev2h.xlsm]main!$B$23</t>
  </si>
  <si>
    <t>parameter</t>
  </si>
  <si>
    <t>=main!$B$24</t>
  </si>
  <si>
    <t>[EVA3_rev2h.xlsm]main!$B$24</t>
  </si>
  <si>
    <t>main!vd_rate_select</t>
  </si>
  <si>
    <t>=main!$B$51</t>
  </si>
  <si>
    <t>[EVA3_rev2h.xlsm]main!$B$51</t>
  </si>
  <si>
    <t>factor1</t>
  </si>
  <si>
    <t>=main!$C$10</t>
  </si>
  <si>
    <t>[EVA3_rev2h.xlsm]main!$C$10</t>
  </si>
  <si>
    <t>=main!$C$10:$N$10</t>
  </si>
  <si>
    <t>[EVA3_rev2h.xlsm]main!$C$10:$N$10</t>
  </si>
  <si>
    <t>interval_applic1</t>
  </si>
  <si>
    <t>=main!$C$11</t>
  </si>
  <si>
    <t>[EVA3_rev2h.xlsm]main!$C$11</t>
  </si>
  <si>
    <t>interval_applic</t>
  </si>
  <si>
    <t>=main!$C$11:$N$11</t>
  </si>
  <si>
    <t>[EVA3_rev2h.xlsm]main!$C$11:$N$11</t>
  </si>
  <si>
    <t>dt50_value</t>
  </si>
  <si>
    <t>=main!$C$20</t>
  </si>
  <si>
    <t>[EVA3_rev2h.xlsm]main!$C$20</t>
  </si>
  <si>
    <t>k_deg</t>
  </si>
  <si>
    <t>=main!$C$21</t>
  </si>
  <si>
    <t>[EVA3_rev2h.xlsm]main!$C$21</t>
  </si>
  <si>
    <t>dist_matrix_final</t>
  </si>
  <si>
    <t>=main!$C$36:$C$40</t>
  </si>
  <si>
    <t>[EVA3_rev2h.xlsm]main!$C$36:$C$40</t>
  </si>
  <si>
    <t>main!active_substance_product</t>
  </si>
  <si>
    <t>=main!$C$4</t>
  </si>
  <si>
    <t>[EVA3_rev2h.xlsm]main!$C$4</t>
  </si>
  <si>
    <t>main!rel_effect_value</t>
  </si>
  <si>
    <t>=main!$C$45</t>
  </si>
  <si>
    <t>[EVA3_rev2h.xlsm]main!$C$45</t>
  </si>
  <si>
    <t>main!rel_TER_criterion</t>
  </si>
  <si>
    <t>=main!$C$46</t>
  </si>
  <si>
    <t>[EVA3_rev2h.xlsm]main!$C$46</t>
  </si>
  <si>
    <t>main!risk_desc_type</t>
  </si>
  <si>
    <t>=main!$C$48</t>
  </si>
  <si>
    <t>[EVA3_rev2h.xlsm]main!$C$48</t>
  </si>
  <si>
    <t>main!intended_use</t>
  </si>
  <si>
    <t>=main!$C$5</t>
  </si>
  <si>
    <t>[EVA3_rev2h.xlsm]main!$C$5</t>
  </si>
  <si>
    <t>no_applic</t>
  </si>
  <si>
    <t>=main!$C$7</t>
  </si>
  <si>
    <t>[EVA3_rev2h.xlsm]main!$C$7</t>
  </si>
  <si>
    <t>applic_rate1</t>
  </si>
  <si>
    <t>=main!$C$9</t>
  </si>
  <si>
    <t>[EVA3_rev2h.xlsm]main!$C$9</t>
  </si>
  <si>
    <t>applic_rate</t>
  </si>
  <si>
    <t>=main!$C$9:$N$9</t>
  </si>
  <si>
    <t>[EVA3_rev2h.xlsm]main!$C$9:$N$9</t>
  </si>
  <si>
    <t>drift_red_index</t>
  </si>
  <si>
    <t>=main!$D$60:$D$64</t>
  </si>
  <si>
    <t>[EVA3_rev2h.xlsm]main!$D$60:$D$64</t>
  </si>
  <si>
    <t>main!dt50_select_aqua</t>
  </si>
  <si>
    <t>=main!$E$19</t>
  </si>
  <si>
    <t>[EVA3_rev2h.xlsm]main!$E$19</t>
  </si>
  <si>
    <t>main!dt50_value_aqua</t>
  </si>
  <si>
    <t>=main!$E$19:$E$20</t>
  </si>
  <si>
    <t>[EVA3_rev2h.xlsm]main!$E$19:$E$20</t>
  </si>
  <si>
    <t>main!dt50_select_terr</t>
  </si>
  <si>
    <t>=main!$E$19:$G$19</t>
  </si>
  <si>
    <t>[EVA3_rev2h.xlsm]main!$E$19:$G$19</t>
  </si>
  <si>
    <t>main!dt50_value_terr</t>
  </si>
  <si>
    <t>=main!$E$19:$G$21</t>
  </si>
  <si>
    <t>[EVA3_rev2h.xlsm]main!$E$19:$G$21</t>
  </si>
  <si>
    <t>twa_int_value</t>
  </si>
  <si>
    <t>=main!$E$24</t>
  </si>
  <si>
    <t>[EVA3_rev2h.xlsm]main!$E$24</t>
  </si>
  <si>
    <t>main!reg_accept_conc</t>
  </si>
  <si>
    <t>=main!$F$45</t>
  </si>
  <si>
    <t>[EVA3_rev2h.xlsm]main!$F$45</t>
  </si>
  <si>
    <t>main!rel_HQ_criterion</t>
  </si>
  <si>
    <t>=main!$F$46</t>
  </si>
  <si>
    <t>[EVA3_rev2h.xlsm]main!$F$46</t>
  </si>
  <si>
    <t>select_perc_type</t>
  </si>
  <si>
    <t>=main!$F$7</t>
  </si>
  <si>
    <t>[EVA3_rev2h.xlsm]main!$F$7</t>
  </si>
  <si>
    <t>PEC_matrix_final</t>
  </si>
  <si>
    <t>=main!$H$36:$K$40</t>
  </si>
  <si>
    <t>[EVA3_rev2h.xlsm]main!$H$36:$K$40</t>
  </si>
  <si>
    <t>main!TER_final_01m</t>
  </si>
  <si>
    <t>=main!$H$52:$K$52</t>
  </si>
  <si>
    <t>[EVA3_rev2h.xlsm]main!$H$52:$K$52</t>
  </si>
  <si>
    <t>main!TER_matrix_final</t>
  </si>
  <si>
    <t>=main!$H$52:$K$56</t>
  </si>
  <si>
    <t>[EVA3_rev2h.xlsm]main!$H$52:$K$56</t>
  </si>
  <si>
    <t>main!TER_final_05m</t>
  </si>
  <si>
    <t>=main!$H$53:$K$53</t>
  </si>
  <si>
    <t>[EVA3_rev2h.xlsm]main!$H$53:$K$53</t>
  </si>
  <si>
    <t>main!TER_final_10m</t>
  </si>
  <si>
    <t>=main!$H$54:$K$54</t>
  </si>
  <si>
    <t>[EVA3_rev2h.xlsm]main!$H$54:$K$54</t>
  </si>
  <si>
    <t>main!TER_final_15m</t>
  </si>
  <si>
    <t>=main!$H$55:$K$55</t>
  </si>
  <si>
    <t>[EVA3_rev2h.xlsm]main!$H$55:$K$55</t>
  </si>
  <si>
    <t>main!TER_final_20m</t>
  </si>
  <si>
    <t>=main!$H$56:$K$56</t>
  </si>
  <si>
    <t>[EVA3_rev2h.xlsm]main!$H$56:$K$56</t>
  </si>
  <si>
    <t>PEC_unit</t>
  </si>
  <si>
    <t>=main!$I$24</t>
  </si>
  <si>
    <t>[EVA3_rev2h.xlsm]main!$I$24</t>
  </si>
  <si>
    <t>main!report_doc</t>
  </si>
  <si>
    <t>=main!$I$28</t>
  </si>
  <si>
    <t>[EVA3_rev2h.xlsm]main!$I$28</t>
  </si>
  <si>
    <t>applic_rate_unit</t>
  </si>
  <si>
    <t>=main!$I$4</t>
  </si>
  <si>
    <t>[EVA3_rev2h.xlsm]main!$I$4</t>
  </si>
  <si>
    <t>main!scenario_factor</t>
  </si>
  <si>
    <t>=main!$K$24</t>
  </si>
  <si>
    <t>[EVA3_rev2h.xlsm]main!$K$24</t>
  </si>
  <si>
    <t>prod_density</t>
  </si>
  <si>
    <t>=main!$K$4</t>
  </si>
  <si>
    <t>[EVA3_rev2h.xlsm]main!$K$4</t>
  </si>
  <si>
    <t>vd!vd_rate_select</t>
  </si>
  <si>
    <t>=vd!$B$48</t>
  </si>
  <si>
    <t>[EVA3_rev2h.xlsm]vd!$B$48</t>
  </si>
  <si>
    <t>vd!merged_cells</t>
  </si>
  <si>
    <t>=vd!$C$12:$E$13</t>
  </si>
  <si>
    <t>[EVA3_rev2h.xlsm]vd!$C$12:$E$13</t>
  </si>
  <si>
    <t>vd!select_vd_applic_crit</t>
  </si>
  <si>
    <t>=vd!$C$15</t>
  </si>
  <si>
    <t>[EVA3_rev2h.xlsm]vd!$C$15</t>
  </si>
  <si>
    <t>vd_applic_crit</t>
  </si>
  <si>
    <t>=vd!$C$16</t>
  </si>
  <si>
    <t>[EVA3_rev2h.xlsm]vd!$C$16</t>
  </si>
  <si>
    <t>applic_rate_vd</t>
  </si>
  <si>
    <t>=vd!$C$18</t>
  </si>
  <si>
    <t>[EVA3_rev2h.xlsm]vd!$C$18</t>
  </si>
  <si>
    <t>vd!crit_drift_scenario</t>
  </si>
  <si>
    <t>=vd!$C$20</t>
  </si>
  <si>
    <t>[EVA3_rev2h.xlsm]vd!$C$20</t>
  </si>
  <si>
    <t>vd!crop_interception</t>
  </si>
  <si>
    <t>=vd!$C$23</t>
  </si>
  <si>
    <t>[EVA3_rev2h.xlsm]vd!$C$23</t>
  </si>
  <si>
    <t>grnhouse_area</t>
  </si>
  <si>
    <t>=vd!$C$26</t>
  </si>
  <si>
    <t>[EVA3_rev2h.xlsm]vd!$C$26</t>
  </si>
  <si>
    <t>grnhouse_vol</t>
  </si>
  <si>
    <t>=vd!$C$27</t>
  </si>
  <si>
    <t>[EVA3_rev2h.xlsm]vd!$C$27</t>
  </si>
  <si>
    <t>grnhouse_exchange</t>
  </si>
  <si>
    <t>=vd!$C$28</t>
  </si>
  <si>
    <t>[EVA3_rev2h.xlsm]vd!$C$28</t>
  </si>
  <si>
    <t>grnhouse_amount</t>
  </si>
  <si>
    <t>=vd!$C$30</t>
  </si>
  <si>
    <t>[EVA3_rev2h.xlsm]vd!$C$30</t>
  </si>
  <si>
    <t>vapour_pressure_meas</t>
  </si>
  <si>
    <t>=vd!$C$4</t>
  </si>
  <si>
    <t>[EVA3_rev2h.xlsm]vd!$C$4</t>
  </si>
  <si>
    <t>vd!crop_interc_study</t>
  </si>
  <si>
    <t>=vd!$C$42</t>
  </si>
  <si>
    <t>[EVA3_rev2h.xlsm]vd!$C$42</t>
  </si>
  <si>
    <t>vd!cf_interc_study</t>
  </si>
  <si>
    <t>=vd!$C$43</t>
  </si>
  <si>
    <t>[EVA3_rev2h.xlsm]vd!$C$43</t>
  </si>
  <si>
    <t>vapour_pressure_temp</t>
  </si>
  <si>
    <t>=vd!$C$5</t>
  </si>
  <si>
    <t>[EVA3_rev2h.xlsm]vd!$C$5</t>
  </si>
  <si>
    <t>vapour_pressure_20</t>
  </si>
  <si>
    <t>=vd!$C$6</t>
  </si>
  <si>
    <t>[EVA3_rev2h.xlsm]vd!$C$6</t>
  </si>
  <si>
    <t>water_solubility_meas</t>
  </si>
  <si>
    <t>=vd!$C$7</t>
  </si>
  <si>
    <t>[EVA3_rev2h.xlsm]vd!$C$7</t>
  </si>
  <si>
    <t>water_solubility_temp</t>
  </si>
  <si>
    <t>=vd!$C$8</t>
  </si>
  <si>
    <t>[EVA3_rev2h.xlsm]vd!$C$8</t>
  </si>
  <si>
    <t>water_solubility_20</t>
  </si>
  <si>
    <t>=vd!$C$9</t>
  </si>
  <si>
    <t>[EVA3_rev2h.xlsm]vd!$C$9</t>
  </si>
  <si>
    <t>vd!grnhouse_area_default</t>
  </si>
  <si>
    <t>=vd!$D$26</t>
  </si>
  <si>
    <t>[EVA3_rev2h.xlsm]vd!$D$26</t>
  </si>
  <si>
    <t>vd!grnhouse_vol_default</t>
  </si>
  <si>
    <t>=vd!$D$27</t>
  </si>
  <si>
    <t>[EVA3_rev2h.xlsm]vd!$D$27</t>
  </si>
  <si>
    <t>vd!grnhouse_exchange_default</t>
  </si>
  <si>
    <t>=vd!$D$28</t>
  </si>
  <si>
    <t>[EVA3_rev2h.xlsm]vd!$D$28</t>
  </si>
  <si>
    <t>vd!grnhouse_area_user</t>
  </si>
  <si>
    <t>=vd!$E$26</t>
  </si>
  <si>
    <t>[EVA3_rev2h.xlsm]vd!$E$26</t>
  </si>
  <si>
    <t>vd!grnhouse_vol_user</t>
  </si>
  <si>
    <t>=vd!$E$27</t>
  </si>
  <si>
    <t>[EVA3_rev2h.xlsm]vd!$E$27</t>
  </si>
  <si>
    <t>vd!grnhouse_exchange_user</t>
  </si>
  <si>
    <t>=vd!$E$28</t>
  </si>
  <si>
    <t>[EVA3_rev2h.xlsm]vd!$E$28</t>
  </si>
  <si>
    <t>vd_perc_final_01m</t>
  </si>
  <si>
    <t>=vd!$E$49</t>
  </si>
  <si>
    <t>[EVA3_rev2h.xlsm]vd!$E$49</t>
  </si>
  <si>
    <t>vd_perc_final_05m</t>
  </si>
  <si>
    <t>=vd!$E$50</t>
  </si>
  <si>
    <t>[EVA3_rev2h.xlsm]vd!$E$50</t>
  </si>
  <si>
    <t>vd_perc_final_10m</t>
  </si>
  <si>
    <t>=vd!$E$51</t>
  </si>
  <si>
    <t>[EVA3_rev2h.xlsm]vd!$E$51</t>
  </si>
  <si>
    <t>vd_perc_final_15m</t>
  </si>
  <si>
    <t>=vd!$E$52</t>
  </si>
  <si>
    <t>[EVA3_rev2h.xlsm]vd!$E$52</t>
  </si>
  <si>
    <t>vd_perc_final_20m</t>
  </si>
  <si>
    <t>=vd!$E$53</t>
  </si>
  <si>
    <t>[EVA3_rev2h.xlsm]vd!$E$53</t>
  </si>
  <si>
    <t>water_solubility_20_sed</t>
  </si>
  <si>
    <t>=vd!$E$9</t>
  </si>
  <si>
    <t>[EVA3_rev2h.xlsm]vd!$E$9</t>
  </si>
  <si>
    <t>vd!vd_percent_calc</t>
  </si>
  <si>
    <t>=vd!$F$34:$F$38</t>
  </si>
  <si>
    <t>[EVA3_rev2h.xlsm]vd!$F$34:$F$38</t>
  </si>
  <si>
    <t>vd!vd_percent_meas</t>
  </si>
  <si>
    <t>=vd!$F$41:$F$45</t>
  </si>
  <si>
    <t>[EVA3_rev2h.xlsm]vd!$F$41:$F$45</t>
  </si>
  <si>
    <t>vd_rate_final_01m</t>
  </si>
  <si>
    <t>=vd!$F$49</t>
  </si>
  <si>
    <t>[EVA3_rev2h.xlsm]vd!$F$49</t>
  </si>
  <si>
    <t>vd_rate_final</t>
  </si>
  <si>
    <t>=vd!$F$49:$F$53</t>
  </si>
  <si>
    <t>[EVA3_rev2h.xlsm]vd!$F$49:$F$53</t>
  </si>
  <si>
    <t>vd_rate_final_05m</t>
  </si>
  <si>
    <t>=vd!$F$50</t>
  </si>
  <si>
    <t>[EVA3_rev2h.xlsm]vd!$F$50</t>
  </si>
  <si>
    <t>vd_rate_final_10m</t>
  </si>
  <si>
    <t>=vd!$F$51</t>
  </si>
  <si>
    <t>[EVA3_rev2h.xlsm]vd!$F$51</t>
  </si>
  <si>
    <t>vd_rate_final_15m</t>
  </si>
  <si>
    <t>=vd!$F$52</t>
  </si>
  <si>
    <t>[EVA3_rev2h.xlsm]vd!$F$52</t>
  </si>
  <si>
    <t>vd_rate_final_20m</t>
  </si>
  <si>
    <t>=vd!$F$53</t>
  </si>
  <si>
    <t>[EVA3_rev2h.xlsm]vd!$F$53</t>
  </si>
  <si>
    <t>vd_limit_wat_sol</t>
  </si>
  <si>
    <t>=vd!$G$49:$G$53</t>
  </si>
  <si>
    <t>[EVA3_rev2h.xlsm]vd!$G$49:$G$53</t>
  </si>
  <si>
    <t>vd_24h_FOCUS!dep_unit</t>
  </si>
  <si>
    <t>=vd_24h_FOCUS!$F$5</t>
  </si>
  <si>
    <t>[EVA3_rev2h.xlsm]vd_24h_FOCUS!$F$5</t>
  </si>
  <si>
    <t>vd_24h_FOCUS!rate_dep_factor</t>
  </si>
  <si>
    <t>=vd_24h_FOCUS!$I$5</t>
  </si>
  <si>
    <t>[EVA3_rev2h.xlsm]vd_24h_FOCUS!$I$5</t>
  </si>
  <si>
    <t>perc_in_sed</t>
  </si>
  <si>
    <t>=sed!$C$4</t>
  </si>
  <si>
    <t>[EVA3_rev2h.xlsm]sed!$C$4</t>
  </si>
  <si>
    <t>sed!K_f_oc</t>
  </si>
  <si>
    <t>=sed!$C$5</t>
  </si>
  <si>
    <t>[EVA3_rev2h.xlsm]sed!$C$5</t>
  </si>
  <si>
    <t>sed!sed_wet_dry</t>
  </si>
  <si>
    <t>=sed!$C$7</t>
  </si>
  <si>
    <t>[EVA3_rev2h.xlsm]sed!$C$7</t>
  </si>
  <si>
    <t>sed!dt50_sed_value</t>
  </si>
  <si>
    <t>=sed!$C$9</t>
  </si>
  <si>
    <t>[EVA3_rev2h.xlsm]sed!$C$9</t>
  </si>
  <si>
    <t>sed!select_accu</t>
  </si>
  <si>
    <t>=sed!$E$9</t>
  </si>
  <si>
    <t>[EVA3_rev2h.xlsm]sed!$E$9</t>
  </si>
  <si>
    <t>sed_layer</t>
  </si>
  <si>
    <t>=sed!$F$5</t>
  </si>
  <si>
    <t>[EVA3_rev2h.xlsm]sed!$F$5</t>
  </si>
  <si>
    <t>sed_density</t>
  </si>
  <si>
    <t>=sed!$F$7</t>
  </si>
  <si>
    <t>[EVA3_rev2h.xlsm]sed!$F$7</t>
  </si>
  <si>
    <t>f_accu_plat</t>
  </si>
  <si>
    <t>=sed!$F$9</t>
  </si>
  <si>
    <t>[EVA3_rev2h.xlsm]sed!$F$9</t>
  </si>
  <si>
    <t>cum-eff'!effect_user</t>
  </si>
  <si>
    <t>='cum-eff'!$C$16</t>
  </si>
  <si>
    <t>[EVA3_rev2h.xlsm]cum-eff'!$C$16</t>
  </si>
  <si>
    <t>cum-eff'!effect_lower</t>
  </si>
  <si>
    <t>='cum-eff'!$C$5</t>
  </si>
  <si>
    <t>[EVA3_rev2h.xlsm]cum-eff'!$C$5</t>
  </si>
  <si>
    <t>cum-eff'!effect_higher</t>
  </si>
  <si>
    <t>='cum-eff'!$C$6</t>
  </si>
  <si>
    <t>[EVA3_rev2h.xlsm]cum-eff'!$C$6</t>
  </si>
  <si>
    <t>select_fitting_approach</t>
  </si>
  <si>
    <t>='cum-eff'!$C$8</t>
  </si>
  <si>
    <t>[EVA3_rev2h.xlsm]cum-eff'!$C$8</t>
  </si>
  <si>
    <t>cum-eff'!dose_user</t>
  </si>
  <si>
    <t>='cum-eff'!$D$13</t>
  </si>
  <si>
    <t>[EVA3_rev2h.xlsm]cum-eff'!$D$13</t>
  </si>
  <si>
    <t>cum-eff'!dose_lower</t>
  </si>
  <si>
    <t>='cum-eff'!$D$5</t>
  </si>
  <si>
    <t>[EVA3_rev2h.xlsm]cum-eff'!$D$5</t>
  </si>
  <si>
    <t>cum-eff'!dose_higher</t>
  </si>
  <si>
    <t>='cum-eff'!$D$6</t>
  </si>
  <si>
    <t>[EVA3_rev2h.xlsm]cum-eff'!$D$6</t>
  </si>
  <si>
    <t>cum-eff'!probit_effect_calc</t>
  </si>
  <si>
    <t>='cum-eff'!$F$13</t>
  </si>
  <si>
    <t>[EVA3_rev2h.xlsm]cum-eff'!$F$13</t>
  </si>
  <si>
    <t>cum-eff'!probit_dose_calc</t>
  </si>
  <si>
    <t>='cum-eff'!$F$16</t>
  </si>
  <si>
    <t>[EVA3_rev2h.xlsm]cum-eff'!$F$16</t>
  </si>
  <si>
    <t>probit_slope</t>
  </si>
  <si>
    <t>='cum-eff'!$F$5</t>
  </si>
  <si>
    <t>[EVA3_rev2h.xlsm]cum-eff'!$F$5</t>
  </si>
  <si>
    <t>probit_intercept</t>
  </si>
  <si>
    <t>='cum-eff'!$F$6</t>
  </si>
  <si>
    <t>[EVA3_rev2h.xlsm]cum-eff'!$F$6</t>
  </si>
  <si>
    <t>cum-eff'!probit_slope_user</t>
  </si>
  <si>
    <t>='cum-eff'!$G$5</t>
  </si>
  <si>
    <t>[EVA3_rev2h.xlsm]cum-eff'!$G$5</t>
  </si>
  <si>
    <t>cum-eff'!probit_intercept_user</t>
  </si>
  <si>
    <t>='cum-eff'!$G$6</t>
  </si>
  <si>
    <t>[EVA3_rev2h.xlsm]cum-eff'!$G$6</t>
  </si>
  <si>
    <t>cum-eff'!logit_effect_calc</t>
  </si>
  <si>
    <t>='cum-eff'!$I$13</t>
  </si>
  <si>
    <t>[EVA3_rev2h.xlsm]cum-eff'!$I$13</t>
  </si>
  <si>
    <t>cum-eff'!logit_dose_calc</t>
  </si>
  <si>
    <t>='cum-eff'!$I$16</t>
  </si>
  <si>
    <t>[EVA3_rev2h.xlsm]cum-eff'!$I$16</t>
  </si>
  <si>
    <t>logit_slope</t>
  </si>
  <si>
    <t>='cum-eff'!$I$5</t>
  </si>
  <si>
    <t>[EVA3_rev2h.xlsm]cum-eff'!$I$5</t>
  </si>
  <si>
    <t>logit_intercept</t>
  </si>
  <si>
    <t>='cum-eff'!$I$6</t>
  </si>
  <si>
    <t>[EVA3_rev2h.xlsm]cum-eff'!$I$6</t>
  </si>
  <si>
    <t>cum-eff'!logit_slope_user</t>
  </si>
  <si>
    <t>='cum-eff'!$J$5</t>
  </si>
  <si>
    <t>[EVA3_rev2h.xlsm]cum-eff'!$J$5</t>
  </si>
  <si>
    <t>cum-eff'!logit_intercept_user</t>
  </si>
  <si>
    <t>='cum-eff'!$J$6</t>
  </si>
  <si>
    <t>[EVA3_rev2h.xlsm]cum-eff'!$J$6</t>
  </si>
  <si>
    <t>check_single_applic!twa_int_copy</t>
  </si>
  <si>
    <t>=check_single_applic!$C$11</t>
  </si>
  <si>
    <t>[EVA3_rev2h.xlsm]check_single_applic!$C$11</t>
  </si>
  <si>
    <t>single_applic_crit</t>
  </si>
  <si>
    <t>=check_single_applic!$C$15</t>
  </si>
  <si>
    <t>[EVA3_rev2h.xlsm]check_single_applic!$C$15</t>
  </si>
  <si>
    <t>check_single_applic!drift_reduction</t>
  </si>
  <si>
    <t>=check_single_applic!$C$3</t>
  </si>
  <si>
    <t>[EVA3_rev2h.xlsm]check_single_applic!$C$3</t>
  </si>
  <si>
    <t>check_single_applic!drift_rate_01m</t>
  </si>
  <si>
    <t>=check_single_applic!$C$5:$N$5</t>
  </si>
  <si>
    <t>[EVA3_rev2h.xlsm]check_single_applic!$C$5:$N$5</t>
  </si>
  <si>
    <t>check_single_applic!vd_rate_01m</t>
  </si>
  <si>
    <t>=check_single_applic!$C$7:$N$7</t>
  </si>
  <si>
    <t>[EVA3_rev2h.xlsm]check_single_applic!$C$7:$N$7</t>
  </si>
  <si>
    <t>check_single_applic!actual_rate_01m</t>
  </si>
  <si>
    <t>=check_single_applic!$C$9:$N$9</t>
  </si>
  <si>
    <t>[EVA3_rev2h.xlsm]check_single_applic!$C$9:$N$9</t>
  </si>
  <si>
    <t>peak_single_crit</t>
  </si>
  <si>
    <t>=check_single_applic!$E$13</t>
  </si>
  <si>
    <t>[EVA3_rev2h.xlsm]check_single_applic!$E$13</t>
  </si>
  <si>
    <t>twa_single_crit</t>
  </si>
  <si>
    <t>=check_single_applic!$E$14</t>
  </si>
  <si>
    <t>[EVA3_rev2h.xlsm]check_single_applic!$E$14</t>
  </si>
  <si>
    <t>check_single_applic!k_deg_copy</t>
  </si>
  <si>
    <t>=check_single_applic!$G$11</t>
  </si>
  <si>
    <t>[EVA3_rev2h.xlsm]check_single_applic!$G$11</t>
  </si>
  <si>
    <t>drift_only!interval_actual1</t>
  </si>
  <si>
    <t>=drift_only!$C$10</t>
  </si>
  <si>
    <t>[EVA3_rev2h.xlsm]drift_only!$C$10</t>
  </si>
  <si>
    <t>drift_only!interval_actual</t>
  </si>
  <si>
    <t>=drift_only!$C$10:$N$10</t>
  </si>
  <si>
    <t>[EVA3_rev2h.xlsm]drift_only!$C$10:$N$10</t>
  </si>
  <si>
    <t>drift_only!twa_int_copy</t>
  </si>
  <si>
    <t>=drift_only!$C$12</t>
  </si>
  <si>
    <t>[EVA3_rev2h.xlsm]drift_only!$C$12</t>
  </si>
  <si>
    <t>drift_only!peak_max_01m</t>
  </si>
  <si>
    <t>=drift_only!$C$15</t>
  </si>
  <si>
    <t>[EVA3_rev2h.xlsm]drift_only!$C$15</t>
  </si>
  <si>
    <t>drift_only!twa_max_01m</t>
  </si>
  <si>
    <t>=drift_only!$C$16</t>
  </si>
  <si>
    <t>[EVA3_rev2h.xlsm]drift_only!$C$16</t>
  </si>
  <si>
    <t>drift_only!int_applic_begin_01m</t>
  </si>
  <si>
    <t>=drift_only!$C$20:$N$20</t>
  </si>
  <si>
    <t>[EVA3_rev2h.xlsm]drift_only!$C$20:$N$20</t>
  </si>
  <si>
    <t>drift_only!int_applic_end_01m</t>
  </si>
  <si>
    <t>=drift_only!$C$21:$N$21</t>
  </si>
  <si>
    <t>[EVA3_rev2h.xlsm]drift_only!$C$21:$N$21</t>
  </si>
  <si>
    <t>drift_only!peak_amount_01m</t>
  </si>
  <si>
    <t>=drift_only!$C$22:$N$22</t>
  </si>
  <si>
    <t>[EVA3_rev2h.xlsm]drift_only!$C$22:$N$22</t>
  </si>
  <si>
    <t>drift_only!final_amount_01m</t>
  </si>
  <si>
    <t>=drift_only!$C$23:$N$23</t>
  </si>
  <si>
    <t>[EVA3_rev2h.xlsm]drift_only!$C$23:$N$23</t>
  </si>
  <si>
    <t>drift_only!twa_sum_01m</t>
  </si>
  <si>
    <t>=drift_only!$C$26:$N$26</t>
  </si>
  <si>
    <t>[EVA3_rev2h.xlsm]drift_only!$C$26:$N$26</t>
  </si>
  <si>
    <t>drift_only!drift_reduction</t>
  </si>
  <si>
    <t>=drift_only!$C$3</t>
  </si>
  <si>
    <t>[EVA3_rev2h.xlsm]drift_only!$C$3</t>
  </si>
  <si>
    <t>drift_only!int_applic_begin_05m</t>
  </si>
  <si>
    <t>=drift_only!$C$33:$N$33</t>
  </si>
  <si>
    <t>[EVA3_rev2h.xlsm]drift_only!$C$33:$N$33</t>
  </si>
  <si>
    <t>drift_only!int_applic_end_05m</t>
  </si>
  <si>
    <t>=drift_only!$C$34:$N$34</t>
  </si>
  <si>
    <t>[EVA3_rev2h.xlsm]drift_only!$C$34:$N$34</t>
  </si>
  <si>
    <t>drift_only!peak_amount_05m</t>
  </si>
  <si>
    <t>=drift_only!$C$35:$N$35</t>
  </si>
  <si>
    <t>[EVA3_rev2h.xlsm]drift_only!$C$35:$N$35</t>
  </si>
  <si>
    <t>drift_only!final_amount_05m</t>
  </si>
  <si>
    <t>=drift_only!$C$36:$N$36</t>
  </si>
  <si>
    <t>[EVA3_rev2h.xlsm]drift_only!$C$36:$N$36</t>
  </si>
  <si>
    <t>drift_only!twa_sum_05m</t>
  </si>
  <si>
    <t>=drift_only!$C$39:$N$39</t>
  </si>
  <si>
    <t>[EVA3_rev2h.xlsm]drift_only!$C$39:$N$39</t>
  </si>
  <si>
    <t>drift_only!int_applic_begin_10m</t>
  </si>
  <si>
    <t>=drift_only!$C$46:$N$46</t>
  </si>
  <si>
    <t>[EVA3_rev2h.xlsm]drift_only!$C$46:$N$46</t>
  </si>
  <si>
    <t>drift_only!int_applic_end_10m</t>
  </si>
  <si>
    <t>=drift_only!$C$47:$N$47</t>
  </si>
  <si>
    <t>[EVA3_rev2h.xlsm]drift_only!$C$47:$N$47</t>
  </si>
  <si>
    <t>drift_only!peak_amount_10m</t>
  </si>
  <si>
    <t>=drift_only!$C$48:$N$48</t>
  </si>
  <si>
    <t>[EVA3_rev2h.xlsm]drift_only!$C$48:$N$48</t>
  </si>
  <si>
    <t>drift_only!final_amount_10m</t>
  </si>
  <si>
    <t>=drift_only!$C$49:$N$49</t>
  </si>
  <si>
    <t>[EVA3_rev2h.xlsm]drift_only!$C$49:$N$49</t>
  </si>
  <si>
    <t>drift_only!drift_rate_01m</t>
  </si>
  <si>
    <t>=drift_only!$C$5:$N$5</t>
  </si>
  <si>
    <t>[EVA3_rev2h.xlsm]drift_only!$C$5:$N$5</t>
  </si>
  <si>
    <t>drift_only!twa_sum_10m</t>
  </si>
  <si>
    <t>=drift_only!$C$52:$N$52</t>
  </si>
  <si>
    <t>[EVA3_rev2h.xlsm]drift_only!$C$52:$N$52</t>
  </si>
  <si>
    <t>drift_only!int_applic_begin_15m</t>
  </si>
  <si>
    <t>=drift_only!$C$59:$N$59</t>
  </si>
  <si>
    <t>[EVA3_rev2h.xlsm]drift_only!$C$59:$N$59</t>
  </si>
  <si>
    <t>drift_only!drift_rate_05m</t>
  </si>
  <si>
    <t>=drift_only!$C$6:$N$6</t>
  </si>
  <si>
    <t>[EVA3_rev2h.xlsm]drift_only!$C$6:$N$6</t>
  </si>
  <si>
    <t>drift_only!int_applic_end_15m</t>
  </si>
  <si>
    <t>=drift_only!$C$60:$N$60</t>
  </si>
  <si>
    <t>[EVA3_rev2h.xlsm]drift_only!$C$60:$N$60</t>
  </si>
  <si>
    <t>drift_only!peak_amount_15m</t>
  </si>
  <si>
    <t>=drift_only!$C$61:$N$61</t>
  </si>
  <si>
    <t>[EVA3_rev2h.xlsm]drift_only!$C$61:$N$61</t>
  </si>
  <si>
    <t>drift_only!final_amount_15m</t>
  </si>
  <si>
    <t>=drift_only!$C$62:$N$62</t>
  </si>
  <si>
    <t>[EVA3_rev2h.xlsm]drift_only!$C$62:$N$62</t>
  </si>
  <si>
    <t>drift_only!twa_sum_15m</t>
  </si>
  <si>
    <t>=drift_only!$C$65:$N$65</t>
  </si>
  <si>
    <t>[EVA3_rev2h.xlsm]drift_only!$C$65:$N$65</t>
  </si>
  <si>
    <t>drift_only!drift_rate_10m</t>
  </si>
  <si>
    <t>=drift_only!$C$7:$N$7</t>
  </si>
  <si>
    <t>[EVA3_rev2h.xlsm]drift_only!$C$7:$N$7</t>
  </si>
  <si>
    <t>drift_only!int_applic_begin_20m</t>
  </si>
  <si>
    <t>=drift_only!$C$72:$N$72</t>
  </si>
  <si>
    <t>[EVA3_rev2h.xlsm]drift_only!$C$72:$N$72</t>
  </si>
  <si>
    <t>drift_only!int_applic_end_20m</t>
  </si>
  <si>
    <t>=drift_only!$C$73:$N$73</t>
  </si>
  <si>
    <t>[EVA3_rev2h.xlsm]drift_only!$C$73:$N$73</t>
  </si>
  <si>
    <t>drift_only!peak_amount_20m</t>
  </si>
  <si>
    <t>=drift_only!$C$74:$N$74</t>
  </si>
  <si>
    <t>[EVA3_rev2h.xlsm]drift_only!$C$74:$N$74</t>
  </si>
  <si>
    <t>drift_only!final_amount_20m</t>
  </si>
  <si>
    <t>=drift_only!$C$75:$N$75</t>
  </si>
  <si>
    <t>[EVA3_rev2h.xlsm]drift_only!$C$75:$N$75</t>
  </si>
  <si>
    <t>drift_only!twa_sum_20m</t>
  </si>
  <si>
    <t>=drift_only!$C$78:$N$78</t>
  </si>
  <si>
    <t>[EVA3_rev2h.xlsm]drift_only!$C$78:$N$78</t>
  </si>
  <si>
    <t>drift_only!drift_rate_15m</t>
  </si>
  <si>
    <t>=drift_only!$C$8:$N$8</t>
  </si>
  <si>
    <t>[EVA3_rev2h.xlsm]drift_only!$C$8:$N$8</t>
  </si>
  <si>
    <t>drift_only!drift_rate_20m</t>
  </si>
  <si>
    <t>=drift_only!$C$9:$N$9</t>
  </si>
  <si>
    <t>[EVA3_rev2h.xlsm]drift_only!$C$9:$N$9</t>
  </si>
  <si>
    <t>drift_only!peak_max_05m</t>
  </si>
  <si>
    <t>=drift_only!$D$15</t>
  </si>
  <si>
    <t>[EVA3_rev2h.xlsm]drift_only!$D$15</t>
  </si>
  <si>
    <t>drift_only!twa_max_05m</t>
  </si>
  <si>
    <t>=drift_only!$D$16</t>
  </si>
  <si>
    <t>[EVA3_rev2h.xlsm]drift_only!$D$16</t>
  </si>
  <si>
    <t>drift_only!no_applic_copy</t>
  </si>
  <si>
    <t>=drift_only!$E$12</t>
  </si>
  <si>
    <t>[EVA3_rev2h.xlsm]drift_only!$E$12</t>
  </si>
  <si>
    <t>drift_only!peak_max_10m</t>
  </si>
  <si>
    <t>=drift_only!$E$15</t>
  </si>
  <si>
    <t>[EVA3_rev2h.xlsm]drift_only!$E$15</t>
  </si>
  <si>
    <t>drift_only!twa_max_10m</t>
  </si>
  <si>
    <t>=drift_only!$E$16</t>
  </si>
  <si>
    <t>[EVA3_rev2h.xlsm]drift_only!$E$16</t>
  </si>
  <si>
    <t>drift_only!peak_max_15m</t>
  </si>
  <si>
    <t>=drift_only!$F$15</t>
  </si>
  <si>
    <t>[EVA3_rev2h.xlsm]drift_only!$F$15</t>
  </si>
  <si>
    <t>drift_only!twa_max_15m</t>
  </si>
  <si>
    <t>=drift_only!$F$16</t>
  </si>
  <si>
    <t>[EVA3_rev2h.xlsm]drift_only!$F$16</t>
  </si>
  <si>
    <t>drift_only!k_deg_copy</t>
  </si>
  <si>
    <t>=drift_only!$G$12</t>
  </si>
  <si>
    <t>[EVA3_rev2h.xlsm]drift_only!$G$12</t>
  </si>
  <si>
    <t>drift_only!peak_max_20m</t>
  </si>
  <si>
    <t>=drift_only!$G$15</t>
  </si>
  <si>
    <t>[EVA3_rev2h.xlsm]drift_only!$G$15</t>
  </si>
  <si>
    <t>drift_only!twa_max_20m</t>
  </si>
  <si>
    <t>=drift_only!$G$16</t>
  </si>
  <si>
    <t>[EVA3_rev2h.xlsm]drift_only!$G$16</t>
  </si>
  <si>
    <t>drift_red_no!vd_rate_01m</t>
  </si>
  <si>
    <t>=drift_red_no!$C$11:$N$11</t>
  </si>
  <si>
    <t>[EVA3_rev2h.xlsm]drift_red_no!$C$11:$N$11</t>
  </si>
  <si>
    <t>drift_red_no!vd_rate_05m</t>
  </si>
  <si>
    <t>=drift_red_no!$C$12:$N$12</t>
  </si>
  <si>
    <t>[EVA3_rev2h.xlsm]drift_red_no!$C$12:$N$12</t>
  </si>
  <si>
    <t>drift_red_no!vd_rate_10m</t>
  </si>
  <si>
    <t>=drift_red_no!$C$13:$N$13</t>
  </si>
  <si>
    <t>[EVA3_rev2h.xlsm]drift_red_no!$C$13:$N$13</t>
  </si>
  <si>
    <t>drift_red_no!vd_rate_15m</t>
  </si>
  <si>
    <t>=drift_red_no!$C$14:$N$14</t>
  </si>
  <si>
    <t>[EVA3_rev2h.xlsm]drift_red_no!$C$14:$N$14</t>
  </si>
  <si>
    <t>drift_red_no!vd_rate_20m</t>
  </si>
  <si>
    <t>=drift_red_no!$C$15:$N$15</t>
  </si>
  <si>
    <t>[EVA3_rev2h.xlsm]drift_red_no!$C$15:$N$15</t>
  </si>
  <si>
    <t>drift_red_no!actual_rate_01m</t>
  </si>
  <si>
    <t>=drift_red_no!$C$17:$N$17</t>
  </si>
  <si>
    <t>[EVA3_rev2h.xlsm]drift_red_no!$C$17:$N$17</t>
  </si>
  <si>
    <t>drift_red_no!actual_rate_05m</t>
  </si>
  <si>
    <t>=drift_red_no!$C$18:$N$18</t>
  </si>
  <si>
    <t>[EVA3_rev2h.xlsm]drift_red_no!$C$18:$N$18</t>
  </si>
  <si>
    <t>drift_red_no!actual_rate_10m</t>
  </si>
  <si>
    <t>=drift_red_no!$C$19:$N$19</t>
  </si>
  <si>
    <t>[EVA3_rev2h.xlsm]drift_red_no!$C$19:$N$19</t>
  </si>
  <si>
    <t>drift_red_no!actual_rate_15m</t>
  </si>
  <si>
    <t>=drift_red_no!$C$20:$N$20</t>
  </si>
  <si>
    <t>[EVA3_rev2h.xlsm]drift_red_no!$C$20:$N$20</t>
  </si>
  <si>
    <t>drift_red_no!actual_rate_20m</t>
  </si>
  <si>
    <t>=drift_red_no!$C$21:$N$21</t>
  </si>
  <si>
    <t>[EVA3_rev2h.xlsm]drift_red_no!$C$21:$N$21</t>
  </si>
  <si>
    <t>drift_red_no!interval_actual1</t>
  </si>
  <si>
    <t>=drift_red_no!$C$22</t>
  </si>
  <si>
    <t>[EVA3_rev2h.xlsm]drift_red_no!$C$22</t>
  </si>
  <si>
    <t>drift_red_no!interval_actual</t>
  </si>
  <si>
    <t>=drift_red_no!$C$22:$N$22</t>
  </si>
  <si>
    <t>[EVA3_rev2h.xlsm]drift_red_no!$C$22:$N$22</t>
  </si>
  <si>
    <t>drift_red_no!twa_int_copy</t>
  </si>
  <si>
    <t>=drift_red_no!$C$24</t>
  </si>
  <si>
    <t>[EVA3_rev2h.xlsm]drift_red_no!$C$24</t>
  </si>
  <si>
    <t>drift_red_no!peak_max_01m</t>
  </si>
  <si>
    <t>=drift_red_no!$C$27</t>
  </si>
  <si>
    <t>[EVA3_rev2h.xlsm]drift_red_no!$C$27</t>
  </si>
  <si>
    <t>drift_red_no!twa_max_01m</t>
  </si>
  <si>
    <t>=drift_red_no!$C$28</t>
  </si>
  <si>
    <t>[EVA3_rev2h.xlsm]drift_red_no!$C$28</t>
  </si>
  <si>
    <t>drift_red_no!drift_reduction</t>
  </si>
  <si>
    <t>=drift_red_no!$C$3</t>
  </si>
  <si>
    <t>[EVA3_rev2h.xlsm]drift_red_no!$C$3</t>
  </si>
  <si>
    <t>drift_red_no!int_applic_begin_01m</t>
  </si>
  <si>
    <t>=drift_red_no!$C$32:$N$32</t>
  </si>
  <si>
    <t>[EVA3_rev2h.xlsm]drift_red_no!$C$32:$N$32</t>
  </si>
  <si>
    <t>drift_red_no!int_applic_end_01m</t>
  </si>
  <si>
    <t>=drift_red_no!$C$33:$N$33</t>
  </si>
  <si>
    <t>[EVA3_rev2h.xlsm]drift_red_no!$C$33:$N$33</t>
  </si>
  <si>
    <t>drift_red_no!peak_amount_01m</t>
  </si>
  <si>
    <t>=drift_red_no!$C$34:$N$34</t>
  </si>
  <si>
    <t>[EVA3_rev2h.xlsm]drift_red_no!$C$34:$N$34</t>
  </si>
  <si>
    <t>drift_red_no!final_amount_01m</t>
  </si>
  <si>
    <t>=drift_red_no!$C$35:$N$35</t>
  </si>
  <si>
    <t>[EVA3_rev2h.xlsm]drift_red_no!$C$35:$N$35</t>
  </si>
  <si>
    <t>drift_red_no!twa_sum_01m</t>
  </si>
  <si>
    <t>=drift_red_no!$C$38:$N$38</t>
  </si>
  <si>
    <t>[EVA3_rev2h.xlsm]drift_red_no!$C$38:$N$38</t>
  </si>
  <si>
    <t>drift_red_no!int_applic_begin_05m</t>
  </si>
  <si>
    <t>=drift_red_no!$C$45:$N$45</t>
  </si>
  <si>
    <t>[EVA3_rev2h.xlsm]drift_red_no!$C$45:$N$45</t>
  </si>
  <si>
    <t>drift_red_no!int_applic_end_05m</t>
  </si>
  <si>
    <t>=drift_red_no!$C$46:$N$46</t>
  </si>
  <si>
    <t>[EVA3_rev2h.xlsm]drift_red_no!$C$46:$N$46</t>
  </si>
  <si>
    <t>drift_red_no!peak_amount_05m</t>
  </si>
  <si>
    <t>=drift_red_no!$C$47:$N$47</t>
  </si>
  <si>
    <t>[EVA3_rev2h.xlsm]drift_red_no!$C$47:$N$47</t>
  </si>
  <si>
    <t>drift_red_no!final_amount_05m</t>
  </si>
  <si>
    <t>=drift_red_no!$C$48:$N$48</t>
  </si>
  <si>
    <t>[EVA3_rev2h.xlsm]drift_red_no!$C$48:$N$48</t>
  </si>
  <si>
    <t>drift_red_no!drift_rate_01m</t>
  </si>
  <si>
    <t>=drift_red_no!$C$5:$N$5</t>
  </si>
  <si>
    <t>[EVA3_rev2h.xlsm]drift_red_no!$C$5:$N$5</t>
  </si>
  <si>
    <t>drift_red_no!twa_sum_05m</t>
  </si>
  <si>
    <t>=drift_red_no!$C$51:$N$51</t>
  </si>
  <si>
    <t>[EVA3_rev2h.xlsm]drift_red_no!$C$51:$N$51</t>
  </si>
  <si>
    <t>drift_red_no!int_applic_begin_10m</t>
  </si>
  <si>
    <t>=drift_red_no!$C$58:$N$58</t>
  </si>
  <si>
    <t>[EVA3_rev2h.xlsm]drift_red_no!$C$58:$N$58</t>
  </si>
  <si>
    <t>drift_red_no!int_applic_end_10m</t>
  </si>
  <si>
    <t>=drift_red_no!$C$59:$N$59</t>
  </si>
  <si>
    <t>[EVA3_rev2h.xlsm]drift_red_no!$C$59:$N$59</t>
  </si>
  <si>
    <t>drift_red_no!drift_rate_05m</t>
  </si>
  <si>
    <t>=drift_red_no!$C$6:$N$6</t>
  </si>
  <si>
    <t>[EVA3_rev2h.xlsm]drift_red_no!$C$6:$N$6</t>
  </si>
  <si>
    <t>drift_red_no!peak_amount_10m</t>
  </si>
  <si>
    <t>=drift_red_no!$C$60:$N$60</t>
  </si>
  <si>
    <t>[EVA3_rev2h.xlsm]drift_red_no!$C$60:$N$60</t>
  </si>
  <si>
    <t>drift_red_no!final_amount_10m</t>
  </si>
  <si>
    <t>=drift_red_no!$C$61:$N$61</t>
  </si>
  <si>
    <t>[EVA3_rev2h.xlsm]drift_red_no!$C$61:$N$61</t>
  </si>
  <si>
    <t>drift_red_no!twa_sum_10m</t>
  </si>
  <si>
    <t>=drift_red_no!$C$64:$N$64</t>
  </si>
  <si>
    <t>[EVA3_rev2h.xlsm]drift_red_no!$C$64:$N$64</t>
  </si>
  <si>
    <t>drift_red_no!drift_rate_10m</t>
  </si>
  <si>
    <t>=drift_red_no!$C$7:$N$7</t>
  </si>
  <si>
    <t>[EVA3_rev2h.xlsm]drift_red_no!$C$7:$N$7</t>
  </si>
  <si>
    <t>drift_red_no!int_applic_begin_15m</t>
  </si>
  <si>
    <t>=drift_red_no!$C$71:$N$71</t>
  </si>
  <si>
    <t>[EVA3_rev2h.xlsm]drift_red_no!$C$71:$N$71</t>
  </si>
  <si>
    <t>drift_red_no!int_applic_end_15m</t>
  </si>
  <si>
    <t>=drift_red_no!$C$72:$N$72</t>
  </si>
  <si>
    <t>[EVA3_rev2h.xlsm]drift_red_no!$C$72:$N$72</t>
  </si>
  <si>
    <t>drift_red_no!peak_amount_15m</t>
  </si>
  <si>
    <t>=drift_red_no!$C$73:$N$73</t>
  </si>
  <si>
    <t>[EVA3_rev2h.xlsm]drift_red_no!$C$73:$N$73</t>
  </si>
  <si>
    <t>drift_red_no!final_amount_15m</t>
  </si>
  <si>
    <t>=drift_red_no!$C$74:$N$74</t>
  </si>
  <si>
    <t>[EVA3_rev2h.xlsm]drift_red_no!$C$74:$N$74</t>
  </si>
  <si>
    <t>drift_red_no!twa_sum_15m</t>
  </si>
  <si>
    <t>=drift_red_no!$C$77:$N$77</t>
  </si>
  <si>
    <t>[EVA3_rev2h.xlsm]drift_red_no!$C$77:$N$77</t>
  </si>
  <si>
    <t>drift_red_no!drift_rate_15m</t>
  </si>
  <si>
    <t>=drift_red_no!$C$8:$N$8</t>
  </si>
  <si>
    <t>[EVA3_rev2h.xlsm]drift_red_no!$C$8:$N$8</t>
  </si>
  <si>
    <t>drift_red_no!int_applic_begin_20m</t>
  </si>
  <si>
    <t>=drift_red_no!$C$84:$N$84</t>
  </si>
  <si>
    <t>[EVA3_rev2h.xlsm]drift_red_no!$C$84:$N$84</t>
  </si>
  <si>
    <t>drift_red_no!int_applic_end_20m</t>
  </si>
  <si>
    <t>=drift_red_no!$C$85:$N$85</t>
  </si>
  <si>
    <t>[EVA3_rev2h.xlsm]drift_red_no!$C$85:$N$85</t>
  </si>
  <si>
    <t>drift_red_no!peak_amount_20m</t>
  </si>
  <si>
    <t>=drift_red_no!$C$86:$N$86</t>
  </si>
  <si>
    <t>[EVA3_rev2h.xlsm]drift_red_no!$C$86:$N$86</t>
  </si>
  <si>
    <t>drift_red_no!final_amount_20m</t>
  </si>
  <si>
    <t>=drift_red_no!$C$87:$N$87</t>
  </si>
  <si>
    <t>[EVA3_rev2h.xlsm]drift_red_no!$C$87:$N$87</t>
  </si>
  <si>
    <t>drift_red_no!drift_rate_20m</t>
  </si>
  <si>
    <t>=drift_red_no!$C$9:$N$9</t>
  </si>
  <si>
    <t>[EVA3_rev2h.xlsm]drift_red_no!$C$9:$N$9</t>
  </si>
  <si>
    <t>drift_red_no!twa_sum_20m</t>
  </si>
  <si>
    <t>=drift_red_no!$C$90:$N$90</t>
  </si>
  <si>
    <t>[EVA3_rev2h.xlsm]drift_red_no!$C$90:$N$90</t>
  </si>
  <si>
    <t>drift_red_no!peak_max_05m</t>
  </si>
  <si>
    <t>=drift_red_no!$D$27</t>
  </si>
  <si>
    <t>[EVA3_rev2h.xlsm]drift_red_no!$D$27</t>
  </si>
  <si>
    <t>drift_red_no!twa_max_05m</t>
  </si>
  <si>
    <t>=drift_red_no!$D$28</t>
  </si>
  <si>
    <t>[EVA3_rev2h.xlsm]drift_red_no!$D$28</t>
  </si>
  <si>
    <t>drift_red_no!no_applic_copy</t>
  </si>
  <si>
    <t>=drift_red_no!$E$24</t>
  </si>
  <si>
    <t>[EVA3_rev2h.xlsm]drift_red_no!$E$24</t>
  </si>
  <si>
    <t>drift_red_no!peak_max_10m</t>
  </si>
  <si>
    <t>=drift_red_no!$E$27</t>
  </si>
  <si>
    <t>[EVA3_rev2h.xlsm]drift_red_no!$E$27</t>
  </si>
  <si>
    <t>drift_red_no!twa_max_10m</t>
  </si>
  <si>
    <t>=drift_red_no!$E$28</t>
  </si>
  <si>
    <t>[EVA3_rev2h.xlsm]drift_red_no!$E$28</t>
  </si>
  <si>
    <t>drift_red_no!peak_max_15m</t>
  </si>
  <si>
    <t>=drift_red_no!$F$27</t>
  </si>
  <si>
    <t>[EVA3_rev2h.xlsm]drift_red_no!$F$27</t>
  </si>
  <si>
    <t>drift_red_no!twa_max_15m</t>
  </si>
  <si>
    <t>=drift_red_no!$F$28</t>
  </si>
  <si>
    <t>[EVA3_rev2h.xlsm]drift_red_no!$F$28</t>
  </si>
  <si>
    <t>drift_red_no!k_deg_copy</t>
  </si>
  <si>
    <t>=drift_red_no!$G$24</t>
  </si>
  <si>
    <t>[EVA3_rev2h.xlsm]drift_red_no!$G$24</t>
  </si>
  <si>
    <t>drift_red_no!peak_max_20m</t>
  </si>
  <si>
    <t>=drift_red_no!$G$27</t>
  </si>
  <si>
    <t>[EVA3_rev2h.xlsm]drift_red_no!$G$27</t>
  </si>
  <si>
    <t>drift_red_no!twa_max_20m</t>
  </si>
  <si>
    <t>=drift_red_no!$G$28</t>
  </si>
  <si>
    <t>[EVA3_rev2h.xlsm]drift_red_no!$G$28</t>
  </si>
  <si>
    <t>drift_red_50!vd_rate_01m</t>
  </si>
  <si>
    <t>=drift_red_50!$C$11:$N$11</t>
  </si>
  <si>
    <t>[EVA3_rev2h.xlsm]drift_red_50!$C$11:$N$11</t>
  </si>
  <si>
    <t>drift_red_50!vd_rate_05m</t>
  </si>
  <si>
    <t>=drift_red_50!$C$12:$N$12</t>
  </si>
  <si>
    <t>[EVA3_rev2h.xlsm]drift_red_50!$C$12:$N$12</t>
  </si>
  <si>
    <t>drift_red_50!vd_rate_10m</t>
  </si>
  <si>
    <t>=drift_red_50!$C$13:$N$13</t>
  </si>
  <si>
    <t>[EVA3_rev2h.xlsm]drift_red_50!$C$13:$N$13</t>
  </si>
  <si>
    <t>drift_red_50!vd_rate_15m</t>
  </si>
  <si>
    <t>=drift_red_50!$C$14:$N$14</t>
  </si>
  <si>
    <t>[EVA3_rev2h.xlsm]drift_red_50!$C$14:$N$14</t>
  </si>
  <si>
    <t>drift_red_50!vd_rate_20m</t>
  </si>
  <si>
    <t>=drift_red_50!$C$15:$N$15</t>
  </si>
  <si>
    <t>[EVA3_rev2h.xlsm]drift_red_50!$C$15:$N$15</t>
  </si>
  <si>
    <t>drift_red_50!actual_rate_01m</t>
  </si>
  <si>
    <t>=drift_red_50!$C$17:$N$17</t>
  </si>
  <si>
    <t>[EVA3_rev2h.xlsm]drift_red_50!$C$17:$N$17</t>
  </si>
  <si>
    <t>drift_red_50!actual_rate_05m</t>
  </si>
  <si>
    <t>=drift_red_50!$C$18:$N$18</t>
  </si>
  <si>
    <t>[EVA3_rev2h.xlsm]drift_red_50!$C$18:$N$18</t>
  </si>
  <si>
    <t>drift_red_50!actual_rate_10m</t>
  </si>
  <si>
    <t>=drift_red_50!$C$19:$N$19</t>
  </si>
  <si>
    <t>[EVA3_rev2h.xlsm]drift_red_50!$C$19:$N$19</t>
  </si>
  <si>
    <t>drift_red_50!actual_rate_15m</t>
  </si>
  <si>
    <t>=drift_red_50!$C$20:$N$20</t>
  </si>
  <si>
    <t>[EVA3_rev2h.xlsm]drift_red_50!$C$20:$N$20</t>
  </si>
  <si>
    <t>drift_red_50!actual_rate_20m</t>
  </si>
  <si>
    <t>=drift_red_50!$C$21:$N$21</t>
  </si>
  <si>
    <t>[EVA3_rev2h.xlsm]drift_red_50!$C$21:$N$21</t>
  </si>
  <si>
    <t>drift_red_50!interval_actual1</t>
  </si>
  <si>
    <t>=drift_red_50!$C$22</t>
  </si>
  <si>
    <t>[EVA3_rev2h.xlsm]drift_red_50!$C$22</t>
  </si>
  <si>
    <t>drift_red_50!interval_actual</t>
  </si>
  <si>
    <t>=drift_red_50!$C$22:$N$22</t>
  </si>
  <si>
    <t>[EVA3_rev2h.xlsm]drift_red_50!$C$22:$N$22</t>
  </si>
  <si>
    <t>drift_red_50!twa_int_copy</t>
  </si>
  <si>
    <t>=drift_red_50!$C$24</t>
  </si>
  <si>
    <t>[EVA3_rev2h.xlsm]drift_red_50!$C$24</t>
  </si>
  <si>
    <t>drift_red_50!peak_max_01m</t>
  </si>
  <si>
    <t>=drift_red_50!$C$27</t>
  </si>
  <si>
    <t>[EVA3_rev2h.xlsm]drift_red_50!$C$27</t>
  </si>
  <si>
    <t>drift_red_50!twa_max_01m</t>
  </si>
  <si>
    <t>=drift_red_50!$C$28</t>
  </si>
  <si>
    <t>[EVA3_rev2h.xlsm]drift_red_50!$C$28</t>
  </si>
  <si>
    <t>drift_red_50!drift_reduction</t>
  </si>
  <si>
    <t>=drift_red_50!$C$3</t>
  </si>
  <si>
    <t>[EVA3_rev2h.xlsm]drift_red_50!$C$3</t>
  </si>
  <si>
    <t>drift_red_50!int_applic_begin_01m</t>
  </si>
  <si>
    <t>=drift_red_50!$C$32:$N$32</t>
  </si>
  <si>
    <t>[EVA3_rev2h.xlsm]drift_red_50!$C$32:$N$32</t>
  </si>
  <si>
    <t>drift_red_50!int_applic_end_01m</t>
  </si>
  <si>
    <t>=drift_red_50!$C$33:$N$33</t>
  </si>
  <si>
    <t>[EVA3_rev2h.xlsm]drift_red_50!$C$33:$N$33</t>
  </si>
  <si>
    <t>drift_red_50!peak_amount_01m</t>
  </si>
  <si>
    <t>=drift_red_50!$C$34:$N$34</t>
  </si>
  <si>
    <t>[EVA3_rev2h.xlsm]drift_red_50!$C$34:$N$34</t>
  </si>
  <si>
    <t>drift_red_50!final_amount_01m</t>
  </si>
  <si>
    <t>=drift_red_50!$C$35:$N$35</t>
  </si>
  <si>
    <t>[EVA3_rev2h.xlsm]drift_red_50!$C$35:$N$35</t>
  </si>
  <si>
    <t>drift_red_50!twa_sum_01m</t>
  </si>
  <si>
    <t>=drift_red_50!$C$38:$N$38</t>
  </si>
  <si>
    <t>[EVA3_rev2h.xlsm]drift_red_50!$C$38:$N$38</t>
  </si>
  <si>
    <t>drift_red_50!int_applic_begin_05m</t>
  </si>
  <si>
    <t>=drift_red_50!$C$45:$N$45</t>
  </si>
  <si>
    <t>[EVA3_rev2h.xlsm]drift_red_50!$C$45:$N$45</t>
  </si>
  <si>
    <t>drift_red_50!int_applic_end_05m</t>
  </si>
  <si>
    <t>=drift_red_50!$C$46:$N$46</t>
  </si>
  <si>
    <t>[EVA3_rev2h.xlsm]drift_red_50!$C$46:$N$46</t>
  </si>
  <si>
    <t>drift_red_50!peak_amount_05m</t>
  </si>
  <si>
    <t>=drift_red_50!$C$47:$N$47</t>
  </si>
  <si>
    <t>[EVA3_rev2h.xlsm]drift_red_50!$C$47:$N$47</t>
  </si>
  <si>
    <t>drift_red_50!final_amount_05m</t>
  </si>
  <si>
    <t>=drift_red_50!$C$48:$N$48</t>
  </si>
  <si>
    <t>[EVA3_rev2h.xlsm]drift_red_50!$C$48:$N$48</t>
  </si>
  <si>
    <t>drift_red_50!drift_rate_01m</t>
  </si>
  <si>
    <t>=drift_red_50!$C$5:$N$5</t>
  </si>
  <si>
    <t>[EVA3_rev2h.xlsm]drift_red_50!$C$5:$N$5</t>
  </si>
  <si>
    <t>drift_red_50!twa_sum_05m</t>
  </si>
  <si>
    <t>=drift_red_50!$C$51:$N$51</t>
  </si>
  <si>
    <t>[EVA3_rev2h.xlsm]drift_red_50!$C$51:$N$51</t>
  </si>
  <si>
    <t>drift_red_50!int_applic_begin_10m</t>
  </si>
  <si>
    <t>=drift_red_50!$C$58:$N$58</t>
  </si>
  <si>
    <t>[EVA3_rev2h.xlsm]drift_red_50!$C$58:$N$58</t>
  </si>
  <si>
    <t>drift_red_50!int_applic_end_10m</t>
  </si>
  <si>
    <t>=drift_red_50!$C$59:$N$59</t>
  </si>
  <si>
    <t>[EVA3_rev2h.xlsm]drift_red_50!$C$59:$N$59</t>
  </si>
  <si>
    <t>drift_red_50!drift_rate_05m</t>
  </si>
  <si>
    <t>=drift_red_50!$C$6:$N$6</t>
  </si>
  <si>
    <t>[EVA3_rev2h.xlsm]drift_red_50!$C$6:$N$6</t>
  </si>
  <si>
    <t>drift_red_50!peak_amount_10m</t>
  </si>
  <si>
    <t>=drift_red_50!$C$60:$N$60</t>
  </si>
  <si>
    <t>[EVA3_rev2h.xlsm]drift_red_50!$C$60:$N$60</t>
  </si>
  <si>
    <t>drift_red_50!final_amount_10m</t>
  </si>
  <si>
    <t>=drift_red_50!$C$61:$N$61</t>
  </si>
  <si>
    <t>[EVA3_rev2h.xlsm]drift_red_50!$C$61:$N$61</t>
  </si>
  <si>
    <t>drift_red_50!twa_sum_10m</t>
  </si>
  <si>
    <t>=drift_red_50!$C$64:$N$64</t>
  </si>
  <si>
    <t>[EVA3_rev2h.xlsm]drift_red_50!$C$64:$N$64</t>
  </si>
  <si>
    <t>drift_red_50!drift_rate_10m</t>
  </si>
  <si>
    <t>=drift_red_50!$C$7:$N$7</t>
  </si>
  <si>
    <t>[EVA3_rev2h.xlsm]drift_red_50!$C$7:$N$7</t>
  </si>
  <si>
    <t>drift_red_50!int_applic_begin_15m</t>
  </si>
  <si>
    <t>=drift_red_50!$C$71:$N$71</t>
  </si>
  <si>
    <t>[EVA3_rev2h.xlsm]drift_red_50!$C$71:$N$71</t>
  </si>
  <si>
    <t>drift_red_50!int_applic_end_15m</t>
  </si>
  <si>
    <t>=drift_red_50!$C$72:$N$72</t>
  </si>
  <si>
    <t>[EVA3_rev2h.xlsm]drift_red_50!$C$72:$N$72</t>
  </si>
  <si>
    <t>drift_red_50!peak_amount_15m</t>
  </si>
  <si>
    <t>=drift_red_50!$C$73:$N$73</t>
  </si>
  <si>
    <t>[EVA3_rev2h.xlsm]drift_red_50!$C$73:$N$73</t>
  </si>
  <si>
    <t>drift_red_50!final_amount_15m</t>
  </si>
  <si>
    <t>=drift_red_50!$C$74:$N$74</t>
  </si>
  <si>
    <t>[EVA3_rev2h.xlsm]drift_red_50!$C$74:$N$74</t>
  </si>
  <si>
    <t>drift_red_50!twa_sum_15m</t>
  </si>
  <si>
    <t>=drift_red_50!$C$77:$N$77</t>
  </si>
  <si>
    <t>[EVA3_rev2h.xlsm]drift_red_50!$C$77:$N$77</t>
  </si>
  <si>
    <t>drift_red_50!drift_rate_15m</t>
  </si>
  <si>
    <t>=drift_red_50!$C$8:$N$8</t>
  </si>
  <si>
    <t>[EVA3_rev2h.xlsm]drift_red_50!$C$8:$N$8</t>
  </si>
  <si>
    <t>drift_red_50!int_applic_begin_20m</t>
  </si>
  <si>
    <t>=drift_red_50!$C$84:$N$84</t>
  </si>
  <si>
    <t>[EVA3_rev2h.xlsm]drift_red_50!$C$84:$N$84</t>
  </si>
  <si>
    <t>drift_red_50!int_applic_end_20m</t>
  </si>
  <si>
    <t>=drift_red_50!$C$85:$N$85</t>
  </si>
  <si>
    <t>[EVA3_rev2h.xlsm]drift_red_50!$C$85:$N$85</t>
  </si>
  <si>
    <t>drift_red_50!peak_amount_20m</t>
  </si>
  <si>
    <t>=drift_red_50!$C$86:$N$86</t>
  </si>
  <si>
    <t>[EVA3_rev2h.xlsm]drift_red_50!$C$86:$N$86</t>
  </si>
  <si>
    <t>drift_red_50!final_amount_20m</t>
  </si>
  <si>
    <t>=drift_red_50!$C$87:$N$87</t>
  </si>
  <si>
    <t>[EVA3_rev2h.xlsm]drift_red_50!$C$87:$N$87</t>
  </si>
  <si>
    <t>drift_red_50!drift_rate_20m</t>
  </si>
  <si>
    <t>=drift_red_50!$C$9:$N$9</t>
  </si>
  <si>
    <t>[EVA3_rev2h.xlsm]drift_red_50!$C$9:$N$9</t>
  </si>
  <si>
    <t>drift_red_50!twa_sum_20m</t>
  </si>
  <si>
    <t>=drift_red_50!$C$90:$N$90</t>
  </si>
  <si>
    <t>[EVA3_rev2h.xlsm]drift_red_50!$C$90:$N$90</t>
  </si>
  <si>
    <t>drift_red_50!peak_max_05m</t>
  </si>
  <si>
    <t>=drift_red_50!$D$27</t>
  </si>
  <si>
    <t>[EVA3_rev2h.xlsm]drift_red_50!$D$27</t>
  </si>
  <si>
    <t>drift_red_50!twa_max_05m</t>
  </si>
  <si>
    <t>=drift_red_50!$D$28</t>
  </si>
  <si>
    <t>[EVA3_rev2h.xlsm]drift_red_50!$D$28</t>
  </si>
  <si>
    <t>drift_red_50!no_applic_copy</t>
  </si>
  <si>
    <t>=drift_red_50!$E$24</t>
  </si>
  <si>
    <t>[EVA3_rev2h.xlsm]drift_red_50!$E$24</t>
  </si>
  <si>
    <t>drift_red_50!peak_max_10m</t>
  </si>
  <si>
    <t>=drift_red_50!$E$27</t>
  </si>
  <si>
    <t>[EVA3_rev2h.xlsm]drift_red_50!$E$27</t>
  </si>
  <si>
    <t>drift_red_50!twa_max_10m</t>
  </si>
  <si>
    <t>=drift_red_50!$E$28</t>
  </si>
  <si>
    <t>[EVA3_rev2h.xlsm]drift_red_50!$E$28</t>
  </si>
  <si>
    <t>drift_red_50!peak_max_15m</t>
  </si>
  <si>
    <t>=drift_red_50!$F$27</t>
  </si>
  <si>
    <t>[EVA3_rev2h.xlsm]drift_red_50!$F$27</t>
  </si>
  <si>
    <t>drift_red_50!twa_max_15m</t>
  </si>
  <si>
    <t>=drift_red_50!$F$28</t>
  </si>
  <si>
    <t>[EVA3_rev2h.xlsm]drift_red_50!$F$28</t>
  </si>
  <si>
    <t>drift_red_50!k_deg_copy</t>
  </si>
  <si>
    <t>=drift_red_50!$G$24</t>
  </si>
  <si>
    <t>[EVA3_rev2h.xlsm]drift_red_50!$G$24</t>
  </si>
  <si>
    <t>drift_red_50!peak_max_20m</t>
  </si>
  <si>
    <t>=drift_red_50!$G$27</t>
  </si>
  <si>
    <t>[EVA3_rev2h.xlsm]drift_red_50!$G$27</t>
  </si>
  <si>
    <t>drift_red_50!twa_max_20m</t>
  </si>
  <si>
    <t>=drift_red_50!$G$28</t>
  </si>
  <si>
    <t>[EVA3_rev2h.xlsm]drift_red_50!$G$28</t>
  </si>
  <si>
    <t>drift_red_75!vd_rate_01m</t>
  </si>
  <si>
    <t>=drift_red_75!$C$11:$N$11</t>
  </si>
  <si>
    <t>[EVA3_rev2h.xlsm]drift_red_75!$C$11:$N$11</t>
  </si>
  <si>
    <t>drift_red_75!vd_rate_05m</t>
  </si>
  <si>
    <t>=drift_red_75!$C$12:$N$12</t>
  </si>
  <si>
    <t>[EVA3_rev2h.xlsm]drift_red_75!$C$12:$N$12</t>
  </si>
  <si>
    <t>drift_red_75!vd_rate_10m</t>
  </si>
  <si>
    <t>=drift_red_75!$C$13:$N$13</t>
  </si>
  <si>
    <t>[EVA3_rev2h.xlsm]drift_red_75!$C$13:$N$13</t>
  </si>
  <si>
    <t>drift_red_75!vd_rate_15m</t>
  </si>
  <si>
    <t>=drift_red_75!$C$14:$N$14</t>
  </si>
  <si>
    <t>[EVA3_rev2h.xlsm]drift_red_75!$C$14:$N$14</t>
  </si>
  <si>
    <t>drift_red_75!vd_rate_20m</t>
  </si>
  <si>
    <t>=drift_red_75!$C$15:$N$15</t>
  </si>
  <si>
    <t>[EVA3_rev2h.xlsm]drift_red_75!$C$15:$N$15</t>
  </si>
  <si>
    <t>drift_red_75!actual_rate_01m</t>
  </si>
  <si>
    <t>=drift_red_75!$C$17:$N$17</t>
  </si>
  <si>
    <t>[EVA3_rev2h.xlsm]drift_red_75!$C$17:$N$17</t>
  </si>
  <si>
    <t>drift_red_75!actual_rate_05m</t>
  </si>
  <si>
    <t>=drift_red_75!$C$18:$N$18</t>
  </si>
  <si>
    <t>[EVA3_rev2h.xlsm]drift_red_75!$C$18:$N$18</t>
  </si>
  <si>
    <t>drift_red_75!actual_rate_10m</t>
  </si>
  <si>
    <t>=drift_red_75!$C$19:$N$19</t>
  </si>
  <si>
    <t>[EVA3_rev2h.xlsm]drift_red_75!$C$19:$N$19</t>
  </si>
  <si>
    <t>drift_red_75!actual_rate_15m</t>
  </si>
  <si>
    <t>=drift_red_75!$C$20:$N$20</t>
  </si>
  <si>
    <t>[EVA3_rev2h.xlsm]drift_red_75!$C$20:$N$20</t>
  </si>
  <si>
    <t>drift_red_75!actual_rate_20m</t>
  </si>
  <si>
    <t>=drift_red_75!$C$21:$N$21</t>
  </si>
  <si>
    <t>[EVA3_rev2h.xlsm]drift_red_75!$C$21:$N$21</t>
  </si>
  <si>
    <t>drift_red_75!interval_actual1</t>
  </si>
  <si>
    <t>=drift_red_75!$C$22</t>
  </si>
  <si>
    <t>[EVA3_rev2h.xlsm]drift_red_75!$C$22</t>
  </si>
  <si>
    <t>drift_red_75!interval_actual</t>
  </si>
  <si>
    <t>=drift_red_75!$C$22:$N$22</t>
  </si>
  <si>
    <t>[EVA3_rev2h.xlsm]drift_red_75!$C$22:$N$22</t>
  </si>
  <si>
    <t>drift_red_75!twa_int_copy</t>
  </si>
  <si>
    <t>=drift_red_75!$C$24</t>
  </si>
  <si>
    <t>[EVA3_rev2h.xlsm]drift_red_75!$C$24</t>
  </si>
  <si>
    <t>drift_red_75!peak_max_01m</t>
  </si>
  <si>
    <t>=drift_red_75!$C$27</t>
  </si>
  <si>
    <t>[EVA3_rev2h.xlsm]drift_red_75!$C$27</t>
  </si>
  <si>
    <t>drift_red_75!twa_max_01m</t>
  </si>
  <si>
    <t>=drift_red_75!$C$28</t>
  </si>
  <si>
    <t>[EVA3_rev2h.xlsm]drift_red_75!$C$28</t>
  </si>
  <si>
    <t>drift_red_75!drift_reduction</t>
  </si>
  <si>
    <t>=drift_red_75!$C$3</t>
  </si>
  <si>
    <t>[EVA3_rev2h.xlsm]drift_red_75!$C$3</t>
  </si>
  <si>
    <t>drift_red_75!int_applic_begin_01m</t>
  </si>
  <si>
    <t>=drift_red_75!$C$32:$N$32</t>
  </si>
  <si>
    <t>[EVA3_rev2h.xlsm]drift_red_75!$C$32:$N$32</t>
  </si>
  <si>
    <t>drift_red_75!int_applic_end_01m</t>
  </si>
  <si>
    <t>=drift_red_75!$C$33:$N$33</t>
  </si>
  <si>
    <t>[EVA3_rev2h.xlsm]drift_red_75!$C$33:$N$33</t>
  </si>
  <si>
    <t>drift_red_75!peak_amount_01m</t>
  </si>
  <si>
    <t>=drift_red_75!$C$34:$N$34</t>
  </si>
  <si>
    <t>[EVA3_rev2h.xlsm]drift_red_75!$C$34:$N$34</t>
  </si>
  <si>
    <t>drift_red_75!final_amount_01m</t>
  </si>
  <si>
    <t>=drift_red_75!$C$35:$N$35</t>
  </si>
  <si>
    <t>[EVA3_rev2h.xlsm]drift_red_75!$C$35:$N$35</t>
  </si>
  <si>
    <t>drift_red_75!twa_sum_01m</t>
  </si>
  <si>
    <t>=drift_red_75!$C$38:$N$38</t>
  </si>
  <si>
    <t>[EVA3_rev2h.xlsm]drift_red_75!$C$38:$N$38</t>
  </si>
  <si>
    <t>drift_red_75!int_applic_begin_05m</t>
  </si>
  <si>
    <t>=drift_red_75!$C$45:$N$45</t>
  </si>
  <si>
    <t>[EVA3_rev2h.xlsm]drift_red_75!$C$45:$N$45</t>
  </si>
  <si>
    <t>drift_red_75!int_applic_end_05m</t>
  </si>
  <si>
    <t>=drift_red_75!$C$46:$N$46</t>
  </si>
  <si>
    <t>[EVA3_rev2h.xlsm]drift_red_75!$C$46:$N$46</t>
  </si>
  <si>
    <t>drift_red_75!peak_amount_05m</t>
  </si>
  <si>
    <t>=drift_red_75!$C$47:$N$47</t>
  </si>
  <si>
    <t>[EVA3_rev2h.xlsm]drift_red_75!$C$47:$N$47</t>
  </si>
  <si>
    <t>drift_red_75!final_amount_05m</t>
  </si>
  <si>
    <t>=drift_red_75!$C$48:$N$48</t>
  </si>
  <si>
    <t>[EVA3_rev2h.xlsm]drift_red_75!$C$48:$N$48</t>
  </si>
  <si>
    <t>drift_red_75!drift_rate_01m</t>
  </si>
  <si>
    <t>=drift_red_75!$C$5:$N$5</t>
  </si>
  <si>
    <t>[EVA3_rev2h.xlsm]drift_red_75!$C$5:$N$5</t>
  </si>
  <si>
    <t>drift_red_75!twa_sum_05m</t>
  </si>
  <si>
    <t>=drift_red_75!$C$51:$N$51</t>
  </si>
  <si>
    <t>[EVA3_rev2h.xlsm]drift_red_75!$C$51:$N$51</t>
  </si>
  <si>
    <t>drift_red_75!int_applic_begin_10m</t>
  </si>
  <si>
    <t>=drift_red_75!$C$58:$N$58</t>
  </si>
  <si>
    <t>[EVA3_rev2h.xlsm]drift_red_75!$C$58:$N$58</t>
  </si>
  <si>
    <t>drift_red_75!int_applic_end_10m</t>
  </si>
  <si>
    <t>=drift_red_75!$C$59:$N$59</t>
  </si>
  <si>
    <t>[EVA3_rev2h.xlsm]drift_red_75!$C$59:$N$59</t>
  </si>
  <si>
    <t>drift_red_75!drift_rate_05m</t>
  </si>
  <si>
    <t>=drift_red_75!$C$6:$N$6</t>
  </si>
  <si>
    <t>[EVA3_rev2h.xlsm]drift_red_75!$C$6:$N$6</t>
  </si>
  <si>
    <t>drift_red_75!peak_amount_10m</t>
  </si>
  <si>
    <t>=drift_red_75!$C$60:$N$60</t>
  </si>
  <si>
    <t>[EVA3_rev2h.xlsm]drift_red_75!$C$60:$N$60</t>
  </si>
  <si>
    <t>drift_red_75!final_amount_10m</t>
  </si>
  <si>
    <t>=drift_red_75!$C$61:$N$61</t>
  </si>
  <si>
    <t>[EVA3_rev2h.xlsm]drift_red_75!$C$61:$N$61</t>
  </si>
  <si>
    <t>drift_red_75!twa_sum_10m</t>
  </si>
  <si>
    <t>=drift_red_75!$C$64:$N$64</t>
  </si>
  <si>
    <t>[EVA3_rev2h.xlsm]drift_red_75!$C$64:$N$64</t>
  </si>
  <si>
    <t>drift_red_75!drift_rate_10m</t>
  </si>
  <si>
    <t>=drift_red_75!$C$7:$N$7</t>
  </si>
  <si>
    <t>[EVA3_rev2h.xlsm]drift_red_75!$C$7:$N$7</t>
  </si>
  <si>
    <t>drift_red_75!int_applic_begin_15m</t>
  </si>
  <si>
    <t>=drift_red_75!$C$71:$N$71</t>
  </si>
  <si>
    <t>[EVA3_rev2h.xlsm]drift_red_75!$C$71:$N$71</t>
  </si>
  <si>
    <t>drift_red_75!int_applic_end_15m</t>
  </si>
  <si>
    <t>=drift_red_75!$C$72:$N$72</t>
  </si>
  <si>
    <t>[EVA3_rev2h.xlsm]drift_red_75!$C$72:$N$72</t>
  </si>
  <si>
    <t>drift_red_75!peak_amount_15m</t>
  </si>
  <si>
    <t>=drift_red_75!$C$73:$N$73</t>
  </si>
  <si>
    <t>[EVA3_rev2h.xlsm]drift_red_75!$C$73:$N$73</t>
  </si>
  <si>
    <t>drift_red_75!final_amount_15m</t>
  </si>
  <si>
    <t>=drift_red_75!$C$74:$N$74</t>
  </si>
  <si>
    <t>[EVA3_rev2h.xlsm]drift_red_75!$C$74:$N$74</t>
  </si>
  <si>
    <t>drift_red_75!twa_sum_15m</t>
  </si>
  <si>
    <t>=drift_red_75!$C$77:$N$77</t>
  </si>
  <si>
    <t>[EVA3_rev2h.xlsm]drift_red_75!$C$77:$N$77</t>
  </si>
  <si>
    <t>drift_red_75!drift_rate_15m</t>
  </si>
  <si>
    <t>=drift_red_75!$C$8:$N$8</t>
  </si>
  <si>
    <t>[EVA3_rev2h.xlsm]drift_red_75!$C$8:$N$8</t>
  </si>
  <si>
    <t>drift_red_75!int_applic_begin_20m</t>
  </si>
  <si>
    <t>=drift_red_75!$C$84:$N$84</t>
  </si>
  <si>
    <t>[EVA3_rev2h.xlsm]drift_red_75!$C$84:$N$84</t>
  </si>
  <si>
    <t>drift_red_75!int_applic_end_20m</t>
  </si>
  <si>
    <t>=drift_red_75!$C$85:$N$85</t>
  </si>
  <si>
    <t>[EVA3_rev2h.xlsm]drift_red_75!$C$85:$N$85</t>
  </si>
  <si>
    <t>drift_red_75!peak_amount_20m</t>
  </si>
  <si>
    <t>=drift_red_75!$C$86:$N$86</t>
  </si>
  <si>
    <t>[EVA3_rev2h.xlsm]drift_red_75!$C$86:$N$86</t>
  </si>
  <si>
    <t>drift_red_75!final_amount_20m</t>
  </si>
  <si>
    <t>=drift_red_75!$C$87:$N$87</t>
  </si>
  <si>
    <t>[EVA3_rev2h.xlsm]drift_red_75!$C$87:$N$87</t>
  </si>
  <si>
    <t>drift_red_75!drift_rate_20m</t>
  </si>
  <si>
    <t>=drift_red_75!$C$9:$N$9</t>
  </si>
  <si>
    <t>[EVA3_rev2h.xlsm]drift_red_75!$C$9:$N$9</t>
  </si>
  <si>
    <t>drift_red_75!twa_sum_20m</t>
  </si>
  <si>
    <t>=drift_red_75!$C$90:$N$90</t>
  </si>
  <si>
    <t>[EVA3_rev2h.xlsm]drift_red_75!$C$90:$N$90</t>
  </si>
  <si>
    <t>drift_red_75!peak_max_05m</t>
  </si>
  <si>
    <t>=drift_red_75!$D$27</t>
  </si>
  <si>
    <t>[EVA3_rev2h.xlsm]drift_red_75!$D$27</t>
  </si>
  <si>
    <t>drift_red_75!twa_max_05m</t>
  </si>
  <si>
    <t>=drift_red_75!$D$28</t>
  </si>
  <si>
    <t>[EVA3_rev2h.xlsm]drift_red_75!$D$28</t>
  </si>
  <si>
    <t>drift_red_75!no_applic_copy</t>
  </si>
  <si>
    <t>=drift_red_75!$E$24</t>
  </si>
  <si>
    <t>[EVA3_rev2h.xlsm]drift_red_75!$E$24</t>
  </si>
  <si>
    <t>drift_red_75!peak_max_10m</t>
  </si>
  <si>
    <t>=drift_red_75!$E$27</t>
  </si>
  <si>
    <t>[EVA3_rev2h.xlsm]drift_red_75!$E$27</t>
  </si>
  <si>
    <t>drift_red_75!twa_max_10m</t>
  </si>
  <si>
    <t>=drift_red_75!$E$28</t>
  </si>
  <si>
    <t>[EVA3_rev2h.xlsm]drift_red_75!$E$28</t>
  </si>
  <si>
    <t>drift_red_75!peak_max_15m</t>
  </si>
  <si>
    <t>=drift_red_75!$F$27</t>
  </si>
  <si>
    <t>[EVA3_rev2h.xlsm]drift_red_75!$F$27</t>
  </si>
  <si>
    <t>drift_red_75!twa_max_15m</t>
  </si>
  <si>
    <t>=drift_red_75!$F$28</t>
  </si>
  <si>
    <t>[EVA3_rev2h.xlsm]drift_red_75!$F$28</t>
  </si>
  <si>
    <t>drift_red_75!k_deg_copy</t>
  </si>
  <si>
    <t>=drift_red_75!$G$24</t>
  </si>
  <si>
    <t>[EVA3_rev2h.xlsm]drift_red_75!$G$24</t>
  </si>
  <si>
    <t>drift_red_75!peak_max_20m</t>
  </si>
  <si>
    <t>=drift_red_75!$G$27</t>
  </si>
  <si>
    <t>[EVA3_rev2h.xlsm]drift_red_75!$G$27</t>
  </si>
  <si>
    <t>drift_red_75!twa_max_20m</t>
  </si>
  <si>
    <t>=drift_red_75!$G$28</t>
  </si>
  <si>
    <t>[EVA3_rev2h.xlsm]drift_red_75!$G$28</t>
  </si>
  <si>
    <t>drift_red_90!vd_rate_01m</t>
  </si>
  <si>
    <t>=drift_red_90!$C$11:$N$11</t>
  </si>
  <si>
    <t>[EVA3_rev2h.xlsm]drift_red_90!$C$11:$N$11</t>
  </si>
  <si>
    <t>drift_red_90!vd_rate_05m</t>
  </si>
  <si>
    <t>=drift_red_90!$C$12:$N$12</t>
  </si>
  <si>
    <t>[EVA3_rev2h.xlsm]drift_red_90!$C$12:$N$12</t>
  </si>
  <si>
    <t>drift_red_90!vd_rate_10m</t>
  </si>
  <si>
    <t>=drift_red_90!$C$13:$N$13</t>
  </si>
  <si>
    <t>[EVA3_rev2h.xlsm]drift_red_90!$C$13:$N$13</t>
  </si>
  <si>
    <t>drift_red_90!vd_rate_15m</t>
  </si>
  <si>
    <t>=drift_red_90!$C$14:$N$14</t>
  </si>
  <si>
    <t>[EVA3_rev2h.xlsm]drift_red_90!$C$14:$N$14</t>
  </si>
  <si>
    <t>drift_red_90!vd_rate_20m</t>
  </si>
  <si>
    <t>=drift_red_90!$C$15:$N$15</t>
  </si>
  <si>
    <t>[EVA3_rev2h.xlsm]drift_red_90!$C$15:$N$15</t>
  </si>
  <si>
    <t>drift_red_90!actual_rate_01m</t>
  </si>
  <si>
    <t>=drift_red_90!$C$17:$N$17</t>
  </si>
  <si>
    <t>[EVA3_rev2h.xlsm]drift_red_90!$C$17:$N$17</t>
  </si>
  <si>
    <t>drift_red_90!actual_rate_05m</t>
  </si>
  <si>
    <t>=drift_red_90!$C$18:$N$18</t>
  </si>
  <si>
    <t>[EVA3_rev2h.xlsm]drift_red_90!$C$18:$N$18</t>
  </si>
  <si>
    <t>drift_red_90!actual_rate_10m</t>
  </si>
  <si>
    <t>=drift_red_90!$C$19:$N$19</t>
  </si>
  <si>
    <t>[EVA3_rev2h.xlsm]drift_red_90!$C$19:$N$19</t>
  </si>
  <si>
    <t>drift_red_90!actual_rate_15m</t>
  </si>
  <si>
    <t>=drift_red_90!$C$20:$N$20</t>
  </si>
  <si>
    <t>[EVA3_rev2h.xlsm]drift_red_90!$C$20:$N$20</t>
  </si>
  <si>
    <t>drift_red_90!actual_rate_20m</t>
  </si>
  <si>
    <t>=drift_red_90!$C$21:$N$21</t>
  </si>
  <si>
    <t>[EVA3_rev2h.xlsm]drift_red_90!$C$21:$N$21</t>
  </si>
  <si>
    <t>drift_red_90!interval_actual1</t>
  </si>
  <si>
    <t>=drift_red_90!$C$22</t>
  </si>
  <si>
    <t>[EVA3_rev2h.xlsm]drift_red_90!$C$22</t>
  </si>
  <si>
    <t>drift_red_90!interval_actual</t>
  </si>
  <si>
    <t>=drift_red_90!$C$22:$N$22</t>
  </si>
  <si>
    <t>[EVA3_rev2h.xlsm]drift_red_90!$C$22:$N$22</t>
  </si>
  <si>
    <t>drift_red_90!twa_int_copy</t>
  </si>
  <si>
    <t>=drift_red_90!$C$24</t>
  </si>
  <si>
    <t>[EVA3_rev2h.xlsm]drift_red_90!$C$24</t>
  </si>
  <si>
    <t>drift_red_90!peak_max_01m</t>
  </si>
  <si>
    <t>=drift_red_90!$C$27</t>
  </si>
  <si>
    <t>[EVA3_rev2h.xlsm]drift_red_90!$C$27</t>
  </si>
  <si>
    <t>drift_red_90!twa_max_01m</t>
  </si>
  <si>
    <t>=drift_red_90!$C$28</t>
  </si>
  <si>
    <t>[EVA3_rev2h.xlsm]drift_red_90!$C$28</t>
  </si>
  <si>
    <t>drift_red_90!drift_reduction</t>
  </si>
  <si>
    <t>=drift_red_90!$C$3</t>
  </si>
  <si>
    <t>[EVA3_rev2h.xlsm]drift_red_90!$C$3</t>
  </si>
  <si>
    <t>drift_red_90!int_applic_begin_01m</t>
  </si>
  <si>
    <t>=drift_red_90!$C$32:$N$32</t>
  </si>
  <si>
    <t>[EVA3_rev2h.xlsm]drift_red_90!$C$32:$N$32</t>
  </si>
  <si>
    <t>drift_red_90!int_applic_end_01m</t>
  </si>
  <si>
    <t>=drift_red_90!$C$33:$N$33</t>
  </si>
  <si>
    <t>[EVA3_rev2h.xlsm]drift_red_90!$C$33:$N$33</t>
  </si>
  <si>
    <t>drift_red_90!peak_amount_01m</t>
  </si>
  <si>
    <t>=drift_red_90!$C$34:$N$34</t>
  </si>
  <si>
    <t>[EVA3_rev2h.xlsm]drift_red_90!$C$34:$N$34</t>
  </si>
  <si>
    <t>drift_red_90!final_amount_01m</t>
  </si>
  <si>
    <t>=drift_red_90!$C$35:$N$35</t>
  </si>
  <si>
    <t>[EVA3_rev2h.xlsm]drift_red_90!$C$35:$N$35</t>
  </si>
  <si>
    <t>drift_red_90!twa_sum_01m</t>
  </si>
  <si>
    <t>=drift_red_90!$C$38:$N$38</t>
  </si>
  <si>
    <t>[EVA3_rev2h.xlsm]drift_red_90!$C$38:$N$38</t>
  </si>
  <si>
    <t>drift_red_90!int_applic_begin_05m</t>
  </si>
  <si>
    <t>=drift_red_90!$C$45:$N$45</t>
  </si>
  <si>
    <t>[EVA3_rev2h.xlsm]drift_red_90!$C$45:$N$45</t>
  </si>
  <si>
    <t>drift_red_90!int_applic_end_05m</t>
  </si>
  <si>
    <t>=drift_red_90!$C$46:$N$46</t>
  </si>
  <si>
    <t>[EVA3_rev2h.xlsm]drift_red_90!$C$46:$N$46</t>
  </si>
  <si>
    <t>drift_red_90!peak_amount_05m</t>
  </si>
  <si>
    <t>=drift_red_90!$C$47:$N$47</t>
  </si>
  <si>
    <t>[EVA3_rev2h.xlsm]drift_red_90!$C$47:$N$47</t>
  </si>
  <si>
    <t>drift_red_90!final_amount_05m</t>
  </si>
  <si>
    <t>=drift_red_90!$C$48:$N$48</t>
  </si>
  <si>
    <t>[EVA3_rev2h.xlsm]drift_red_90!$C$48:$N$48</t>
  </si>
  <si>
    <t>drift_red_90!drift_rate_01m</t>
  </si>
  <si>
    <t>=drift_red_90!$C$5:$N$5</t>
  </si>
  <si>
    <t>[EVA3_rev2h.xlsm]drift_red_90!$C$5:$N$5</t>
  </si>
  <si>
    <t>drift_red_90!twa_sum_05m</t>
  </si>
  <si>
    <t>=drift_red_90!$C$51:$N$51</t>
  </si>
  <si>
    <t>[EVA3_rev2h.xlsm]drift_red_90!$C$51:$N$51</t>
  </si>
  <si>
    <t>drift_red_90!int_applic_begin_10m</t>
  </si>
  <si>
    <t>=drift_red_90!$C$58:$N$58</t>
  </si>
  <si>
    <t>[EVA3_rev2h.xlsm]drift_red_90!$C$58:$N$58</t>
  </si>
  <si>
    <t>drift_red_90!int_applic_end_10m</t>
  </si>
  <si>
    <t>=drift_red_90!$C$59:$N$59</t>
  </si>
  <si>
    <t>[EVA3_rev2h.xlsm]drift_red_90!$C$59:$N$59</t>
  </si>
  <si>
    <t>drift_red_90!drift_rate_05m</t>
  </si>
  <si>
    <t>=drift_red_90!$C$6:$N$6</t>
  </si>
  <si>
    <t>[EVA3_rev2h.xlsm]drift_red_90!$C$6:$N$6</t>
  </si>
  <si>
    <t>drift_red_90!peak_amount_10m</t>
  </si>
  <si>
    <t>=drift_red_90!$C$60:$N$60</t>
  </si>
  <si>
    <t>[EVA3_rev2h.xlsm]drift_red_90!$C$60:$N$60</t>
  </si>
  <si>
    <t>drift_red_90!final_amount_10m</t>
  </si>
  <si>
    <t>=drift_red_90!$C$61:$N$61</t>
  </si>
  <si>
    <t>[EVA3_rev2h.xlsm]drift_red_90!$C$61:$N$61</t>
  </si>
  <si>
    <t>drift_red_90!twa_sum_10m</t>
  </si>
  <si>
    <t>=drift_red_90!$C$64:$N$64</t>
  </si>
  <si>
    <t>[EVA3_rev2h.xlsm]drift_red_90!$C$64:$N$64</t>
  </si>
  <si>
    <t>drift_red_90!drift_rate_10m</t>
  </si>
  <si>
    <t>=drift_red_90!$C$7:$N$7</t>
  </si>
  <si>
    <t>[EVA3_rev2h.xlsm]drift_red_90!$C$7:$N$7</t>
  </si>
  <si>
    <t>drift_red_90!int_applic_begin_15m</t>
  </si>
  <si>
    <t>=drift_red_90!$C$71:$N$71</t>
  </si>
  <si>
    <t>[EVA3_rev2h.xlsm]drift_red_90!$C$71:$N$71</t>
  </si>
  <si>
    <t>drift_red_90!int_applic_end_15m</t>
  </si>
  <si>
    <t>=drift_red_90!$C$72:$N$72</t>
  </si>
  <si>
    <t>[EVA3_rev2h.xlsm]drift_red_90!$C$72:$N$72</t>
  </si>
  <si>
    <t>drift_red_90!peak_amount_15m</t>
  </si>
  <si>
    <t>=drift_red_90!$C$73:$N$73</t>
  </si>
  <si>
    <t>[EVA3_rev2h.xlsm]drift_red_90!$C$73:$N$73</t>
  </si>
  <si>
    <t>drift_red_90!final_amount_15m</t>
  </si>
  <si>
    <t>=drift_red_90!$C$74:$N$74</t>
  </si>
  <si>
    <t>[EVA3_rev2h.xlsm]drift_red_90!$C$74:$N$74</t>
  </si>
  <si>
    <t>drift_red_90!twa_sum_15m</t>
  </si>
  <si>
    <t>=drift_red_90!$C$77:$N$77</t>
  </si>
  <si>
    <t>[EVA3_rev2h.xlsm]drift_red_90!$C$77:$N$77</t>
  </si>
  <si>
    <t>drift_red_90!drift_rate_15m</t>
  </si>
  <si>
    <t>=drift_red_90!$C$8:$N$8</t>
  </si>
  <si>
    <t>[EVA3_rev2h.xlsm]drift_red_90!$C$8:$N$8</t>
  </si>
  <si>
    <t>drift_red_90!int_applic_begin_20m</t>
  </si>
  <si>
    <t>=drift_red_90!$C$84:$N$84</t>
  </si>
  <si>
    <t>[EVA3_rev2h.xlsm]drift_red_90!$C$84:$N$84</t>
  </si>
  <si>
    <t>drift_red_90!int_applic_end_20m</t>
  </si>
  <si>
    <t>=drift_red_90!$C$85:$N$85</t>
  </si>
  <si>
    <t>[EVA3_rev2h.xlsm]drift_red_90!$C$85:$N$85</t>
  </si>
  <si>
    <t>drift_red_90!peak_amount_20m</t>
  </si>
  <si>
    <t>=drift_red_90!$C$86:$N$86</t>
  </si>
  <si>
    <t>[EVA3_rev2h.xlsm]drift_red_90!$C$86:$N$86</t>
  </si>
  <si>
    <t>drift_red_90!final_amount_20m</t>
  </si>
  <si>
    <t>=drift_red_90!$C$87:$N$87</t>
  </si>
  <si>
    <t>[EVA3_rev2h.xlsm]drift_red_90!$C$87:$N$87</t>
  </si>
  <si>
    <t>drift_red_90!drift_rate_20m</t>
  </si>
  <si>
    <t>=drift_red_90!$C$9:$N$9</t>
  </si>
  <si>
    <t>[EVA3_rev2h.xlsm]drift_red_90!$C$9:$N$9</t>
  </si>
  <si>
    <t>drift_red_90!twa_sum_20m</t>
  </si>
  <si>
    <t>=drift_red_90!$C$90:$N$90</t>
  </si>
  <si>
    <t>[EVA3_rev2h.xlsm]drift_red_90!$C$90:$N$90</t>
  </si>
  <si>
    <t>drift_red_90!peak_max_05m</t>
  </si>
  <si>
    <t>=drift_red_90!$D$27</t>
  </si>
  <si>
    <t>[EVA3_rev2h.xlsm]drift_red_90!$D$27</t>
  </si>
  <si>
    <t>drift_red_90!twa_max_05m</t>
  </si>
  <si>
    <t>=drift_red_90!$D$28</t>
  </si>
  <si>
    <t>[EVA3_rev2h.xlsm]drift_red_90!$D$28</t>
  </si>
  <si>
    <t>drift_red_90!no_applic_copy</t>
  </si>
  <si>
    <t>=drift_red_90!$E$24</t>
  </si>
  <si>
    <t>[EVA3_rev2h.xlsm]drift_red_90!$E$24</t>
  </si>
  <si>
    <t>drift_red_90!peak_max_10m</t>
  </si>
  <si>
    <t>=drift_red_90!$E$27</t>
  </si>
  <si>
    <t>[EVA3_rev2h.xlsm]drift_red_90!$E$27</t>
  </si>
  <si>
    <t>drift_red_90!twa_max_10m</t>
  </si>
  <si>
    <t>=drift_red_90!$E$28</t>
  </si>
  <si>
    <t>[EVA3_rev2h.xlsm]drift_red_90!$E$28</t>
  </si>
  <si>
    <t>drift_red_90!peak_max_15m</t>
  </si>
  <si>
    <t>=drift_red_90!$F$27</t>
  </si>
  <si>
    <t>[EVA3_rev2h.xlsm]drift_red_90!$F$27</t>
  </si>
  <si>
    <t>drift_red_90!twa_max_15m</t>
  </si>
  <si>
    <t>=drift_red_90!$F$28</t>
  </si>
  <si>
    <t>[EVA3_rev2h.xlsm]drift_red_90!$F$28</t>
  </si>
  <si>
    <t>drift_red_90!k_deg_copy</t>
  </si>
  <si>
    <t>=drift_red_90!$G$24</t>
  </si>
  <si>
    <t>[EVA3_rev2h.xlsm]drift_red_90!$G$24</t>
  </si>
  <si>
    <t>drift_red_90!peak_max_20m</t>
  </si>
  <si>
    <t>=drift_red_90!$G$27</t>
  </si>
  <si>
    <t>[EVA3_rev2h.xlsm]drift_red_90!$G$27</t>
  </si>
  <si>
    <t>drift_red_90!twa_max_20m</t>
  </si>
  <si>
    <t>=drift_red_90!$G$28</t>
  </si>
  <si>
    <t>[EVA3_rev2h.xlsm]drift_red_90!$G$28</t>
  </si>
  <si>
    <t>drift_cum-effect'!single_eff_00p_01m</t>
  </si>
  <si>
    <t>='drift_cum-effect'!$B$17:$N$17</t>
  </si>
  <si>
    <t>[EVA3_rev2h.xlsm]drift_cum-effect'!$B$17:$N$17</t>
  </si>
  <si>
    <t>drift_cum-effect'!single_eff_00p_05m</t>
  </si>
  <si>
    <t>='drift_cum-effect'!$B$18:$N$18</t>
  </si>
  <si>
    <t>[EVA3_rev2h.xlsm]drift_cum-effect'!$B$18:$N$18</t>
  </si>
  <si>
    <t>drift_cum-effect'!single_eff_00p_10m</t>
  </si>
  <si>
    <t>='drift_cum-effect'!$B$19:$N$19</t>
  </si>
  <si>
    <t>[EVA3_rev2h.xlsm]drift_cum-effect'!$B$19:$N$19</t>
  </si>
  <si>
    <t>drift_cum-effect'!single_eff_00p_15m</t>
  </si>
  <si>
    <t>='drift_cum-effect'!$B$20:$N$20</t>
  </si>
  <si>
    <t>[EVA3_rev2h.xlsm]drift_cum-effect'!$B$20:$N$20</t>
  </si>
  <si>
    <t>drift_cum-effect'!single_eff_00p_20m</t>
  </si>
  <si>
    <t>='drift_cum-effect'!$B$21:$N$21</t>
  </si>
  <si>
    <t>[EVA3_rev2h.xlsm]drift_cum-effect'!$B$21:$N$21</t>
  </si>
  <si>
    <t>drift_cum-effect'!single_eff_50p_01m</t>
  </si>
  <si>
    <t>='drift_cum-effect'!$B$24:$N$24</t>
  </si>
  <si>
    <t>[EVA3_rev2h.xlsm]drift_cum-effect'!$B$24:$N$24</t>
  </si>
  <si>
    <t>drift_cum-effect'!single_eff_50p_05m</t>
  </si>
  <si>
    <t>='drift_cum-effect'!$B$25:$N$25</t>
  </si>
  <si>
    <t>[EVA3_rev2h.xlsm]drift_cum-effect'!$B$25:$N$25</t>
  </si>
  <si>
    <t>drift_cum-effect'!single_eff_50p_10m</t>
  </si>
  <si>
    <t>='drift_cum-effect'!$B$26:$N$26</t>
  </si>
  <si>
    <t>[EVA3_rev2h.xlsm]drift_cum-effect'!$B$26:$N$26</t>
  </si>
  <si>
    <t>drift_cum-effect'!single_eff_50p_15m</t>
  </si>
  <si>
    <t>='drift_cum-effect'!$B$27:$N$27</t>
  </si>
  <si>
    <t>[EVA3_rev2h.xlsm]drift_cum-effect'!$B$27:$N$27</t>
  </si>
  <si>
    <t>drift_cum-effect'!single_eff_50p_20m</t>
  </si>
  <si>
    <t>='drift_cum-effect'!$B$28:$N$28</t>
  </si>
  <si>
    <t>[EVA3_rev2h.xlsm]drift_cum-effect'!$B$28:$N$28</t>
  </si>
  <si>
    <t>drift_cum-effect'!single_eff_75p_01m</t>
  </si>
  <si>
    <t>='drift_cum-effect'!$B$31:$N$31</t>
  </si>
  <si>
    <t>[EVA3_rev2h.xlsm]drift_cum-effect'!$B$31:$N$31</t>
  </si>
  <si>
    <t>drift_cum-effect'!single_eff_75p_05m</t>
  </si>
  <si>
    <t>='drift_cum-effect'!$B$32:$N$32</t>
  </si>
  <si>
    <t>[EVA3_rev2h.xlsm]drift_cum-effect'!$B$32:$N$32</t>
  </si>
  <si>
    <t>drift_cum-effect'!single_eff_75p_10m</t>
  </si>
  <si>
    <t>='drift_cum-effect'!$B$33:$N$33</t>
  </si>
  <si>
    <t>[EVA3_rev2h.xlsm]drift_cum-effect'!$B$33:$N$33</t>
  </si>
  <si>
    <t>drift_cum-effect'!single_eff_75p_15m</t>
  </si>
  <si>
    <t>='drift_cum-effect'!$B$34:$N$34</t>
  </si>
  <si>
    <t>[EVA3_rev2h.xlsm]drift_cum-effect'!$B$34:$N$34</t>
  </si>
  <si>
    <t>drift_cum-effect'!single_eff_75p_20m</t>
  </si>
  <si>
    <t>='drift_cum-effect'!$B$35:$N$35</t>
  </si>
  <si>
    <t>[EVA3_rev2h.xlsm]drift_cum-effect'!$B$35:$N$35</t>
  </si>
  <si>
    <t>drift_cum-effect'!single_eff_90p_01m</t>
  </si>
  <si>
    <t>='drift_cum-effect'!$B$38:$N$38</t>
  </si>
  <si>
    <t>[EVA3_rev2h.xlsm]drift_cum-effect'!$B$38:$N$38</t>
  </si>
  <si>
    <t>drift_cum-effect'!single_eff_90p_05m</t>
  </si>
  <si>
    <t>='drift_cum-effect'!$B$39:$N$39</t>
  </si>
  <si>
    <t>[EVA3_rev2h.xlsm]drift_cum-effect'!$B$39:$N$39</t>
  </si>
  <si>
    <t>drift_cum-effect'!single_eff_90p_10m</t>
  </si>
  <si>
    <t>='drift_cum-effect'!$B$40:$N$40</t>
  </si>
  <si>
    <t>[EVA3_rev2h.xlsm]drift_cum-effect'!$B$40:$N$40</t>
  </si>
  <si>
    <t>drift_cum-effect'!single_eff_90p_15m</t>
  </si>
  <si>
    <t>='drift_cum-effect'!$B$41:$N$41</t>
  </si>
  <si>
    <t>[EVA3_rev2h.xlsm]drift_cum-effect'!$B$41:$N$41</t>
  </si>
  <si>
    <t>drift_cum-effect'!single_eff_90p_20m</t>
  </si>
  <si>
    <t>='drift_cum-effect'!$B$42:$N$42</t>
  </si>
  <si>
    <t>[EVA3_rev2h.xlsm]drift_cum-effect'!$B$42:$N$42</t>
  </si>
  <si>
    <t>drift_cum-effect'!cum_eff_00p_01m</t>
  </si>
  <si>
    <t>='drift_cum-effect'!$B$47:$N$47</t>
  </si>
  <si>
    <t>[EVA3_rev2h.xlsm]drift_cum-effect'!$B$47:$N$47</t>
  </si>
  <si>
    <t>drift_cum-effect'!cum_eff_00p_05m</t>
  </si>
  <si>
    <t>='drift_cum-effect'!$B$48:$N$48</t>
  </si>
  <si>
    <t>[EVA3_rev2h.xlsm]drift_cum-effect'!$B$48:$N$48</t>
  </si>
  <si>
    <t>drift_cum-effect'!cum_eff_00p_10m</t>
  </si>
  <si>
    <t>='drift_cum-effect'!$B$49:$N$49</t>
  </si>
  <si>
    <t>[EVA3_rev2h.xlsm]drift_cum-effect'!$B$49:$N$49</t>
  </si>
  <si>
    <t>drift_cum-effect'!cum_eff_00p_15m</t>
  </si>
  <si>
    <t>='drift_cum-effect'!$B$50:$N$50</t>
  </si>
  <si>
    <t>[EVA3_rev2h.xlsm]drift_cum-effect'!$B$50:$N$50</t>
  </si>
  <si>
    <t>drift_cum-effect'!cum_eff_00p_20m</t>
  </si>
  <si>
    <t>='drift_cum-effect'!$B$51:$N$51</t>
  </si>
  <si>
    <t>[EVA3_rev2h.xlsm]drift_cum-effect'!$B$51:$N$51</t>
  </si>
  <si>
    <t>drift_cum-effect'!cum_eff_50p_01m</t>
  </si>
  <si>
    <t>='drift_cum-effect'!$B$54:$N$54</t>
  </si>
  <si>
    <t>[EVA3_rev2h.xlsm]drift_cum-effect'!$B$54:$N$54</t>
  </si>
  <si>
    <t>drift_cum-effect'!cum_eff_50p_05m</t>
  </si>
  <si>
    <t>='drift_cum-effect'!$B$55:$N$55</t>
  </si>
  <si>
    <t>[EVA3_rev2h.xlsm]drift_cum-effect'!$B$55:$N$55</t>
  </si>
  <si>
    <t>drift_cum-effect'!cum_eff_50p_10m</t>
  </si>
  <si>
    <t>='drift_cum-effect'!$B$56:$N$56</t>
  </si>
  <si>
    <t>[EVA3_rev2h.xlsm]drift_cum-effect'!$B$56:$N$56</t>
  </si>
  <si>
    <t>drift_cum-effect'!cum_eff_50p_15m</t>
  </si>
  <si>
    <t>='drift_cum-effect'!$B$57:$N$57</t>
  </si>
  <si>
    <t>[EVA3_rev2h.xlsm]drift_cum-effect'!$B$57:$N$57</t>
  </si>
  <si>
    <t>drift_cum-effect'!cum_eff_50p_20m</t>
  </si>
  <si>
    <t>='drift_cum-effect'!$B$58:$N$58</t>
  </si>
  <si>
    <t>[EVA3_rev2h.xlsm]drift_cum-effect'!$B$58:$N$58</t>
  </si>
  <si>
    <t>drift_cum-effect'!cum_eff_75p_01m</t>
  </si>
  <si>
    <t>='drift_cum-effect'!$B$61:$N$61</t>
  </si>
  <si>
    <t>[EVA3_rev2h.xlsm]drift_cum-effect'!$B$61:$N$61</t>
  </si>
  <si>
    <t>drift_cum-effect'!cum_eff_75p_05m</t>
  </si>
  <si>
    <t>='drift_cum-effect'!$B$62:$N$62</t>
  </si>
  <si>
    <t>[EVA3_rev2h.xlsm]drift_cum-effect'!$B$62:$N$62</t>
  </si>
  <si>
    <t>drift_cum-effect'!cum_eff_75p_10m</t>
  </si>
  <si>
    <t>='drift_cum-effect'!$B$63:$N$63</t>
  </si>
  <si>
    <t>[EVA3_rev2h.xlsm]drift_cum-effect'!$B$63:$N$63</t>
  </si>
  <si>
    <t>drift_cum-effect'!cum_eff_75p_15m</t>
  </si>
  <si>
    <t>='drift_cum-effect'!$B$64:$N$64</t>
  </si>
  <si>
    <t>[EVA3_rev2h.xlsm]drift_cum-effect'!$B$64:$N$64</t>
  </si>
  <si>
    <t>drift_cum-effect'!cum_eff_75p_20m</t>
  </si>
  <si>
    <t>='drift_cum-effect'!$B$65:$N$65</t>
  </si>
  <si>
    <t>[EVA3_rev2h.xlsm]drift_cum-effect'!$B$65:$N$65</t>
  </si>
  <si>
    <t>drift_cum-effect'!cum_eff_90p_01m</t>
  </si>
  <si>
    <t>='drift_cum-effect'!$B$68:$N$68</t>
  </si>
  <si>
    <t>[EVA3_rev2h.xlsm]drift_cum-effect'!$B$68:$N$68</t>
  </si>
  <si>
    <t>drift_cum-effect'!cum_eff_90p_05m</t>
  </si>
  <si>
    <t>='drift_cum-effect'!$B$69:$N$69</t>
  </si>
  <si>
    <t>[EVA3_rev2h.xlsm]drift_cum-effect'!$B$69:$N$69</t>
  </si>
  <si>
    <t>drift_cum-effect'!cum_eff_90p_10m</t>
  </si>
  <si>
    <t>='drift_cum-effect'!$B$70:$N$70</t>
  </si>
  <si>
    <t>[EVA3_rev2h.xlsm]drift_cum-effect'!$B$70:$N$70</t>
  </si>
  <si>
    <t>drift_cum-effect'!cum_eff_90p_15m</t>
  </si>
  <si>
    <t>='drift_cum-effect'!$B$71:$N$71</t>
  </si>
  <si>
    <t>[EVA3_rev2h.xlsm]drift_cum-effect'!$B$71:$N$71</t>
  </si>
  <si>
    <t>drift_cum-effect'!cum_eff_90p_20m</t>
  </si>
  <si>
    <t>='drift_cum-effect'!$B$72:$N$72</t>
  </si>
  <si>
    <t>[EVA3_rev2h.xlsm]drift_cum-effect'!$B$72:$N$72</t>
  </si>
  <si>
    <t>drift_cum-effect'!peak_max_50p_01m</t>
  </si>
  <si>
    <t>='drift_cum-effect'!$C$10</t>
  </si>
  <si>
    <t>[EVA3_rev2h.xlsm]drift_cum-effect'!$C$10</t>
  </si>
  <si>
    <t>drift_cum-effect'!peak_amount_90p_10m</t>
  </si>
  <si>
    <t>='drift_cum-effect'!$C$100:$N$100</t>
  </si>
  <si>
    <t>[EVA3_rev2h.xlsm]drift_cum-effect'!$C$100:$N$100</t>
  </si>
  <si>
    <t>drift_cum-effect'!peak_amount_90p_15m</t>
  </si>
  <si>
    <t>='drift_cum-effect'!$C$101:$N$101</t>
  </si>
  <si>
    <t>[EVA3_rev2h.xlsm]drift_cum-effect'!$C$101:$N$101</t>
  </si>
  <si>
    <t>drift_cum-effect'!peak_amount_90p_20m</t>
  </si>
  <si>
    <t>='drift_cum-effect'!$C$102:$N$102</t>
  </si>
  <si>
    <t>[EVA3_rev2h.xlsm]drift_cum-effect'!$C$102:$N$102</t>
  </si>
  <si>
    <t>drift_cum-effect'!peak_max_75p_01m</t>
  </si>
  <si>
    <t>='drift_cum-effect'!$C$11</t>
  </si>
  <si>
    <t>[EVA3_rev2h.xlsm]drift_cum-effect'!$C$11</t>
  </si>
  <si>
    <t>drift_cum-effect'!peak_max_90p_01m</t>
  </si>
  <si>
    <t>='drift_cum-effect'!$C$12</t>
  </si>
  <si>
    <t>[EVA3_rev2h.xlsm]drift_cum-effect'!$C$12</t>
  </si>
  <si>
    <t>drift_cum-effect'!peak_amount_00p_01m</t>
  </si>
  <si>
    <t>='drift_cum-effect'!$C$77:$N$77</t>
  </si>
  <si>
    <t>[EVA3_rev2h.xlsm]drift_cum-effect'!$C$77:$N$77</t>
  </si>
  <si>
    <t>drift_cum-effect'!peak_amount_00p_05m</t>
  </si>
  <si>
    <t>='drift_cum-effect'!$C$78:$N$78</t>
  </si>
  <si>
    <t>[EVA3_rev2h.xlsm]drift_cum-effect'!$C$78:$N$78</t>
  </si>
  <si>
    <t>drift_cum-effect'!peak_amount_00p_10m</t>
  </si>
  <si>
    <t>='drift_cum-effect'!$C$79:$N$79</t>
  </si>
  <si>
    <t>[EVA3_rev2h.xlsm]drift_cum-effect'!$C$79:$N$79</t>
  </si>
  <si>
    <t>drift_cum-effect'!peak_amount_00p_15m</t>
  </si>
  <si>
    <t>='drift_cum-effect'!$C$80:$N$80</t>
  </si>
  <si>
    <t>[EVA3_rev2h.xlsm]drift_cum-effect'!$C$80:$N$80</t>
  </si>
  <si>
    <t>drift_cum-effect'!peak_amount_00p_20m</t>
  </si>
  <si>
    <t>='drift_cum-effect'!$C$81:$N$81</t>
  </si>
  <si>
    <t>[EVA3_rev2h.xlsm]drift_cum-effect'!$C$81:$N$81</t>
  </si>
  <si>
    <t>drift_cum-effect'!peak_amount_50p_01m</t>
  </si>
  <si>
    <t>='drift_cum-effect'!$C$84:$N$84</t>
  </si>
  <si>
    <t>[EVA3_rev2h.xlsm]drift_cum-effect'!$C$84:$N$84</t>
  </si>
  <si>
    <t>drift_cum-effect'!peak_amount_50p_05m</t>
  </si>
  <si>
    <t>='drift_cum-effect'!$C$85:$N$85</t>
  </si>
  <si>
    <t>[EVA3_rev2h.xlsm]drift_cum-effect'!$C$85:$N$85</t>
  </si>
  <si>
    <t>drift_cum-effect'!peak_amount_50p_10m</t>
  </si>
  <si>
    <t>='drift_cum-effect'!$C$86:$N$86</t>
  </si>
  <si>
    <t>[EVA3_rev2h.xlsm]drift_cum-effect'!$C$86:$N$86</t>
  </si>
  <si>
    <t>drift_cum-effect'!peak_amount_50p_15m</t>
  </si>
  <si>
    <t>='drift_cum-effect'!$C$87:$N$87</t>
  </si>
  <si>
    <t>[EVA3_rev2h.xlsm]drift_cum-effect'!$C$87:$N$87</t>
  </si>
  <si>
    <t>drift_cum-effect'!peak_amount_50p_20m</t>
  </si>
  <si>
    <t>='drift_cum-effect'!$C$88:$N$88</t>
  </si>
  <si>
    <t>[EVA3_rev2h.xlsm]drift_cum-effect'!$C$88:$N$88</t>
  </si>
  <si>
    <t>drift_cum-effect'!peak_max_00p_01m</t>
  </si>
  <si>
    <t>='drift_cum-effect'!$C$9</t>
  </si>
  <si>
    <t>[EVA3_rev2h.xlsm]drift_cum-effect'!$C$9</t>
  </si>
  <si>
    <t>drift_cum-effect'!peak_amount_75p_01m</t>
  </si>
  <si>
    <t>='drift_cum-effect'!$C$91:$N$91</t>
  </si>
  <si>
    <t>[EVA3_rev2h.xlsm]drift_cum-effect'!$C$91:$N$91</t>
  </si>
  <si>
    <t>drift_cum-effect'!peak_amount_75p_05m</t>
  </si>
  <si>
    <t>='drift_cum-effect'!$C$92:$N$92</t>
  </si>
  <si>
    <t>[EVA3_rev2h.xlsm]drift_cum-effect'!$C$92:$N$92</t>
  </si>
  <si>
    <t>drift_cum-effect'!peak_amount_75p_10m</t>
  </si>
  <si>
    <t>='drift_cum-effect'!$C$93:$N$93</t>
  </si>
  <si>
    <t>[EVA3_rev2h.xlsm]drift_cum-effect'!$C$93:$N$93</t>
  </si>
  <si>
    <t>drift_cum-effect'!peak_amount_75p_15m</t>
  </si>
  <si>
    <t>='drift_cum-effect'!$C$94:$N$94</t>
  </si>
  <si>
    <t>[EVA3_rev2h.xlsm]drift_cum-effect'!$C$94:$N$94</t>
  </si>
  <si>
    <t>drift_cum-effect'!peak_amount_75p_20m</t>
  </si>
  <si>
    <t>='drift_cum-effect'!$C$95:$N$95</t>
  </si>
  <si>
    <t>[EVA3_rev2h.xlsm]drift_cum-effect'!$C$95:$N$95</t>
  </si>
  <si>
    <t>drift_cum-effect'!peak_amount_90p_01m</t>
  </si>
  <si>
    <t>='drift_cum-effect'!$C$98:$N$98</t>
  </si>
  <si>
    <t>[EVA3_rev2h.xlsm]drift_cum-effect'!$C$98:$N$98</t>
  </si>
  <si>
    <t>drift_cum-effect'!peak_amount_90p_05m</t>
  </si>
  <si>
    <t>='drift_cum-effect'!$C$99:$N$99</t>
  </si>
  <si>
    <t>[EVA3_rev2h.xlsm]drift_cum-effect'!$C$99:$N$99</t>
  </si>
  <si>
    <t>drift_cum-effect'!peak_max_50p_05m</t>
  </si>
  <si>
    <t>='drift_cum-effect'!$D$10</t>
  </si>
  <si>
    <t>[EVA3_rev2h.xlsm]drift_cum-effect'!$D$10</t>
  </si>
  <si>
    <t>drift_cum-effect'!peak_max_75p_05m</t>
  </si>
  <si>
    <t>='drift_cum-effect'!$D$11</t>
  </si>
  <si>
    <t>[EVA3_rev2h.xlsm]drift_cum-effect'!$D$11</t>
  </si>
  <si>
    <t>drift_cum-effect'!peak_max_90p_05m</t>
  </si>
  <si>
    <t>='drift_cum-effect'!$D$12</t>
  </si>
  <si>
    <t>[EVA3_rev2h.xlsm]drift_cum-effect'!$D$12</t>
  </si>
  <si>
    <t>drift_cum-effect'!peak_max_00p_05m</t>
  </si>
  <si>
    <t>='drift_cum-effect'!$D$9</t>
  </si>
  <si>
    <t>[EVA3_rev2h.xlsm]drift_cum-effect'!$D$9</t>
  </si>
  <si>
    <t>drift_cum-effect'!peak_max_50p_10m</t>
  </si>
  <si>
    <t>='drift_cum-effect'!$E$10</t>
  </si>
  <si>
    <t>[EVA3_rev2h.xlsm]drift_cum-effect'!$E$10</t>
  </si>
  <si>
    <t>drift_cum-effect'!peak_max_75p_10m</t>
  </si>
  <si>
    <t>='drift_cum-effect'!$E$11</t>
  </si>
  <si>
    <t>[EVA3_rev2h.xlsm]drift_cum-effect'!$E$11</t>
  </si>
  <si>
    <t>drift_cum-effect'!peak_max_90p_10m</t>
  </si>
  <si>
    <t>='drift_cum-effect'!$E$12</t>
  </si>
  <si>
    <t>[EVA3_rev2h.xlsm]drift_cum-effect'!$E$12</t>
  </si>
  <si>
    <t>drift_cum-effect'!peak_max_00p_10m</t>
  </si>
  <si>
    <t>='drift_cum-effect'!$E$9</t>
  </si>
  <si>
    <t>[EVA3_rev2h.xlsm]drift_cum-effect'!$E$9</t>
  </si>
  <si>
    <t>drift_cum-effect'!peak_max_50p_15m</t>
  </si>
  <si>
    <t>='drift_cum-effect'!$F$10</t>
  </si>
  <si>
    <t>[EVA3_rev2h.xlsm]drift_cum-effect'!$F$10</t>
  </si>
  <si>
    <t>drift_cum-effect'!peak_max_75p_15m</t>
  </si>
  <si>
    <t>='drift_cum-effect'!$F$11</t>
  </si>
  <si>
    <t>[EVA3_rev2h.xlsm]drift_cum-effect'!$F$11</t>
  </si>
  <si>
    <t>drift_cum-effect'!peak_max_90p_15m</t>
  </si>
  <si>
    <t>='drift_cum-effect'!$F$12</t>
  </si>
  <si>
    <t>[EVA3_rev2h.xlsm]drift_cum-effect'!$F$12</t>
  </si>
  <si>
    <t>drift_cum-effect'!peak_max_00p_15m</t>
  </si>
  <si>
    <t>='drift_cum-effect'!$F$9</t>
  </si>
  <si>
    <t>[EVA3_rev2h.xlsm]drift_cum-effect'!$F$9</t>
  </si>
  <si>
    <t>drift_cum-effect'!peak_max_50p_20m</t>
  </si>
  <si>
    <t>='drift_cum-effect'!$G$10</t>
  </si>
  <si>
    <t>[EVA3_rev2h.xlsm]drift_cum-effect'!$G$10</t>
  </si>
  <si>
    <t>drift_cum-effect'!peak_max_75p_20m</t>
  </si>
  <si>
    <t>='drift_cum-effect'!$G$11</t>
  </si>
  <si>
    <t>[EVA3_rev2h.xlsm]drift_cum-effect'!$G$11</t>
  </si>
  <si>
    <t>drift_cum-effect'!peak_max_90p_20m</t>
  </si>
  <si>
    <t>='drift_cum-effect'!$G$12</t>
  </si>
  <si>
    <t>[EVA3_rev2h.xlsm]drift_cum-effect'!$G$12</t>
  </si>
  <si>
    <t>drift_cum-effect'!peak_max_00p_20m</t>
  </si>
  <si>
    <t>='drift_cum-effect'!$G$9</t>
  </si>
  <si>
    <t>[EVA3_rev2h.xlsm]drift_cum-effect'!$G$9</t>
  </si>
  <si>
    <t>drift_scenario_01m</t>
  </si>
  <si>
    <t>=drift_data!$A$13:$A$28</t>
  </si>
  <si>
    <t>[EVA3_rev2h.xlsm]drift_data!$A$13:$A$28</t>
  </si>
  <si>
    <t>drift_percent_01m</t>
  </si>
  <si>
    <t>=drift_data!$A$13:$O$28</t>
  </si>
  <si>
    <t>[EVA3_rev2h.xlsm]drift_data!$A$13:$O$28</t>
  </si>
  <si>
    <t>drift_scenario_05m</t>
  </si>
  <si>
    <t>=drift_data!$A$29:$A$44</t>
  </si>
  <si>
    <t>[EVA3_rev2h.xlsm]drift_data!$A$29:$A$44</t>
  </si>
  <si>
    <t>drift_percent_05m</t>
  </si>
  <si>
    <t>=drift_data!$A$29:$O$44</t>
  </si>
  <si>
    <t>[EVA3_rev2h.xlsm]drift_data!$A$29:$O$44</t>
  </si>
  <si>
    <t>drift_scenario_10m</t>
  </si>
  <si>
    <t>=drift_data!$A$45:$A$60</t>
  </si>
  <si>
    <t>[EVA3_rev2h.xlsm]drift_data!$A$45:$A$60</t>
  </si>
  <si>
    <t>drift_percent_10m</t>
  </si>
  <si>
    <t>=drift_data!$A$45:$O$60</t>
  </si>
  <si>
    <t>[EVA3_rev2h.xlsm]drift_data!$A$45:$O$60</t>
  </si>
  <si>
    <t>drift_scenario_15m</t>
  </si>
  <si>
    <t>=drift_data!$A$61:$A$76</t>
  </si>
  <si>
    <t>[EVA3_rev2h.xlsm]drift_data!$A$61:$A$76</t>
  </si>
  <si>
    <t>drift_percent_15m</t>
  </si>
  <si>
    <t>=drift_data!$A$61:$O$76</t>
  </si>
  <si>
    <t>[EVA3_rev2h.xlsm]drift_data!$A$61:$O$76</t>
  </si>
  <si>
    <t>drift_scenario_20m</t>
  </si>
  <si>
    <t>=drift_data!$A$77:$A$92</t>
  </si>
  <si>
    <t>[EVA3_rev2h.xlsm]drift_data!$A$77:$A$92</t>
  </si>
  <si>
    <t>drift_percent_20m</t>
  </si>
  <si>
    <t>=drift_data!$A$77:$O$92</t>
  </si>
  <si>
    <t>[EVA3_rev2h.xlsm]drift_data!$A$77:$O$92</t>
  </si>
  <si>
    <t>drift_percentile</t>
  </si>
  <si>
    <t>=drift_data!$C$12:$O$12</t>
  </si>
  <si>
    <t>[EVA3_rev2h.xlsm]drift_data!$C$12:$O$12</t>
  </si>
  <si>
    <t>drift_data!MAF_crit_perc</t>
  </si>
  <si>
    <t>=drift_data!$O$9</t>
  </si>
  <si>
    <t>[EVA3_rev2h.xlsm]drift_data!$O$9</t>
  </si>
  <si>
    <t>drift_data!upper_bd_perc</t>
  </si>
  <si>
    <t>=drift_data!$P$9</t>
  </si>
  <si>
    <t>[EVA3_rev2h.xlsm]drift_data!$P$9</t>
  </si>
  <si>
    <t>drift_data!upplow_bd_perc</t>
  </si>
  <si>
    <t>=drift_data!$P$9:$Q$9</t>
  </si>
  <si>
    <t>[EVA3_rev2h.xlsm]drift_data!$P$9:$Q$9</t>
  </si>
  <si>
    <t>drift_data!lower_bd_perc</t>
  </si>
  <si>
    <t>=drift_data!$Q$9</t>
  </si>
  <si>
    <t>[EVA3_rev2h.xlsm]drift_data!$Q$9</t>
  </si>
  <si>
    <t>vd_data!drift_loss</t>
  </si>
  <si>
    <t>=vd_data!$A$121:$B$136</t>
  </si>
  <si>
    <t>[EVA3_rev2h.xlsm]vd_data!$A$121:$B$136</t>
  </si>
  <si>
    <t>vd_percent_01m</t>
  </si>
  <si>
    <t>=vd_data!$A$34:$L$49</t>
  </si>
  <si>
    <t>[EVA3_rev2h.xlsm]vd_data!$A$34:$L$49</t>
  </si>
  <si>
    <t>vd_percent_05m</t>
  </si>
  <si>
    <t>=vd_data!$A$50:$L$65</t>
  </si>
  <si>
    <t>[EVA3_rev2h.xlsm]vd_data!$A$50:$L$65</t>
  </si>
  <si>
    <t>vd_percent_10m</t>
  </si>
  <si>
    <t>=vd_data!$A$66:$L$81</t>
  </si>
  <si>
    <t>[EVA3_rev2h.xlsm]vd_data!$A$66:$L$81</t>
  </si>
  <si>
    <t>vd_percent_15m</t>
  </si>
  <si>
    <t>=vd_data!$A$82:$L$97</t>
  </si>
  <si>
    <t>[EVA3_rev2h.xlsm]vd_data!$A$82:$L$97</t>
  </si>
  <si>
    <t>vd_percent_20m</t>
  </si>
  <si>
    <t>=vd_data!$A$98:$L$113</t>
  </si>
  <si>
    <t>[EVA3_rev2h.xlsm]vd_data!$A$98:$L$113</t>
  </si>
  <si>
    <t>vd_data!col_zero</t>
  </si>
  <si>
    <t>=vd_data!$A:$A</t>
  </si>
  <si>
    <t>[EVA3_rev2h.xlsm]vd_data!$A:$A</t>
  </si>
  <si>
    <t>vd_data!k_deg_hour</t>
  </si>
  <si>
    <t>=vd_data!$B$150</t>
  </si>
  <si>
    <t>[EVA3_rev2h.xlsm]vd_data!$B$150</t>
  </si>
  <si>
    <t>vd_data!vd_dynamics_time</t>
  </si>
  <si>
    <t>=vd_data!$B$151:$Z$151</t>
  </si>
  <si>
    <t>[EVA3_rev2h.xlsm]vd_data!$B$151:$Z$151</t>
  </si>
  <si>
    <t>vd_data!vd_dynamics_arable</t>
  </si>
  <si>
    <t>=vd_data!$B$152:$Z$152</t>
  </si>
  <si>
    <t>[EVA3_rev2h.xlsm]vd_data!$B$152:$Z$152</t>
  </si>
  <si>
    <t>vd_data!vd_dynamics_high</t>
  </si>
  <si>
    <t>=vd_data!$B$154:$Z$154</t>
  </si>
  <si>
    <t>[EVA3_rev2h.xlsm]vd_data!$B$154:$Z$154</t>
  </si>
  <si>
    <t>dt50_act_red</t>
  </si>
  <si>
    <t>=vd_data!$B$158</t>
  </si>
  <si>
    <t>[EVA3_rev2h.xlsm]vd_data!$B$158</t>
  </si>
  <si>
    <t>vd_data!grnhouse_f_air</t>
  </si>
  <si>
    <t>=vd_data!$B$163</t>
  </si>
  <si>
    <t>[EVA3_rev2h.xlsm]vd_data!$B$163</t>
  </si>
  <si>
    <t>vd_data!grnhouse_q_em</t>
  </si>
  <si>
    <t>=vd_data!$B$167</t>
  </si>
  <si>
    <t>[EVA3_rev2h.xlsm]vd_data!$B$167</t>
  </si>
  <si>
    <t>vd_data!grnhouse_q_em_act</t>
  </si>
  <si>
    <t>=vd_data!$B$168</t>
  </si>
  <si>
    <t>[EVA3_rev2h.xlsm]vd_data!$B$168</t>
  </si>
  <si>
    <t>vd_data!dep_5m</t>
  </si>
  <si>
    <t>=vd_data!$B$171</t>
  </si>
  <si>
    <t>[EVA3_rev2h.xlsm]vd_data!$B$171</t>
  </si>
  <si>
    <t>vd_data!dep_5m_perc</t>
  </si>
  <si>
    <t>=vd_data!$B$173</t>
  </si>
  <si>
    <t>[EVA3_rev2h.xlsm]vd_data!$B$173</t>
  </si>
  <si>
    <t>vd_data!grnhouse_dep_01m</t>
  </si>
  <si>
    <t>=vd_data!$B$176</t>
  </si>
  <si>
    <t>[EVA3_rev2h.xlsm]vd_data!$B$176</t>
  </si>
  <si>
    <t>vd_data!grnhouse_dep_05m</t>
  </si>
  <si>
    <t>=vd_data!$B$177</t>
  </si>
  <si>
    <t>[EVA3_rev2h.xlsm]vd_data!$B$177</t>
  </si>
  <si>
    <t>vd_data!grnhouse_dep_10m</t>
  </si>
  <si>
    <t>=vd_data!$B$178</t>
  </si>
  <si>
    <t>[EVA3_rev2h.xlsm]vd_data!$B$178</t>
  </si>
  <si>
    <t>vd_data!grnhouse_dep_15m</t>
  </si>
  <si>
    <t>=vd_data!$B$179</t>
  </si>
  <si>
    <t>[EVA3_rev2h.xlsm]vd_data!$B$179</t>
  </si>
  <si>
    <t>vd_data!grnhouse_dep_20m</t>
  </si>
  <si>
    <t>=vd_data!$B$180</t>
  </si>
  <si>
    <t>[EVA3_rev2h.xlsm]vd_data!$B$180</t>
  </si>
  <si>
    <t>vd_data!integration_factor</t>
  </si>
  <si>
    <t>=vd_data!$C$119:$S$119</t>
  </si>
  <si>
    <t>[EVA3_rev2h.xlsm]vd_data!$C$119:$S$119</t>
  </si>
  <si>
    <t>volatility_class_def</t>
  </si>
  <si>
    <t>=vd_data!$E$19:$H$22</t>
  </si>
  <si>
    <t>[EVA3_rev2h.xlsm]vd_data!$E$19:$H$22</t>
  </si>
  <si>
    <t>vd_data!volatility_class</t>
  </si>
  <si>
    <t>=vd_data!$E$33:$H$33</t>
  </si>
  <si>
    <t>[EVA3_rev2h.xlsm]vd_data!$E$33:$H$33</t>
  </si>
  <si>
    <t>applic_data!k_deg_copy</t>
  </si>
  <si>
    <t>=applic_data!$A$11</t>
  </si>
  <si>
    <t>[EVA3_rev2h.xlsm]applic_data!$A$11</t>
  </si>
  <si>
    <t>applic_data!peak_amount_applic</t>
  </si>
  <si>
    <t>=applic_data!$A$14:$L$14</t>
  </si>
  <si>
    <t>[EVA3_rev2h.xlsm]applic_data!$A$14:$L$14</t>
  </si>
  <si>
    <t>applic_data!deg_amount_applic</t>
  </si>
  <si>
    <t>=applic_data!$A$15:$L$15</t>
  </si>
  <si>
    <t>[EVA3_rev2h.xlsm]applic_data!$A$15:$L$15</t>
  </si>
  <si>
    <t>=applic_data!$A$18</t>
  </si>
  <si>
    <t>[EVA3_rev2h.xlsm]applic_data!$A$18</t>
  </si>
  <si>
    <t>act_applic_rate</t>
  </si>
  <si>
    <t>=applic_data!$A$2:$L$2</t>
  </si>
  <si>
    <t>[EVA3_rev2h.xlsm]applic_data!$A$2:$L$2</t>
  </si>
  <si>
    <t>act_factor</t>
  </si>
  <si>
    <t>=applic_data!$A$5:$L$5</t>
  </si>
  <si>
    <t>[EVA3_rev2h.xlsm]applic_data!$A$5:$L$5</t>
  </si>
  <si>
    <t>act_interval_applic</t>
  </si>
  <si>
    <t>=applic_data!$A$8:$L$8</t>
  </si>
  <si>
    <t>[EVA3_rev2h.xlsm]applic_data!$A$8:$L$8</t>
  </si>
  <si>
    <t>=report_table_data!$A$11:$A$12</t>
  </si>
  <si>
    <t>[EVA3_rev2h.xlsm]report_table_data!$A$11:$A$12</t>
  </si>
  <si>
    <t>=report_table_data!$A$16:$A$21</t>
  </si>
  <si>
    <t>[EVA3_rev2h.xlsm]report_table_data!$A$16:$A$21</t>
  </si>
  <si>
    <t>report_table_type</t>
  </si>
  <si>
    <t>=report_table_data!$A$2:$D$2</t>
  </si>
  <si>
    <t>[EVA3_rev2h.xlsm]report_table_data!$A$2:$D$2</t>
  </si>
  <si>
    <t>report_table_content</t>
  </si>
  <si>
    <t>=report_table_data!$A$2:$D$8</t>
  </si>
  <si>
    <t>[EVA3_rev2h.xlsm]report_table_data!$A$2:$D$8</t>
  </si>
  <si>
    <t>=report_table_data!$A$24:$A$25</t>
  </si>
  <si>
    <t>[EVA3_rev2h.xlsm]report_table_data!$A$24:$A$25</t>
  </si>
  <si>
    <t>=report_table_data!$A$32:$C$38</t>
  </si>
  <si>
    <t>[EVA3_rev2h.xlsm]report_table_data!$A$32:$C$38</t>
  </si>
  <si>
    <t>=report_table_data!$A$41:$C$47</t>
  </si>
  <si>
    <t>[EVA3_rev2h.xlsm]report_table_data!$A$41:$C$47</t>
  </si>
  <si>
    <t>=report_table_data!$A$50:$G$56</t>
  </si>
  <si>
    <t>[EVA3_rev2h.xlsm]report_table_data!$A$50:$G$56</t>
  </si>
  <si>
    <t>=report_table_data!$A$59:$F$64</t>
  </si>
  <si>
    <t>[EVA3_rev2h.xlsm]report_table_data!$A$59:$F$64</t>
  </si>
  <si>
    <t>=report_table_data!$A$67:$A$69</t>
  </si>
  <si>
    <t>[EVA3_rev2h.xlsm]report_table_data!$A$67:$A$69</t>
  </si>
  <si>
    <t>=report_table_data!$B$11:$B$13</t>
  </si>
  <si>
    <t>[EVA3_rev2h.xlsm]report_table_data!$B$11:$B$13</t>
  </si>
  <si>
    <t>=report_table_data!$B$24:$B$25</t>
  </si>
  <si>
    <t>[EVA3_rev2h.xlsm]report_table_data!$B$24:$B$25</t>
  </si>
  <si>
    <t>=report_table_data!$B$67</t>
  </si>
  <si>
    <t>[EVA3_rev2h.xlsm]report_table_data!$B$67</t>
  </si>
  <si>
    <t>=report_table_data!$C$11:$C$12</t>
  </si>
  <si>
    <t>[EVA3_rev2h.xlsm]report_table_data!$C$11:$C$12</t>
  </si>
  <si>
    <t>=report_table_data!$C$24:$C$29</t>
  </si>
  <si>
    <t>[EVA3_rev2h.xlsm]report_table_data!$C$24:$C$29</t>
  </si>
  <si>
    <t>Cur Buffer (m)</t>
  </si>
  <si>
    <t>Napps</t>
  </si>
  <si>
    <t>VP</t>
  </si>
  <si>
    <t>vd crop</t>
  </si>
  <si>
    <t>CropType</t>
  </si>
  <si>
    <t>FOCUS crop</t>
  </si>
  <si>
    <t xml:space="preserve">  </t>
  </si>
  <si>
    <t xml:space="preserve"> </t>
  </si>
  <si>
    <t>Execute TOXSWA simulation after SWAN project reaction?</t>
  </si>
  <si>
    <t>VFSmod</t>
  </si>
  <si>
    <t>Reduction run-off mode:                 VfsMod</t>
  </si>
  <si>
    <t>Filter strip buffer width:             &lt;ROFluxRed&gt;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</si>
</sst>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%"/>
    <numFmt numFmtId="165" formatCode="0.00#######%"/>
    <numFmt numFmtId="166" formatCode="0.00###%"/>
    <numFmt numFmtId="167" formatCode="0.0000%"/>
    <numFmt numFmtId="168" formatCode="0.0000E+00"/>
    <numFmt numFmtId="169" formatCode="0.0000000"/>
    <numFmt numFmtId="170" formatCode="0.000"/>
    <numFmt numFmtId="171" formatCode="0.0000"/>
    <numFmt numFmtId="172" formatCode="0.0"/>
    <numFmt numFmtId="173" formatCode="0.00000"/>
    <numFmt numFmtId="174" formatCode="0.00#%"/>
    <numFmt numFmtId="175" formatCode="_-* #,##0.00\ _€_-;\-* #,##0.00\ _€_-;_-* &quot;-&quot;??\ _€_-;_-@_-"/>
  </numFmts>
  <fonts count="28" x14ac:knownFonts="1">
    <font>
      <sz val="11"/>
      <color theme="1"/>
      <name val="Calibri"/>
      <family val="2"/>
      <scheme val="minor"/>
    </font>
    <font>
      <sz val="28"/>
      <color theme="1" tint="0.249977111117893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1"/>
      <name val="Courier New"/>
      <family val="3"/>
    </font>
    <font>
      <sz val="11"/>
      <color theme="2" tint="-0.749992370372631"/>
      <name val="Calibri"/>
      <family val="2"/>
      <scheme val="minor"/>
    </font>
    <font>
      <sz val="11"/>
      <color rgb="FFD5D10E"/>
      <name val="Calibri"/>
      <family val="2"/>
      <scheme val="minor"/>
    </font>
    <font>
      <sz val="28"/>
      <color rgb="FF89588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theme="0" tint="-0.249977111117893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indexed="8"/>
      <name val="Calibri"/>
      <family val="2"/>
    </font>
    <font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bscript"/>
      <sz val="10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76423"/>
        <bgColor indexed="64"/>
      </patternFill>
    </fill>
    <fill>
      <patternFill patternType="solid">
        <fgColor rgb="FFD5D10E"/>
        <bgColor indexed="64"/>
      </patternFill>
    </fill>
    <fill>
      <patternFill patternType="solid">
        <fgColor rgb="FFC5C19D"/>
        <bgColor indexed="64"/>
      </patternFill>
    </fill>
    <fill>
      <patternFill patternType="solid">
        <fgColor rgb="FF817C00"/>
        <bgColor indexed="64"/>
      </patternFill>
    </fill>
    <fill>
      <patternFill patternType="solid">
        <fgColor rgb="FF76776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9" fillId="0" borderId="0"/>
    <xf numFmtId="9" fontId="16" fillId="0" borderId="0" applyFont="0" applyFill="0" applyBorder="0" applyAlignment="0" applyProtection="0"/>
    <xf numFmtId="0" fontId="19" fillId="0" borderId="0"/>
    <xf numFmtId="175" fontId="1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386">
    <xf numFmtId="0" fontId="0" fillId="0" borderId="0" xfId="0"/>
    <xf numFmtId="0" fontId="0" fillId="2" borderId="0" xfId="0" applyFill="1"/>
    <xf numFmtId="0" fontId="0" fillId="5" borderId="12" xfId="0" applyFill="1" applyBorder="1"/>
    <xf numFmtId="0" fontId="8" fillId="0" borderId="0" xfId="0" applyFont="1"/>
    <xf numFmtId="0" fontId="0" fillId="7" borderId="0" xfId="0" applyFill="1"/>
    <xf numFmtId="0" fontId="1" fillId="9" borderId="0" xfId="0" applyFont="1" applyFill="1"/>
    <xf numFmtId="0" fontId="2" fillId="9" borderId="0" xfId="0" applyFont="1" applyFill="1"/>
    <xf numFmtId="0" fontId="7" fillId="9" borderId="0" xfId="0" applyFont="1" applyFill="1"/>
    <xf numFmtId="0" fontId="0" fillId="9" borderId="0" xfId="0" applyFill="1"/>
    <xf numFmtId="0" fontId="0" fillId="9" borderId="12" xfId="0" applyFill="1" applyBorder="1"/>
    <xf numFmtId="0" fontId="0" fillId="9" borderId="0" xfId="0" applyFill="1" applyAlignment="1">
      <alignment horizontal="center"/>
    </xf>
    <xf numFmtId="0" fontId="6" fillId="9" borderId="0" xfId="0" applyFont="1" applyFill="1"/>
    <xf numFmtId="0" fontId="4" fillId="10" borderId="13" xfId="0" applyFont="1" applyFill="1" applyBorder="1"/>
    <xf numFmtId="0" fontId="4" fillId="10" borderId="12" xfId="0" applyFont="1" applyFill="1" applyBorder="1"/>
    <xf numFmtId="0" fontId="4" fillId="10" borderId="14" xfId="0" applyFont="1" applyFill="1" applyBorder="1"/>
    <xf numFmtId="0" fontId="4" fillId="10" borderId="13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0" fillId="10" borderId="0" xfId="0" applyFill="1"/>
    <xf numFmtId="0" fontId="0" fillId="4" borderId="12" xfId="0" applyFill="1" applyBorder="1"/>
    <xf numFmtId="0" fontId="10" fillId="8" borderId="0" xfId="0" applyFont="1" applyFill="1"/>
    <xf numFmtId="0" fontId="0" fillId="11" borderId="0" xfId="0" applyFill="1"/>
    <xf numFmtId="0" fontId="5" fillId="9" borderId="0" xfId="0" applyFont="1" applyFill="1"/>
    <xf numFmtId="0" fontId="0" fillId="10" borderId="7" xfId="0" applyFill="1" applyBorder="1"/>
    <xf numFmtId="0" fontId="0" fillId="10" borderId="8" xfId="0" applyFill="1" applyBorder="1"/>
    <xf numFmtId="0" fontId="0" fillId="6" borderId="7" xfId="0" applyFill="1" applyBorder="1"/>
    <xf numFmtId="0" fontId="0" fillId="6" borderId="0" xfId="0" applyFill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9" fillId="6" borderId="1" xfId="0" applyFont="1" applyFill="1" applyBorder="1"/>
    <xf numFmtId="0" fontId="9" fillId="6" borderId="2" xfId="0" applyFont="1" applyFill="1" applyBorder="1"/>
    <xf numFmtId="0" fontId="9" fillId="6" borderId="3" xfId="0" applyFont="1" applyFill="1" applyBorder="1"/>
    <xf numFmtId="0" fontId="0" fillId="4" borderId="14" xfId="0" applyFill="1" applyBorder="1"/>
    <xf numFmtId="0" fontId="12" fillId="0" borderId="0" xfId="1"/>
    <xf numFmtId="0" fontId="12" fillId="12" borderId="12" xfId="1" applyFill="1" applyBorder="1" applyAlignment="1">
      <alignment wrapText="1"/>
    </xf>
    <xf numFmtId="11" fontId="12" fillId="0" borderId="1" xfId="1" applyNumberFormat="1" applyBorder="1" applyAlignment="1">
      <alignment wrapText="1"/>
    </xf>
    <xf numFmtId="11" fontId="12" fillId="0" borderId="2" xfId="1" applyNumberFormat="1" applyBorder="1" applyAlignment="1">
      <alignment wrapText="1"/>
    </xf>
    <xf numFmtId="11" fontId="12" fillId="0" borderId="3" xfId="1" applyNumberFormat="1" applyBorder="1" applyAlignment="1">
      <alignment wrapText="1"/>
    </xf>
    <xf numFmtId="0" fontId="12" fillId="12" borderId="12" xfId="1" applyFill="1" applyBorder="1"/>
    <xf numFmtId="0" fontId="12" fillId="0" borderId="1" xfId="1" applyBorder="1" applyAlignment="1">
      <alignment horizontal="right" wrapText="1"/>
    </xf>
    <xf numFmtId="0" fontId="12" fillId="0" borderId="2" xfId="1" applyBorder="1" applyAlignment="1">
      <alignment horizontal="right" wrapText="1"/>
    </xf>
    <xf numFmtId="0" fontId="12" fillId="0" borderId="3" xfId="1" applyBorder="1" applyAlignment="1">
      <alignment horizontal="right" wrapText="1"/>
    </xf>
    <xf numFmtId="164" fontId="12" fillId="0" borderId="0" xfId="1" applyNumberFormat="1"/>
    <xf numFmtId="164" fontId="12" fillId="0" borderId="1" xfId="1" applyNumberFormat="1" applyBorder="1" applyAlignment="1">
      <alignment wrapText="1"/>
    </xf>
    <xf numFmtId="164" fontId="12" fillId="0" borderId="2" xfId="1" applyNumberFormat="1" applyBorder="1" applyAlignment="1">
      <alignment wrapText="1"/>
    </xf>
    <xf numFmtId="164" fontId="12" fillId="0" borderId="3" xfId="1" applyNumberFormat="1" applyBorder="1" applyAlignment="1">
      <alignment wrapText="1"/>
    </xf>
    <xf numFmtId="0" fontId="12" fillId="12" borderId="13" xfId="1" applyFill="1" applyBorder="1"/>
    <xf numFmtId="0" fontId="12" fillId="12" borderId="2" xfId="1" applyFill="1" applyBorder="1"/>
    <xf numFmtId="0" fontId="12" fillId="12" borderId="3" xfId="1" applyFill="1" applyBorder="1"/>
    <xf numFmtId="0" fontId="13" fillId="12" borderId="14" xfId="2" applyFont="1" applyFill="1" applyBorder="1" applyAlignment="1">
      <alignment wrapText="1"/>
    </xf>
    <xf numFmtId="0" fontId="13" fillId="12" borderId="14" xfId="2" applyFont="1" applyFill="1" applyBorder="1" applyAlignment="1">
      <alignment horizontal="right" wrapText="1"/>
    </xf>
    <xf numFmtId="0" fontId="13" fillId="12" borderId="0" xfId="2" applyFont="1" applyFill="1" applyAlignment="1">
      <alignment horizontal="right" wrapText="1"/>
    </xf>
    <xf numFmtId="0" fontId="13" fillId="12" borderId="8" xfId="2" applyFont="1" applyFill="1" applyBorder="1" applyAlignment="1">
      <alignment horizontal="right" wrapText="1"/>
    </xf>
    <xf numFmtId="0" fontId="13" fillId="0" borderId="15" xfId="2" applyFont="1" applyBorder="1" applyAlignment="1">
      <alignment wrapText="1"/>
    </xf>
    <xf numFmtId="164" fontId="12" fillId="0" borderId="7" xfId="1" applyNumberFormat="1" applyBorder="1" applyAlignment="1">
      <alignment wrapText="1"/>
    </xf>
    <xf numFmtId="0" fontId="12" fillId="0" borderId="15" xfId="1" applyBorder="1" applyAlignment="1">
      <alignment wrapText="1"/>
    </xf>
    <xf numFmtId="164" fontId="12" fillId="0" borderId="4" xfId="1" applyNumberFormat="1" applyBorder="1"/>
    <xf numFmtId="164" fontId="12" fillId="0" borderId="5" xfId="1" applyNumberFormat="1" applyBorder="1"/>
    <xf numFmtId="164" fontId="12" fillId="0" borderId="6" xfId="1" applyNumberFormat="1" applyBorder="1"/>
    <xf numFmtId="164" fontId="12" fillId="0" borderId="7" xfId="1" applyNumberFormat="1" applyBorder="1"/>
    <xf numFmtId="164" fontId="12" fillId="0" borderId="8" xfId="1" applyNumberFormat="1" applyBorder="1"/>
    <xf numFmtId="0" fontId="13" fillId="0" borderId="15" xfId="2" applyFont="1" applyBorder="1" applyAlignment="1">
      <alignment vertical="top" wrapText="1"/>
    </xf>
    <xf numFmtId="0" fontId="13" fillId="0" borderId="14" xfId="2" applyFont="1" applyBorder="1" applyAlignment="1">
      <alignment wrapText="1"/>
    </xf>
    <xf numFmtId="164" fontId="12" fillId="0" borderId="9" xfId="1" applyNumberFormat="1" applyBorder="1" applyAlignment="1">
      <alignment wrapText="1"/>
    </xf>
    <xf numFmtId="0" fontId="12" fillId="0" borderId="14" xfId="1" applyBorder="1" applyAlignment="1">
      <alignment wrapText="1"/>
    </xf>
    <xf numFmtId="164" fontId="12" fillId="0" borderId="9" xfId="1" applyNumberFormat="1" applyBorder="1"/>
    <xf numFmtId="164" fontId="12" fillId="0" borderId="10" xfId="1" applyNumberFormat="1" applyBorder="1"/>
    <xf numFmtId="164" fontId="12" fillId="0" borderId="11" xfId="1" applyNumberFormat="1" applyBorder="1"/>
    <xf numFmtId="0" fontId="13" fillId="0" borderId="13" xfId="2" applyFont="1" applyBorder="1" applyAlignment="1">
      <alignment wrapText="1"/>
    </xf>
    <xf numFmtId="164" fontId="12" fillId="0" borderId="4" xfId="1" applyNumberFormat="1" applyBorder="1" applyAlignment="1">
      <alignment wrapText="1"/>
    </xf>
    <xf numFmtId="0" fontId="14" fillId="0" borderId="0" xfId="1" applyFont="1"/>
    <xf numFmtId="0" fontId="12" fillId="12" borderId="13" xfId="1" applyFill="1" applyBorder="1" applyAlignment="1">
      <alignment horizontal="right" wrapText="1"/>
    </xf>
    <xf numFmtId="0" fontId="12" fillId="12" borderId="2" xfId="1" applyFill="1" applyBorder="1" applyAlignment="1">
      <alignment horizontal="right" wrapText="1"/>
    </xf>
    <xf numFmtId="0" fontId="12" fillId="12" borderId="2" xfId="1" applyFill="1" applyBorder="1" applyAlignment="1">
      <alignment wrapText="1"/>
    </xf>
    <xf numFmtId="0" fontId="12" fillId="12" borderId="3" xfId="1" applyFill="1" applyBorder="1" applyAlignment="1">
      <alignment wrapText="1"/>
    </xf>
    <xf numFmtId="0" fontId="12" fillId="12" borderId="15" xfId="1" applyFill="1" applyBorder="1" applyAlignment="1">
      <alignment horizontal="right" wrapText="1"/>
    </xf>
    <xf numFmtId="0" fontId="12" fillId="12" borderId="5" xfId="1" applyFill="1" applyBorder="1" applyAlignment="1">
      <alignment wrapText="1"/>
    </xf>
    <xf numFmtId="0" fontId="12" fillId="12" borderId="6" xfId="1" applyFill="1" applyBorder="1" applyAlignment="1">
      <alignment wrapText="1"/>
    </xf>
    <xf numFmtId="0" fontId="12" fillId="12" borderId="14" xfId="1" applyFill="1" applyBorder="1" applyAlignment="1">
      <alignment wrapText="1"/>
    </xf>
    <xf numFmtId="0" fontId="12" fillId="12" borderId="10" xfId="1" applyFill="1" applyBorder="1" applyAlignment="1">
      <alignment wrapText="1"/>
    </xf>
    <xf numFmtId="0" fontId="12" fillId="12" borderId="11" xfId="1" applyFill="1" applyBorder="1" applyAlignment="1">
      <alignment wrapText="1"/>
    </xf>
    <xf numFmtId="0" fontId="12" fillId="0" borderId="13" xfId="1" applyBorder="1" applyAlignment="1">
      <alignment wrapText="1"/>
    </xf>
    <xf numFmtId="164" fontId="12" fillId="0" borderId="13" xfId="1" applyNumberFormat="1" applyBorder="1" applyAlignment="1">
      <alignment wrapText="1"/>
    </xf>
    <xf numFmtId="165" fontId="12" fillId="0" borderId="5" xfId="1" applyNumberFormat="1" applyBorder="1" applyAlignment="1">
      <alignment wrapText="1"/>
    </xf>
    <xf numFmtId="166" fontId="12" fillId="0" borderId="5" xfId="1" applyNumberFormat="1" applyBorder="1" applyAlignment="1">
      <alignment wrapText="1"/>
    </xf>
    <xf numFmtId="166" fontId="12" fillId="0" borderId="6" xfId="1" applyNumberFormat="1" applyBorder="1" applyAlignment="1">
      <alignment wrapText="1"/>
    </xf>
    <xf numFmtId="164" fontId="12" fillId="0" borderId="15" xfId="1" applyNumberFormat="1" applyBorder="1" applyAlignment="1">
      <alignment wrapText="1"/>
    </xf>
    <xf numFmtId="165" fontId="12" fillId="0" borderId="0" xfId="1" applyNumberFormat="1" applyAlignment="1">
      <alignment wrapText="1"/>
    </xf>
    <xf numFmtId="166" fontId="12" fillId="0" borderId="0" xfId="1" applyNumberFormat="1" applyAlignment="1">
      <alignment wrapText="1"/>
    </xf>
    <xf numFmtId="166" fontId="12" fillId="0" borderId="8" xfId="1" applyNumberFormat="1" applyBorder="1" applyAlignment="1">
      <alignment wrapText="1"/>
    </xf>
    <xf numFmtId="164" fontId="12" fillId="0" borderId="14" xfId="1" applyNumberFormat="1" applyBorder="1" applyAlignment="1">
      <alignment wrapText="1"/>
    </xf>
    <xf numFmtId="165" fontId="12" fillId="0" borderId="10" xfId="1" applyNumberFormat="1" applyBorder="1" applyAlignment="1">
      <alignment wrapText="1"/>
    </xf>
    <xf numFmtId="166" fontId="12" fillId="0" borderId="10" xfId="1" applyNumberFormat="1" applyBorder="1" applyAlignment="1">
      <alignment wrapText="1"/>
    </xf>
    <xf numFmtId="166" fontId="12" fillId="0" borderId="11" xfId="1" applyNumberFormat="1" applyBorder="1" applyAlignment="1">
      <alignment wrapText="1"/>
    </xf>
    <xf numFmtId="164" fontId="12" fillId="0" borderId="0" xfId="1" applyNumberFormat="1" applyAlignment="1">
      <alignment wrapText="1"/>
    </xf>
    <xf numFmtId="0" fontId="12" fillId="12" borderId="1" xfId="1" applyFill="1" applyBorder="1"/>
    <xf numFmtId="0" fontId="12" fillId="0" borderId="13" xfId="1" applyBorder="1"/>
    <xf numFmtId="0" fontId="12" fillId="0" borderId="5" xfId="1" applyBorder="1"/>
    <xf numFmtId="0" fontId="12" fillId="0" borderId="6" xfId="1" applyBorder="1" applyAlignment="1">
      <alignment horizontal="right"/>
    </xf>
    <xf numFmtId="0" fontId="12" fillId="0" borderId="15" xfId="1" applyBorder="1"/>
    <xf numFmtId="0" fontId="12" fillId="0" borderId="8" xfId="1" applyBorder="1"/>
    <xf numFmtId="0" fontId="12" fillId="0" borderId="14" xfId="1" applyBorder="1"/>
    <xf numFmtId="0" fontId="12" fillId="0" borderId="10" xfId="1" applyBorder="1"/>
    <xf numFmtId="0" fontId="12" fillId="0" borderId="11" xfId="1" applyBorder="1"/>
    <xf numFmtId="167" fontId="0" fillId="0" borderId="5" xfId="3" applyNumberFormat="1" applyFont="1" applyFill="1" applyBorder="1"/>
    <xf numFmtId="167" fontId="0" fillId="0" borderId="6" xfId="3" applyNumberFormat="1" applyFont="1" applyFill="1" applyBorder="1"/>
    <xf numFmtId="167" fontId="12" fillId="0" borderId="10" xfId="1" applyNumberFormat="1" applyBorder="1"/>
    <xf numFmtId="167" fontId="0" fillId="0" borderId="10" xfId="3" applyNumberFormat="1" applyFont="1" applyFill="1" applyBorder="1"/>
    <xf numFmtId="167" fontId="0" fillId="0" borderId="11" xfId="3" applyNumberFormat="1" applyFont="1" applyFill="1" applyBorder="1"/>
    <xf numFmtId="0" fontId="12" fillId="0" borderId="4" xfId="1" applyBorder="1"/>
    <xf numFmtId="167" fontId="12" fillId="0" borderId="4" xfId="1" applyNumberFormat="1" applyBorder="1"/>
    <xf numFmtId="0" fontId="12" fillId="0" borderId="7" xfId="1" applyBorder="1"/>
    <xf numFmtId="167" fontId="12" fillId="0" borderId="7" xfId="1" applyNumberFormat="1" applyBorder="1"/>
    <xf numFmtId="167" fontId="0" fillId="0" borderId="0" xfId="3" applyNumberFormat="1" applyFont="1" applyFill="1" applyBorder="1"/>
    <xf numFmtId="167" fontId="0" fillId="0" borderId="8" xfId="3" applyNumberFormat="1" applyFont="1" applyFill="1" applyBorder="1"/>
    <xf numFmtId="0" fontId="12" fillId="0" borderId="9" xfId="1" applyBorder="1"/>
    <xf numFmtId="9" fontId="0" fillId="0" borderId="9" xfId="3" applyFont="1" applyFill="1" applyBorder="1"/>
    <xf numFmtId="0" fontId="12" fillId="0" borderId="11" xfId="1" applyBorder="1" applyAlignment="1">
      <alignment horizontal="right"/>
    </xf>
    <xf numFmtId="0" fontId="12" fillId="0" borderId="1" xfId="1" applyBorder="1"/>
    <xf numFmtId="11" fontId="12" fillId="0" borderId="2" xfId="1" applyNumberFormat="1" applyBorder="1"/>
    <xf numFmtId="0" fontId="12" fillId="0" borderId="3" xfId="1" applyBorder="1" applyAlignment="1">
      <alignment horizontal="right"/>
    </xf>
    <xf numFmtId="11" fontId="12" fillId="0" borderId="0" xfId="1" applyNumberFormat="1"/>
    <xf numFmtId="0" fontId="12" fillId="13" borderId="1" xfId="1" applyFill="1" applyBorder="1"/>
    <xf numFmtId="0" fontId="12" fillId="13" borderId="2" xfId="1" applyFill="1" applyBorder="1"/>
    <xf numFmtId="0" fontId="12" fillId="13" borderId="3" xfId="1" applyFill="1" applyBorder="1"/>
    <xf numFmtId="0" fontId="12" fillId="0" borderId="1" xfId="1" applyBorder="1" applyAlignment="1">
      <alignment wrapText="1"/>
    </xf>
    <xf numFmtId="168" fontId="12" fillId="0" borderId="2" xfId="1" applyNumberFormat="1" applyBorder="1"/>
    <xf numFmtId="0" fontId="12" fillId="0" borderId="2" xfId="1" applyBorder="1"/>
    <xf numFmtId="0" fontId="12" fillId="0" borderId="3" xfId="1" applyBorder="1"/>
    <xf numFmtId="169" fontId="12" fillId="0" borderId="2" xfId="1" applyNumberFormat="1" applyBorder="1"/>
    <xf numFmtId="170" fontId="12" fillId="0" borderId="2" xfId="1" applyNumberFormat="1" applyBorder="1"/>
    <xf numFmtId="164" fontId="12" fillId="0" borderId="2" xfId="1" applyNumberFormat="1" applyBorder="1"/>
    <xf numFmtId="0" fontId="12" fillId="12" borderId="4" xfId="1" applyFill="1" applyBorder="1" applyAlignment="1">
      <alignment wrapText="1"/>
    </xf>
    <xf numFmtId="0" fontId="12" fillId="12" borderId="5" xfId="1" applyFill="1" applyBorder="1"/>
    <xf numFmtId="0" fontId="12" fillId="12" borderId="6" xfId="1" applyFill="1" applyBorder="1"/>
    <xf numFmtId="0" fontId="12" fillId="12" borderId="9" xfId="1" applyFill="1" applyBorder="1"/>
    <xf numFmtId="0" fontId="12" fillId="12" borderId="10" xfId="1" applyFill="1" applyBorder="1"/>
    <xf numFmtId="0" fontId="12" fillId="12" borderId="11" xfId="1" applyFill="1" applyBorder="1"/>
    <xf numFmtId="0" fontId="12" fillId="0" borderId="4" xfId="1" applyBorder="1" applyAlignment="1">
      <alignment wrapText="1"/>
    </xf>
    <xf numFmtId="164" fontId="0" fillId="0" borderId="5" xfId="3" applyNumberFormat="1" applyFont="1" applyBorder="1" applyAlignment="1"/>
    <xf numFmtId="0" fontId="12" fillId="0" borderId="6" xfId="1" applyBorder="1"/>
    <xf numFmtId="0" fontId="12" fillId="0" borderId="7" xfId="1" applyBorder="1" applyAlignment="1">
      <alignment wrapText="1"/>
    </xf>
    <xf numFmtId="164" fontId="0" fillId="0" borderId="0" xfId="3" applyNumberFormat="1" applyFont="1" applyBorder="1" applyAlignment="1"/>
    <xf numFmtId="0" fontId="12" fillId="0" borderId="9" xfId="1" applyBorder="1" applyAlignment="1">
      <alignment wrapText="1"/>
    </xf>
    <xf numFmtId="164" fontId="0" fillId="0" borderId="10" xfId="3" applyNumberFormat="1" applyFont="1" applyBorder="1" applyAlignment="1"/>
    <xf numFmtId="0" fontId="12" fillId="12" borderId="0" xfId="1" applyFill="1"/>
    <xf numFmtId="0" fontId="12" fillId="14" borderId="0" xfId="1" applyFill="1"/>
    <xf numFmtId="0" fontId="17" fillId="12" borderId="0" xfId="1" applyFont="1" applyFill="1"/>
    <xf numFmtId="11" fontId="12" fillId="15" borderId="13" xfId="1" applyNumberFormat="1" applyFill="1" applyBorder="1" applyProtection="1">
      <protection locked="0"/>
    </xf>
    <xf numFmtId="0" fontId="12" fillId="15" borderId="14" xfId="1" applyFill="1" applyBorder="1" applyProtection="1">
      <protection locked="0"/>
    </xf>
    <xf numFmtId="11" fontId="12" fillId="16" borderId="12" xfId="1" applyNumberFormat="1" applyFill="1" applyBorder="1"/>
    <xf numFmtId="0" fontId="12" fillId="15" borderId="13" xfId="1" applyFill="1" applyBorder="1" applyProtection="1">
      <protection locked="0"/>
    </xf>
    <xf numFmtId="0" fontId="12" fillId="16" borderId="12" xfId="1" applyFill="1" applyBorder="1"/>
    <xf numFmtId="0" fontId="12" fillId="12" borderId="0" xfId="1" applyFill="1" applyAlignment="1">
      <alignment horizontal="right"/>
    </xf>
    <xf numFmtId="170" fontId="12" fillId="16" borderId="12" xfId="1" applyNumberFormat="1" applyFill="1" applyBorder="1"/>
    <xf numFmtId="0" fontId="17" fillId="12" borderId="0" xfId="1" applyFont="1" applyFill="1" applyAlignment="1">
      <alignment vertical="top" wrapText="1"/>
    </xf>
    <xf numFmtId="0" fontId="12" fillId="12" borderId="0" xfId="1" applyFill="1" applyAlignment="1">
      <alignment vertical="top" wrapText="1"/>
    </xf>
    <xf numFmtId="0" fontId="12" fillId="16" borderId="13" xfId="1" applyFill="1" applyBorder="1" applyAlignment="1">
      <alignment vertical="top" wrapText="1"/>
    </xf>
    <xf numFmtId="0" fontId="12" fillId="16" borderId="14" xfId="1" applyFill="1" applyBorder="1" applyAlignment="1">
      <alignment vertical="top" wrapText="1"/>
    </xf>
    <xf numFmtId="11" fontId="12" fillId="15" borderId="13" xfId="1" applyNumberFormat="1" applyFill="1" applyBorder="1" applyAlignment="1" applyProtection="1">
      <alignment horizontal="right"/>
      <protection locked="0"/>
    </xf>
    <xf numFmtId="0" fontId="12" fillId="16" borderId="13" xfId="1" applyFill="1" applyBorder="1" applyAlignment="1">
      <alignment horizontal="right"/>
    </xf>
    <xf numFmtId="0" fontId="12" fillId="16" borderId="15" xfId="1" applyFill="1" applyBorder="1" applyAlignment="1">
      <alignment horizontal="right"/>
    </xf>
    <xf numFmtId="0" fontId="12" fillId="16" borderId="14" xfId="1" applyFill="1" applyBorder="1" applyAlignment="1">
      <alignment horizontal="right"/>
    </xf>
    <xf numFmtId="9" fontId="12" fillId="15" borderId="12" xfId="1" applyNumberFormat="1" applyFill="1" applyBorder="1" applyProtection="1">
      <protection locked="0"/>
    </xf>
    <xf numFmtId="0" fontId="12" fillId="16" borderId="13" xfId="1" applyFill="1" applyBorder="1"/>
    <xf numFmtId="0" fontId="12" fillId="17" borderId="4" xfId="1" applyFill="1" applyBorder="1"/>
    <xf numFmtId="0" fontId="12" fillId="16" borderId="15" xfId="1" applyFill="1" applyBorder="1"/>
    <xf numFmtId="0" fontId="12" fillId="17" borderId="7" xfId="1" applyFill="1" applyBorder="1"/>
    <xf numFmtId="0" fontId="12" fillId="15" borderId="15" xfId="1" applyFill="1" applyBorder="1" applyProtection="1">
      <protection locked="0"/>
    </xf>
    <xf numFmtId="0" fontId="12" fillId="16" borderId="14" xfId="1" applyFill="1" applyBorder="1"/>
    <xf numFmtId="0" fontId="12" fillId="17" borderId="9" xfId="1" applyFill="1" applyBorder="1"/>
    <xf numFmtId="164" fontId="12" fillId="17" borderId="5" xfId="1" applyNumberFormat="1" applyFill="1" applyBorder="1"/>
    <xf numFmtId="164" fontId="12" fillId="17" borderId="6" xfId="1" applyNumberFormat="1" applyFill="1" applyBorder="1"/>
    <xf numFmtId="164" fontId="12" fillId="17" borderId="0" xfId="1" applyNumberFormat="1" applyFill="1"/>
    <xf numFmtId="164" fontId="12" fillId="17" borderId="8" xfId="1" applyNumberFormat="1" applyFill="1" applyBorder="1"/>
    <xf numFmtId="164" fontId="12" fillId="17" borderId="10" xfId="1" applyNumberFormat="1" applyFill="1" applyBorder="1"/>
    <xf numFmtId="164" fontId="12" fillId="17" borderId="11" xfId="1" applyNumberFormat="1" applyFill="1" applyBorder="1"/>
    <xf numFmtId="0" fontId="12" fillId="17" borderId="13" xfId="1" applyFill="1" applyBorder="1"/>
    <xf numFmtId="164" fontId="12" fillId="15" borderId="13" xfId="1" applyNumberFormat="1" applyFill="1" applyBorder="1" applyProtection="1">
      <protection locked="0"/>
    </xf>
    <xf numFmtId="0" fontId="12" fillId="17" borderId="15" xfId="1" applyFill="1" applyBorder="1"/>
    <xf numFmtId="164" fontId="12" fillId="15" borderId="15" xfId="1" applyNumberFormat="1" applyFill="1" applyBorder="1" applyProtection="1">
      <protection locked="0"/>
    </xf>
    <xf numFmtId="2" fontId="12" fillId="17" borderId="12" xfId="1" applyNumberFormat="1" applyFill="1" applyBorder="1"/>
    <xf numFmtId="0" fontId="12" fillId="17" borderId="14" xfId="1" applyFill="1" applyBorder="1"/>
    <xf numFmtId="164" fontId="12" fillId="15" borderId="14" xfId="1" applyNumberFormat="1" applyFill="1" applyBorder="1" applyProtection="1">
      <protection locked="0"/>
    </xf>
    <xf numFmtId="0" fontId="12" fillId="15" borderId="12" xfId="1" applyFill="1" applyBorder="1" applyProtection="1">
      <protection locked="0"/>
    </xf>
    <xf numFmtId="0" fontId="12" fillId="16" borderId="4" xfId="1" applyFill="1" applyBorder="1"/>
    <xf numFmtId="164" fontId="12" fillId="16" borderId="5" xfId="1" applyNumberFormat="1" applyFill="1" applyBorder="1"/>
    <xf numFmtId="164" fontId="12" fillId="16" borderId="0" xfId="1" applyNumberFormat="1" applyFill="1"/>
    <xf numFmtId="164" fontId="12" fillId="16" borderId="10" xfId="1" applyNumberFormat="1" applyFill="1" applyBorder="1"/>
    <xf numFmtId="170" fontId="12" fillId="16" borderId="6" xfId="1" applyNumberFormat="1" applyFill="1" applyBorder="1"/>
    <xf numFmtId="170" fontId="12" fillId="16" borderId="8" xfId="1" applyNumberFormat="1" applyFill="1" applyBorder="1"/>
    <xf numFmtId="170" fontId="12" fillId="16" borderId="11" xfId="1" applyNumberFormat="1" applyFill="1" applyBorder="1"/>
    <xf numFmtId="0" fontId="18" fillId="12" borderId="0" xfId="1" applyFont="1" applyFill="1" applyAlignment="1">
      <alignment horizontal="left" indent="1"/>
    </xf>
    <xf numFmtId="170" fontId="12" fillId="0" borderId="0" xfId="1" applyNumberFormat="1"/>
    <xf numFmtId="0" fontId="18" fillId="14" borderId="0" xfId="1" applyFont="1" applyFill="1"/>
    <xf numFmtId="0" fontId="12" fillId="16" borderId="7" xfId="1" applyFill="1" applyBorder="1"/>
    <xf numFmtId="0" fontId="12" fillId="16" borderId="9" xfId="1" applyFill="1" applyBorder="1"/>
    <xf numFmtId="0" fontId="12" fillId="18" borderId="0" xfId="1" applyFill="1"/>
    <xf numFmtId="0" fontId="18" fillId="18" borderId="0" xfId="1" applyFont="1" applyFill="1"/>
    <xf numFmtId="0" fontId="12" fillId="18" borderId="0" xfId="1" applyFill="1" applyAlignment="1">
      <alignment horizontal="right"/>
    </xf>
    <xf numFmtId="0" fontId="12" fillId="17" borderId="12" xfId="1" applyFill="1" applyBorder="1" applyAlignment="1">
      <alignment horizontal="right" vertical="top" wrapText="1"/>
    </xf>
    <xf numFmtId="0" fontId="12" fillId="15" borderId="12" xfId="1" applyFill="1" applyBorder="1" applyAlignment="1" applyProtection="1">
      <alignment horizontal="right" vertical="top" wrapText="1"/>
      <protection locked="0"/>
    </xf>
    <xf numFmtId="0" fontId="12" fillId="17" borderId="12" xfId="1" applyFill="1" applyBorder="1" applyAlignment="1">
      <alignment vertical="top" wrapText="1"/>
    </xf>
    <xf numFmtId="0" fontId="12" fillId="18" borderId="0" xfId="1" applyFill="1" applyAlignment="1">
      <alignment horizontal="center"/>
    </xf>
    <xf numFmtId="0" fontId="12" fillId="18" borderId="0" xfId="1" applyFill="1" applyAlignment="1">
      <alignment horizontal="right" wrapText="1"/>
    </xf>
    <xf numFmtId="164" fontId="0" fillId="17" borderId="1" xfId="3" applyNumberFormat="1" applyFont="1" applyFill="1" applyBorder="1" applyProtection="1"/>
    <xf numFmtId="164" fontId="0" fillId="17" borderId="2" xfId="3" applyNumberFormat="1" applyFont="1" applyFill="1" applyBorder="1" applyProtection="1"/>
    <xf numFmtId="164" fontId="0" fillId="17" borderId="3" xfId="3" applyNumberFormat="1" applyFont="1" applyFill="1" applyBorder="1" applyProtection="1"/>
    <xf numFmtId="0" fontId="12" fillId="16" borderId="13" xfId="1" applyFill="1" applyBorder="1" applyAlignment="1">
      <alignment horizontal="center"/>
    </xf>
    <xf numFmtId="0" fontId="12" fillId="16" borderId="15" xfId="1" applyFill="1" applyBorder="1" applyAlignment="1">
      <alignment horizontal="center"/>
    </xf>
    <xf numFmtId="10" fontId="0" fillId="17" borderId="13" xfId="3" applyNumberFormat="1" applyFont="1" applyFill="1" applyBorder="1" applyAlignment="1" applyProtection="1"/>
    <xf numFmtId="10" fontId="0" fillId="17" borderId="15" xfId="3" applyNumberFormat="1" applyFont="1" applyFill="1" applyBorder="1" applyAlignment="1" applyProtection="1"/>
    <xf numFmtId="171" fontId="12" fillId="16" borderId="5" xfId="1" applyNumberFormat="1" applyFill="1" applyBorder="1"/>
    <xf numFmtId="171" fontId="12" fillId="16" borderId="6" xfId="1" applyNumberFormat="1" applyFill="1" applyBorder="1"/>
    <xf numFmtId="171" fontId="12" fillId="16" borderId="0" xfId="1" applyNumberFormat="1" applyFill="1"/>
    <xf numFmtId="171" fontId="12" fillId="16" borderId="8" xfId="1" applyNumberFormat="1" applyFill="1" applyBorder="1"/>
    <xf numFmtId="0" fontId="12" fillId="0" borderId="0" xfId="1" applyAlignment="1">
      <alignment horizontal="center"/>
    </xf>
    <xf numFmtId="0" fontId="12" fillId="16" borderId="12" xfId="1" applyFill="1" applyBorder="1" applyAlignment="1">
      <alignment horizontal="center"/>
    </xf>
    <xf numFmtId="10" fontId="12" fillId="17" borderId="12" xfId="1" applyNumberFormat="1" applyFill="1" applyBorder="1"/>
    <xf numFmtId="0" fontId="12" fillId="16" borderId="1" xfId="1" applyFill="1" applyBorder="1"/>
    <xf numFmtId="171" fontId="12" fillId="16" borderId="2" xfId="1" applyNumberFormat="1" applyFill="1" applyBorder="1"/>
    <xf numFmtId="171" fontId="12" fillId="16" borderId="3" xfId="1" applyNumberFormat="1" applyFill="1" applyBorder="1"/>
    <xf numFmtId="0" fontId="12" fillId="0" borderId="0" xfId="1" applyAlignment="1">
      <alignment vertical="top" wrapText="1"/>
    </xf>
    <xf numFmtId="0" fontId="12" fillId="15" borderId="13" xfId="1" applyFill="1" applyBorder="1" applyAlignment="1" applyProtection="1">
      <alignment vertical="top" wrapText="1"/>
      <protection locked="0"/>
    </xf>
    <xf numFmtId="0" fontId="12" fillId="12" borderId="0" xfId="1" applyFill="1" applyAlignment="1">
      <alignment horizontal="right" vertical="top" wrapText="1"/>
    </xf>
    <xf numFmtId="0" fontId="12" fillId="12" borderId="0" xfId="1" applyFill="1" applyAlignment="1" applyProtection="1">
      <alignment horizontal="right" vertical="top" wrapText="1"/>
      <protection locked="0"/>
    </xf>
    <xf numFmtId="0" fontId="12" fillId="15" borderId="14" xfId="1" quotePrefix="1" applyFill="1" applyBorder="1" applyAlignment="1" applyProtection="1">
      <alignment vertical="top" wrapText="1"/>
      <protection locked="0"/>
    </xf>
    <xf numFmtId="0" fontId="19" fillId="19" borderId="0" xfId="4" applyFill="1"/>
    <xf numFmtId="0" fontId="19" fillId="0" borderId="0" xfId="4"/>
    <xf numFmtId="0" fontId="19" fillId="19" borderId="0" xfId="4" applyFill="1" applyAlignment="1">
      <alignment horizontal="right"/>
    </xf>
    <xf numFmtId="0" fontId="19" fillId="15" borderId="4" xfId="4" applyFill="1" applyBorder="1" applyProtection="1">
      <protection locked="0"/>
    </xf>
    <xf numFmtId="0" fontId="19" fillId="12" borderId="5" xfId="4" applyFill="1" applyBorder="1" applyProtection="1">
      <protection locked="0"/>
    </xf>
    <xf numFmtId="0" fontId="19" fillId="12" borderId="6" xfId="4" applyFill="1" applyBorder="1" applyProtection="1">
      <protection locked="0"/>
    </xf>
    <xf numFmtId="0" fontId="19" fillId="19" borderId="0" xfId="4" applyFill="1" applyAlignment="1">
      <alignment vertical="top"/>
    </xf>
    <xf numFmtId="0" fontId="19" fillId="15" borderId="7" xfId="4" applyFill="1" applyBorder="1" applyAlignment="1" applyProtection="1">
      <alignment horizontal="right" vertical="top" wrapText="1"/>
      <protection locked="0"/>
    </xf>
    <xf numFmtId="0" fontId="19" fillId="12" borderId="0" xfId="4" applyFill="1" applyAlignment="1" applyProtection="1">
      <alignment horizontal="right" vertical="top" wrapText="1"/>
      <protection locked="0"/>
    </xf>
    <xf numFmtId="0" fontId="19" fillId="12" borderId="11" xfId="4" applyFill="1" applyBorder="1" applyAlignment="1" applyProtection="1">
      <alignment horizontal="right" vertical="top" wrapText="1"/>
      <protection locked="0"/>
    </xf>
    <xf numFmtId="0" fontId="19" fillId="15" borderId="9" xfId="4" applyFill="1" applyBorder="1" applyProtection="1">
      <protection locked="0"/>
    </xf>
    <xf numFmtId="0" fontId="19" fillId="12" borderId="10" xfId="4" applyFill="1" applyBorder="1" applyProtection="1">
      <protection locked="0"/>
    </xf>
    <xf numFmtId="0" fontId="19" fillId="12" borderId="11" xfId="4" applyFill="1" applyBorder="1" applyProtection="1">
      <protection locked="0"/>
    </xf>
    <xf numFmtId="0" fontId="19" fillId="12" borderId="0" xfId="4" applyFill="1"/>
    <xf numFmtId="0" fontId="20" fillId="19" borderId="0" xfId="4" applyFont="1" applyFill="1"/>
    <xf numFmtId="0" fontId="20" fillId="19" borderId="0" xfId="4" applyFont="1" applyFill="1" applyAlignment="1">
      <alignment horizontal="right"/>
    </xf>
    <xf numFmtId="0" fontId="12" fillId="15" borderId="12" xfId="1" applyFill="1" applyBorder="1" applyAlignment="1" applyProtection="1">
      <alignment vertical="top" wrapText="1"/>
      <protection locked="0"/>
    </xf>
    <xf numFmtId="0" fontId="18" fillId="12" borderId="0" xfId="1" applyFont="1" applyFill="1" applyAlignment="1">
      <alignment horizontal="left" vertical="top" indent="1"/>
    </xf>
    <xf numFmtId="0" fontId="19" fillId="12" borderId="0" xfId="1" applyFont="1" applyFill="1" applyAlignment="1">
      <alignment vertical="top"/>
    </xf>
    <xf numFmtId="0" fontId="17" fillId="12" borderId="0" xfId="1" applyFont="1" applyFill="1" applyAlignment="1">
      <alignment vertical="top"/>
    </xf>
    <xf numFmtId="0" fontId="21" fillId="19" borderId="0" xfId="4" applyFont="1" applyFill="1"/>
    <xf numFmtId="0" fontId="19" fillId="12" borderId="0" xfId="4" applyFill="1" applyAlignment="1">
      <alignment horizontal="right"/>
    </xf>
    <xf numFmtId="0" fontId="12" fillId="15" borderId="12" xfId="1" applyFill="1" applyBorder="1" applyAlignment="1" applyProtection="1">
      <alignment horizontal="left" vertical="top" wrapText="1"/>
      <protection locked="0"/>
    </xf>
    <xf numFmtId="0" fontId="19" fillId="21" borderId="13" xfId="4" applyFill="1" applyBorder="1"/>
    <xf numFmtId="0" fontId="19" fillId="12" borderId="0" xfId="4" applyFill="1" applyProtection="1">
      <protection locked="0"/>
    </xf>
    <xf numFmtId="0" fontId="18" fillId="12" borderId="0" xfId="1" applyFont="1" applyFill="1" applyAlignment="1">
      <alignment vertical="top"/>
    </xf>
    <xf numFmtId="173" fontId="19" fillId="21" borderId="14" xfId="4" applyNumberFormat="1" applyFill="1" applyBorder="1"/>
    <xf numFmtId="172" fontId="19" fillId="12" borderId="0" xfId="4" applyNumberFormat="1" applyFill="1"/>
    <xf numFmtId="0" fontId="18" fillId="12" borderId="0" xfId="1" applyFont="1" applyFill="1"/>
    <xf numFmtId="0" fontId="12" fillId="12" borderId="0" xfId="1" applyFill="1" applyAlignment="1">
      <alignment vertical="top"/>
    </xf>
    <xf numFmtId="0" fontId="19" fillId="12" borderId="0" xfId="1" applyFont="1" applyFill="1"/>
    <xf numFmtId="0" fontId="15" fillId="12" borderId="0" xfId="1" applyFont="1" applyFill="1" applyAlignment="1">
      <alignment vertical="top" wrapText="1"/>
    </xf>
    <xf numFmtId="0" fontId="12" fillId="12" borderId="0" xfId="1" applyFill="1" applyAlignment="1">
      <alignment horizontal="right" vertical="top"/>
    </xf>
    <xf numFmtId="0" fontId="12" fillId="12" borderId="0" xfId="1" applyFill="1" applyAlignment="1">
      <alignment horizontal="center" vertical="top"/>
    </xf>
    <xf numFmtId="0" fontId="12" fillId="12" borderId="0" xfId="1" applyFill="1" applyAlignment="1">
      <alignment horizontal="right" wrapText="1"/>
    </xf>
    <xf numFmtId="0" fontId="12" fillId="12" borderId="0" xfId="1" quotePrefix="1" applyFill="1" applyAlignment="1">
      <alignment horizontal="right" wrapText="1"/>
    </xf>
    <xf numFmtId="0" fontId="19" fillId="19" borderId="0" xfId="4" applyFill="1" applyAlignment="1">
      <alignment horizontal="left"/>
    </xf>
    <xf numFmtId="0" fontId="12" fillId="12" borderId="4" xfId="1" applyFill="1" applyBorder="1" applyAlignment="1">
      <alignment vertical="top" wrapText="1"/>
    </xf>
    <xf numFmtId="174" fontId="12" fillId="12" borderId="4" xfId="2" applyNumberFormat="1" applyFill="1" applyBorder="1" applyAlignment="1">
      <alignment horizontal="right"/>
    </xf>
    <xf numFmtId="170" fontId="12" fillId="12" borderId="5" xfId="1" applyNumberFormat="1" applyFill="1" applyBorder="1" applyAlignment="1">
      <alignment horizontal="right" vertical="top" wrapText="1"/>
    </xf>
    <xf numFmtId="174" fontId="12" fillId="12" borderId="5" xfId="2" applyNumberFormat="1" applyFill="1" applyBorder="1" applyAlignment="1">
      <alignment horizontal="right"/>
    </xf>
    <xf numFmtId="170" fontId="12" fillId="12" borderId="6" xfId="1" applyNumberFormat="1" applyFill="1" applyBorder="1" applyAlignment="1">
      <alignment horizontal="right" vertical="top" wrapText="1"/>
    </xf>
    <xf numFmtId="170" fontId="12" fillId="12" borderId="5" xfId="1" applyNumberFormat="1" applyFill="1" applyBorder="1" applyAlignment="1">
      <alignment vertical="top" wrapText="1"/>
    </xf>
    <xf numFmtId="170" fontId="12" fillId="12" borderId="6" xfId="1" applyNumberFormat="1" applyFill="1" applyBorder="1" applyAlignment="1">
      <alignment vertical="top" wrapText="1"/>
    </xf>
    <xf numFmtId="0" fontId="18" fillId="19" borderId="0" xfId="4" applyFont="1" applyFill="1" applyAlignment="1">
      <alignment horizontal="left" indent="1"/>
    </xf>
    <xf numFmtId="0" fontId="12" fillId="12" borderId="7" xfId="1" applyFill="1" applyBorder="1" applyAlignment="1">
      <alignment vertical="top" wrapText="1"/>
    </xf>
    <xf numFmtId="174" fontId="12" fillId="12" borderId="7" xfId="2" applyNumberFormat="1" applyFill="1" applyBorder="1" applyAlignment="1">
      <alignment horizontal="right"/>
    </xf>
    <xf numFmtId="170" fontId="12" fillId="12" borderId="0" xfId="1" applyNumberFormat="1" applyFill="1" applyAlignment="1">
      <alignment horizontal="right" vertical="top" wrapText="1"/>
    </xf>
    <xf numFmtId="174" fontId="12" fillId="12" borderId="0" xfId="2" applyNumberFormat="1" applyFill="1" applyAlignment="1">
      <alignment horizontal="right"/>
    </xf>
    <xf numFmtId="170" fontId="12" fillId="12" borderId="8" xfId="1" applyNumberFormat="1" applyFill="1" applyBorder="1" applyAlignment="1">
      <alignment horizontal="right" vertical="top" wrapText="1"/>
    </xf>
    <xf numFmtId="170" fontId="12" fillId="12" borderId="0" xfId="1" applyNumberFormat="1" applyFill="1" applyAlignment="1">
      <alignment vertical="top" wrapText="1"/>
    </xf>
    <xf numFmtId="170" fontId="12" fillId="12" borderId="8" xfId="1" applyNumberFormat="1" applyFill="1" applyBorder="1" applyAlignment="1">
      <alignment vertical="top" wrapText="1"/>
    </xf>
    <xf numFmtId="0" fontId="12" fillId="12" borderId="9" xfId="1" applyFill="1" applyBorder="1" applyAlignment="1">
      <alignment vertical="top" wrapText="1"/>
    </xf>
    <xf numFmtId="174" fontId="12" fillId="12" borderId="9" xfId="2" applyNumberFormat="1" applyFill="1" applyBorder="1" applyAlignment="1">
      <alignment horizontal="right"/>
    </xf>
    <xf numFmtId="170" fontId="12" fillId="12" borderId="10" xfId="1" applyNumberFormat="1" applyFill="1" applyBorder="1" applyAlignment="1">
      <alignment horizontal="right" vertical="top" wrapText="1"/>
    </xf>
    <xf numFmtId="174" fontId="12" fillId="12" borderId="10" xfId="2" applyNumberFormat="1" applyFill="1" applyBorder="1" applyAlignment="1">
      <alignment horizontal="right"/>
    </xf>
    <xf numFmtId="170" fontId="12" fillId="12" borderId="11" xfId="1" applyNumberFormat="1" applyFill="1" applyBorder="1" applyAlignment="1">
      <alignment horizontal="right" vertical="top" wrapText="1"/>
    </xf>
    <xf numFmtId="170" fontId="12" fillId="12" borderId="10" xfId="1" applyNumberFormat="1" applyFill="1" applyBorder="1" applyAlignment="1">
      <alignment vertical="top" wrapText="1"/>
    </xf>
    <xf numFmtId="170" fontId="12" fillId="12" borderId="11" xfId="1" applyNumberFormat="1" applyFill="1" applyBorder="1" applyAlignment="1">
      <alignment vertical="top" wrapText="1"/>
    </xf>
    <xf numFmtId="0" fontId="22" fillId="15" borderId="12" xfId="1" applyFont="1" applyFill="1" applyBorder="1" applyAlignment="1" applyProtection="1">
      <alignment vertical="top" wrapText="1"/>
      <protection locked="0"/>
    </xf>
    <xf numFmtId="0" fontId="12" fillId="15" borderId="14" xfId="1" applyFill="1" applyBorder="1" applyAlignment="1" applyProtection="1">
      <alignment vertical="top" wrapText="1"/>
      <protection locked="0"/>
    </xf>
    <xf numFmtId="0" fontId="12" fillId="12" borderId="13" xfId="1" applyFill="1" applyBorder="1" applyAlignment="1">
      <alignment vertical="top" wrapText="1"/>
    </xf>
    <xf numFmtId="0" fontId="12" fillId="12" borderId="15" xfId="1" applyFill="1" applyBorder="1" applyAlignment="1">
      <alignment vertical="top" wrapText="1"/>
    </xf>
    <xf numFmtId="0" fontId="12" fillId="12" borderId="14" xfId="1" applyFill="1" applyBorder="1" applyAlignment="1">
      <alignment vertical="top" wrapText="1"/>
    </xf>
    <xf numFmtId="0" fontId="12" fillId="12" borderId="5" xfId="1" applyFill="1" applyBorder="1" applyAlignment="1">
      <alignment vertical="top" wrapText="1"/>
    </xf>
    <xf numFmtId="0" fontId="12" fillId="12" borderId="6" xfId="1" applyFill="1" applyBorder="1" applyAlignment="1">
      <alignment vertical="top" wrapText="1"/>
    </xf>
    <xf numFmtId="170" fontId="12" fillId="12" borderId="4" xfId="1" applyNumberFormat="1" applyFill="1" applyBorder="1" applyAlignment="1">
      <alignment vertical="top" wrapText="1"/>
    </xf>
    <xf numFmtId="170" fontId="12" fillId="12" borderId="7" xfId="1" applyNumberFormat="1" applyFill="1" applyBorder="1" applyAlignment="1">
      <alignment vertical="top" wrapText="1"/>
    </xf>
    <xf numFmtId="170" fontId="12" fillId="12" borderId="9" xfId="1" applyNumberFormat="1" applyFill="1" applyBorder="1" applyAlignment="1">
      <alignment vertical="top" wrapText="1"/>
    </xf>
    <xf numFmtId="0" fontId="12" fillId="12" borderId="8" xfId="1" applyFill="1" applyBorder="1" applyAlignment="1">
      <alignment vertical="top" wrapText="1"/>
    </xf>
    <xf numFmtId="0" fontId="12" fillId="12" borderId="10" xfId="1" applyFill="1" applyBorder="1" applyAlignment="1">
      <alignment vertical="top" wrapText="1"/>
    </xf>
    <xf numFmtId="0" fontId="12" fillId="12" borderId="11" xfId="1" applyFill="1" applyBorder="1" applyAlignment="1">
      <alignment vertical="top" wrapText="1"/>
    </xf>
    <xf numFmtId="0" fontId="23" fillId="12" borderId="0" xfId="1" applyFont="1" applyFill="1"/>
    <xf numFmtId="0" fontId="12" fillId="12" borderId="5" xfId="1" applyFill="1" applyBorder="1" applyAlignment="1">
      <alignment horizontal="right" vertical="top" wrapText="1"/>
    </xf>
    <xf numFmtId="0" fontId="12" fillId="12" borderId="6" xfId="1" applyFill="1" applyBorder="1" applyAlignment="1">
      <alignment horizontal="right" vertical="top" wrapText="1"/>
    </xf>
    <xf numFmtId="0" fontId="18" fillId="12" borderId="0" xfId="1" quotePrefix="1" applyFont="1" applyFill="1" applyAlignment="1">
      <alignment vertical="top"/>
    </xf>
    <xf numFmtId="0" fontId="12" fillId="12" borderId="8" xfId="1" applyFill="1" applyBorder="1" applyAlignment="1">
      <alignment horizontal="right" vertical="top" wrapText="1"/>
    </xf>
    <xf numFmtId="0" fontId="12" fillId="12" borderId="10" xfId="1" applyFill="1" applyBorder="1" applyAlignment="1">
      <alignment horizontal="right" vertical="top" wrapText="1"/>
    </xf>
    <xf numFmtId="0" fontId="12" fillId="12" borderId="11" xfId="1" applyFill="1" applyBorder="1" applyAlignment="1">
      <alignment horizontal="right" vertical="top" wrapText="1"/>
    </xf>
    <xf numFmtId="0" fontId="12" fillId="12" borderId="12" xfId="1" applyFill="1" applyBorder="1" applyAlignment="1">
      <alignment horizontal="right" vertical="top" wrapText="1"/>
    </xf>
    <xf numFmtId="0" fontId="12" fillId="12" borderId="1" xfId="1" applyFill="1" applyBorder="1" applyAlignment="1">
      <alignment horizontal="right" wrapText="1"/>
    </xf>
    <xf numFmtId="0" fontId="12" fillId="12" borderId="3" xfId="1" applyFill="1" applyBorder="1" applyAlignment="1">
      <alignment horizontal="right" wrapText="1"/>
    </xf>
    <xf numFmtId="0" fontId="12" fillId="0" borderId="0" xfId="1" applyAlignment="1">
      <alignment horizontal="left" vertical="top" wrapText="1"/>
    </xf>
    <xf numFmtId="0" fontId="12" fillId="0" borderId="0" xfId="1" quotePrefix="1" applyAlignment="1">
      <alignment vertical="top" wrapText="1"/>
    </xf>
    <xf numFmtId="170" fontId="12" fillId="0" borderId="12" xfId="1" applyNumberFormat="1" applyBorder="1"/>
    <xf numFmtId="0" fontId="19" fillId="12" borderId="4" xfId="1" applyFont="1" applyFill="1" applyBorder="1" applyAlignment="1">
      <alignment horizontal="left"/>
    </xf>
    <xf numFmtId="0" fontId="19" fillId="12" borderId="9" xfId="1" applyFont="1" applyFill="1" applyBorder="1" applyAlignment="1">
      <alignment horizontal="right"/>
    </xf>
    <xf numFmtId="0" fontId="19" fillId="12" borderId="10" xfId="1" applyFont="1" applyFill="1" applyBorder="1" applyAlignment="1">
      <alignment horizontal="right"/>
    </xf>
    <xf numFmtId="0" fontId="19" fillId="12" borderId="11" xfId="1" applyFont="1" applyFill="1" applyBorder="1" applyAlignment="1">
      <alignment horizontal="right"/>
    </xf>
    <xf numFmtId="0" fontId="13" fillId="12" borderId="13" xfId="2" applyFont="1" applyFill="1" applyBorder="1" applyAlignment="1">
      <alignment horizontal="right" vertical="top" wrapText="1"/>
    </xf>
    <xf numFmtId="10" fontId="13" fillId="12" borderId="4" xfId="8" applyNumberFormat="1" applyFont="1" applyFill="1" applyBorder="1" applyAlignment="1">
      <alignment horizontal="right" vertical="top" wrapText="1"/>
    </xf>
    <xf numFmtId="10" fontId="13" fillId="12" borderId="5" xfId="9" applyNumberFormat="1" applyFont="1" applyFill="1" applyBorder="1" applyAlignment="1">
      <alignment horizontal="right" vertical="top" wrapText="1"/>
    </xf>
    <xf numFmtId="10" fontId="13" fillId="12" borderId="6" xfId="9" applyNumberFormat="1" applyFont="1" applyFill="1" applyBorder="1" applyAlignment="1">
      <alignment horizontal="right" vertical="top" wrapText="1"/>
    </xf>
    <xf numFmtId="10" fontId="13" fillId="12" borderId="13" xfId="9" applyNumberFormat="1" applyFont="1" applyFill="1" applyBorder="1" applyAlignment="1">
      <alignment horizontal="right" vertical="top" wrapText="1"/>
    </xf>
    <xf numFmtId="10" fontId="13" fillId="12" borderId="4" xfId="9" applyNumberFormat="1" applyFont="1" applyFill="1" applyBorder="1" applyAlignment="1">
      <alignment horizontal="right" vertical="top" wrapText="1"/>
    </xf>
    <xf numFmtId="0" fontId="13" fillId="12" borderId="12" xfId="2" applyFont="1" applyFill="1" applyBorder="1" applyAlignment="1">
      <alignment vertical="top" wrapText="1"/>
    </xf>
    <xf numFmtId="0" fontId="13" fillId="12" borderId="14" xfId="2" applyFont="1" applyFill="1" applyBorder="1" applyAlignment="1">
      <alignment horizontal="right" vertical="top" wrapText="1"/>
    </xf>
    <xf numFmtId="10" fontId="13" fillId="12" borderId="9" xfId="8" applyNumberFormat="1" applyFont="1" applyFill="1" applyBorder="1" applyAlignment="1">
      <alignment horizontal="right" vertical="top" wrapText="1"/>
    </xf>
    <xf numFmtId="10" fontId="13" fillId="12" borderId="10" xfId="9" applyNumberFormat="1" applyFont="1" applyFill="1" applyBorder="1" applyAlignment="1">
      <alignment horizontal="right" vertical="top" wrapText="1"/>
    </xf>
    <xf numFmtId="10" fontId="13" fillId="12" borderId="11" xfId="9" applyNumberFormat="1" applyFont="1" applyFill="1" applyBorder="1" applyAlignment="1">
      <alignment horizontal="right" vertical="top" wrapText="1"/>
    </xf>
    <xf numFmtId="10" fontId="13" fillId="12" borderId="9" xfId="9" applyNumberFormat="1" applyFont="1" applyFill="1" applyBorder="1" applyAlignment="1">
      <alignment horizontal="right" vertical="top" wrapText="1"/>
    </xf>
    <xf numFmtId="0" fontId="13" fillId="0" borderId="13" xfId="2" applyFont="1" applyBorder="1" applyAlignment="1">
      <alignment vertical="top" wrapText="1"/>
    </xf>
    <xf numFmtId="174" fontId="12" fillId="0" borderId="4" xfId="2" applyNumberFormat="1" applyBorder="1"/>
    <xf numFmtId="174" fontId="12" fillId="0" borderId="5" xfId="2" applyNumberFormat="1" applyBorder="1"/>
    <xf numFmtId="174" fontId="12" fillId="0" borderId="6" xfId="2" applyNumberFormat="1" applyBorder="1"/>
    <xf numFmtId="10" fontId="0" fillId="0" borderId="13" xfId="3" applyNumberFormat="1" applyFont="1" applyBorder="1"/>
    <xf numFmtId="174" fontId="12" fillId="0" borderId="7" xfId="2" applyNumberFormat="1" applyBorder="1"/>
    <xf numFmtId="174" fontId="12" fillId="0" borderId="9" xfId="2" applyNumberFormat="1" applyBorder="1"/>
    <xf numFmtId="174" fontId="12" fillId="0" borderId="8" xfId="2" applyNumberFormat="1" applyBorder="1"/>
    <xf numFmtId="174" fontId="12" fillId="0" borderId="11" xfId="2" applyNumberFormat="1" applyBorder="1"/>
    <xf numFmtId="10" fontId="12" fillId="0" borderId="0" xfId="1" applyNumberFormat="1"/>
    <xf numFmtId="174" fontId="12" fillId="0" borderId="0" xfId="2" applyNumberFormat="1"/>
    <xf numFmtId="10" fontId="0" fillId="0" borderId="15" xfId="3" applyNumberFormat="1" applyFont="1" applyBorder="1"/>
    <xf numFmtId="174" fontId="0" fillId="0" borderId="15" xfId="3" applyNumberFormat="1" applyFont="1" applyBorder="1"/>
    <xf numFmtId="0" fontId="13" fillId="0" borderId="14" xfId="2" applyFont="1" applyBorder="1" applyAlignment="1">
      <alignment vertical="top" wrapText="1"/>
    </xf>
    <xf numFmtId="174" fontId="12" fillId="0" borderId="10" xfId="2" applyNumberFormat="1" applyBorder="1"/>
    <xf numFmtId="10" fontId="0" fillId="0" borderId="14" xfId="3" applyNumberFormat="1" applyFont="1" applyBorder="1"/>
    <xf numFmtId="174" fontId="12" fillId="0" borderId="0" xfId="1" applyNumberFormat="1"/>
    <xf numFmtId="174" fontId="12" fillId="0" borderId="5" xfId="1" applyNumberFormat="1" applyBorder="1"/>
    <xf numFmtId="0" fontId="12" fillId="0" borderId="0" xfId="2"/>
    <xf numFmtId="0" fontId="12" fillId="0" borderId="0" xfId="1" applyAlignment="1">
      <alignment wrapText="1"/>
    </xf>
    <xf numFmtId="9" fontId="12" fillId="0" borderId="0" xfId="1" applyNumberFormat="1"/>
    <xf numFmtId="0" fontId="12" fillId="0" borderId="0" xfId="1" applyAlignment="1">
      <alignment horizontal="right"/>
    </xf>
    <xf numFmtId="0" fontId="12" fillId="0" borderId="0" xfId="1" applyAlignment="1">
      <alignment horizontal="right" vertical="top" wrapText="1"/>
    </xf>
    <xf numFmtId="0" fontId="12" fillId="0" borderId="0" xfId="1" quotePrefix="1" applyAlignment="1">
      <alignment horizontal="right" vertical="top" wrapText="1"/>
    </xf>
    <xf numFmtId="0" fontId="12" fillId="0" borderId="5" xfId="1" applyBorder="1" applyAlignment="1">
      <alignment vertical="top" wrapText="1"/>
    </xf>
    <xf numFmtId="49" fontId="17" fillId="0" borderId="0" xfId="1" applyNumberFormat="1" applyFont="1"/>
    <xf numFmtId="49" fontId="17" fillId="0" borderId="0" xfId="1" applyNumberFormat="1" applyFont="1" applyAlignment="1">
      <alignment wrapText="1"/>
    </xf>
    <xf numFmtId="49" fontId="12" fillId="0" borderId="0" xfId="1" applyNumberFormat="1"/>
    <xf numFmtId="49" fontId="12" fillId="0" borderId="0" xfId="1" quotePrefix="1" applyNumberFormat="1" applyAlignment="1">
      <alignment wrapText="1"/>
    </xf>
    <xf numFmtId="49" fontId="12" fillId="0" borderId="0" xfId="1" quotePrefix="1" applyNumberFormat="1"/>
    <xf numFmtId="49" fontId="12" fillId="0" borderId="0" xfId="1" applyNumberFormat="1" applyAlignment="1">
      <alignment wrapText="1"/>
    </xf>
    <xf numFmtId="2" fontId="12" fillId="0" borderId="0" xfId="1" applyNumberFormat="1"/>
    <xf numFmtId="2" fontId="19" fillId="20" borderId="12" xfId="4" applyNumberFormat="1" applyFill="1" applyBorder="1" applyProtection="1">
      <protection locked="0"/>
    </xf>
    <xf numFmtId="170" fontId="0" fillId="0" borderId="0" xfId="0" applyNumberFormat="1"/>
    <xf numFmtId="0" fontId="4" fillId="10" borderId="4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4" fillId="10" borderId="12" xfId="0" applyFont="1" applyFill="1" applyBorder="1" applyAlignment="1">
      <alignment horizontal="center"/>
    </xf>
    <xf numFmtId="0" fontId="4" fillId="10" borderId="3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12" fillId="16" borderId="9" xfId="3" applyNumberFormat="1" applyFont="1" applyFill="1" applyBorder="1" applyAlignment="1" applyProtection="1">
      <alignment horizontal="left" vertical="top"/>
    </xf>
    <xf numFmtId="0" fontId="12" fillId="16" borderId="10" xfId="3" applyNumberFormat="1" applyFont="1" applyFill="1" applyBorder="1" applyAlignment="1" applyProtection="1">
      <alignment horizontal="left" vertical="top"/>
    </xf>
    <xf numFmtId="0" fontId="12" fillId="16" borderId="11" xfId="3" applyNumberFormat="1" applyFont="1" applyFill="1" applyBorder="1" applyAlignment="1" applyProtection="1">
      <alignment horizontal="left" vertical="top"/>
    </xf>
    <xf numFmtId="0" fontId="12" fillId="16" borderId="4" xfId="1" applyFill="1" applyBorder="1" applyAlignment="1">
      <alignment horizontal="left" vertical="top"/>
    </xf>
    <xf numFmtId="0" fontId="12" fillId="16" borderId="5" xfId="1" applyFill="1" applyBorder="1" applyAlignment="1">
      <alignment horizontal="left" vertical="top"/>
    </xf>
    <xf numFmtId="0" fontId="12" fillId="16" borderId="6" xfId="1" applyFill="1" applyBorder="1" applyAlignment="1">
      <alignment horizontal="left" vertical="top"/>
    </xf>
    <xf numFmtId="0" fontId="12" fillId="16" borderId="7" xfId="1" applyFill="1" applyBorder="1" applyAlignment="1">
      <alignment horizontal="left" vertical="top"/>
    </xf>
    <xf numFmtId="0" fontId="12" fillId="16" borderId="0" xfId="1" applyFill="1" applyAlignment="1">
      <alignment horizontal="left" vertical="top"/>
    </xf>
    <xf numFmtId="0" fontId="12" fillId="16" borderId="8" xfId="1" applyFill="1" applyBorder="1" applyAlignment="1">
      <alignment horizontal="left" vertical="top"/>
    </xf>
    <xf numFmtId="0" fontId="12" fillId="12" borderId="1" xfId="1" applyFill="1" applyBorder="1" applyAlignment="1">
      <alignment wrapText="1"/>
    </xf>
    <xf numFmtId="0" fontId="12" fillId="12" borderId="2" xfId="1" applyFill="1" applyBorder="1"/>
    <xf numFmtId="0" fontId="12" fillId="12" borderId="3" xfId="1" applyFill="1" applyBorder="1"/>
  </cellXfs>
  <cellStyles count="10">
    <cellStyle name="Comma 2" xfId="7" xr:uid="{FA627993-DC17-443C-B48C-8A1075644C45}"/>
    <cellStyle name="Normal" xfId="0" builtinId="0"/>
    <cellStyle name="Normal 2" xfId="1" xr:uid="{CF92A861-F970-47A4-B465-C7109612A057}"/>
    <cellStyle name="Percent 2" xfId="3" xr:uid="{F401D6D6-309B-4128-8EAD-0E97444AED84}"/>
    <cellStyle name="Prozent 2" xfId="9" xr:uid="{6FF03BA5-ADCB-4AFC-9DA9-2B6FEF2A0764}"/>
    <cellStyle name="Prozent 3" xfId="8" xr:uid="{BD8DCF3A-A2F4-403C-BE6F-5A47B1055F9B}"/>
    <cellStyle name="Prozent 5" xfId="5" xr:uid="{D6F7AD71-1641-444A-9289-DF4F814D5A88}"/>
    <cellStyle name="Standard 3" xfId="2" xr:uid="{626906F8-CFE6-46F2-822C-F7BAE2702C99}"/>
    <cellStyle name="Standard 3 2" xfId="6" xr:uid="{DCDD2932-2CB2-4B4D-97FA-6762ACDB2D73}"/>
    <cellStyle name="Standard 4" xfId="4" xr:uid="{D8E4E032-6EF0-4F77-9211-9F338AFAFB66}"/>
  </cellStyles>
  <dxfs count="47"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CCFFCC"/>
      </font>
    </dxf>
    <dxf>
      <font>
        <color rgb="FFCCFFCC"/>
      </font>
    </dxf>
    <dxf>
      <font>
        <color rgb="FFCCFFCC"/>
      </font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FFF99"/>
        </patternFill>
      </fill>
    </dxf>
    <dxf>
      <numFmt numFmtId="172" formatCode="0.0"/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theme="0" tint="-0.24994659260841701"/>
      </font>
    </dxf>
    <dxf>
      <fill>
        <patternFill>
          <bgColor rgb="FFCC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>
          <bgColor rgb="FFCCFFCC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ont>
        <color rgb="FFB2B2B2"/>
      </font>
    </dxf>
    <dxf>
      <fill>
        <patternFill>
          <bgColor rgb="FFCC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3" formatCode="0%"/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numFmt numFmtId="13" formatCode="0%"/>
    </dxf>
    <dxf>
      <font>
        <color rgb="FFFF0000"/>
      </font>
      <fill>
        <patternFill>
          <bgColor rgb="FFFF9999"/>
        </patternFill>
      </fill>
    </dxf>
    <dxf>
      <fill>
        <patternFill>
          <bgColor rgb="FFCCFFCC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rgb="FFCCFFCC"/>
        </patternFill>
      </fill>
      <border>
        <right style="thin">
          <color auto="1"/>
        </right>
        <top style="thin">
          <color auto="1"/>
        </top>
        <vertical/>
        <horizontal/>
      </border>
    </dxf>
    <dxf>
      <fill>
        <patternFill>
          <bgColor rgb="FFCCFFCC"/>
        </patternFill>
      </fill>
      <border>
        <bottom style="thin">
          <color auto="1"/>
        </bottom>
        <vertical/>
        <horizontal/>
      </border>
    </dxf>
    <dxf>
      <fill>
        <patternFill>
          <bgColor rgb="FFCCFFCC"/>
        </patternFill>
      </fill>
      <border>
        <left style="thin">
          <color auto="1"/>
        </left>
        <top style="thin">
          <color auto="1"/>
        </top>
        <vertical/>
        <horizontal/>
      </border>
    </dxf>
    <dxf>
      <font>
        <color rgb="FFB2B2B2"/>
      </font>
    </dxf>
    <dxf>
      <fill>
        <patternFill>
          <bgColor rgb="FFCC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5C19D"/>
      <color rgb="FF817C00"/>
      <color rgb="FF767769"/>
      <color rgb="FFD5D10E"/>
      <color rgb="FF895880"/>
      <color rgb="FF576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BDD1F04B-858B-11D1-B16A-00C0F0283628}" ax:license="9368265E-85FE-11d1-8BE3-0000F8754DA1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BDD1F04B-858B-11D1-B16A-00C0F0283628}" ax:license="9368265E-85FE-11d1-8BE3-0000F8754DA1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BDD1F04B-858B-11D1-B16A-00C0F0283628}" ax:license="9368265E-85FE-11d1-8BE3-0000F8754DA1" ax:persistence="persistPropertyBag">
  <ax:ocxPr ax:name="_ExtentX" ax:value="53446"/>
  <ax:ocxPr ax:name="_ExtentY" ax:value="185685"/>
  <ax:ocxPr ax:name="View" ax:value="2"/>
  <ax:ocxPr ax:name="LabelWrap" ax:value="-1"/>
  <ax:ocxPr ax:name="HideSelection" ax:value="-1"/>
  <ax:ocxPr ax:name="_Version" ax:value="393217"/>
  <ax:ocxPr ax:name="ForeColor" ax:value="-2147483640"/>
  <ax:ocxPr ax:name="BackColor" ax:value="-2147483643"/>
  <ax:ocxPr ax:name="BorderStyle" ax:value="1"/>
  <ax:ocxPr ax:name="Appearance" ax:value="1"/>
  <ax:ocxPr ax:name="Font">
    <ax:font ax:persistence="persistPropertyBag">
      <ax:ocxPr ax:name="Name" ax:value="Calibri"/>
      <ax:ocxPr ax:name="Size" ax:value="11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NumItems" ax:value="0"/>
</ax:ocx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BDD1F04B-858B-11D1-B16A-00C0F0283628}" ax:license="9368265E-85FE-11d1-8BE3-0000F8754DA1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5</xdr:row>
          <xdr:rowOff>152400</xdr:rowOff>
        </xdr:from>
        <xdr:to>
          <xdr:col>11</xdr:col>
          <xdr:colOff>95250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12</xdr:row>
          <xdr:rowOff>133350</xdr:rowOff>
        </xdr:from>
        <xdr:to>
          <xdr:col>5</xdr:col>
          <xdr:colOff>933450</xdr:colOff>
          <xdr:row>74</xdr:row>
          <xdr:rowOff>142875</xdr:rowOff>
        </xdr:to>
        <xdr:sp macro="" textlink="">
          <xdr:nvSpPr>
            <xdr:cNvPr id="1027" name="lvProject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11</xdr:row>
          <xdr:rowOff>47625</xdr:rowOff>
        </xdr:from>
        <xdr:to>
          <xdr:col>4</xdr:col>
          <xdr:colOff>609600</xdr:colOff>
          <xdr:row>12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 SWASHProjects/Clear selections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238125</xdr:colOff>
          <xdr:row>10</xdr:row>
          <xdr:rowOff>171450</xdr:rowOff>
        </xdr:from>
        <xdr:to>
          <xdr:col>13</xdr:col>
          <xdr:colOff>47625</xdr:colOff>
          <xdr:row>12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selected buffers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12</xdr:row>
          <xdr:rowOff>114300</xdr:rowOff>
        </xdr:from>
        <xdr:to>
          <xdr:col>13</xdr:col>
          <xdr:colOff>381000</xdr:colOff>
          <xdr:row>74</xdr:row>
          <xdr:rowOff>180975</xdr:rowOff>
        </xdr:to>
        <xdr:sp macro="" textlink="">
          <xdr:nvSpPr>
            <xdr:cNvPr id="1032" name="lVDrif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104775</xdr:colOff>
          <xdr:row>10</xdr:row>
          <xdr:rowOff>85725</xdr:rowOff>
        </xdr:from>
        <xdr:to>
          <xdr:col>22</xdr:col>
          <xdr:colOff>85725</xdr:colOff>
          <xdr:row>11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Step 4 list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 drift buffer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12</xdr:row>
          <xdr:rowOff>114300</xdr:rowOff>
        </xdr:from>
        <xdr:to>
          <xdr:col>9</xdr:col>
          <xdr:colOff>190500</xdr:colOff>
          <xdr:row>74</xdr:row>
          <xdr:rowOff>161925</xdr:rowOff>
        </xdr:to>
        <xdr:sp macro="" textlink="">
          <xdr:nvSpPr>
            <xdr:cNvPr id="1034" name="lvNozzl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10</xdr:row>
          <xdr:rowOff>180975</xdr:rowOff>
        </xdr:from>
        <xdr:to>
          <xdr:col>7</xdr:col>
          <xdr:colOff>180975</xdr:colOff>
          <xdr:row>12</xdr:row>
          <xdr:rowOff>76200</xdr:rowOff>
        </xdr:to>
        <xdr:sp macro="" textlink="">
          <xdr:nvSpPr>
            <xdr:cNvPr id="1035" name="txtNozzle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11</xdr:row>
          <xdr:rowOff>28575</xdr:rowOff>
        </xdr:from>
        <xdr:to>
          <xdr:col>9</xdr:col>
          <xdr:colOff>123825</xdr:colOff>
          <xdr:row>12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nozzle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12</xdr:row>
          <xdr:rowOff>66675</xdr:rowOff>
        </xdr:from>
        <xdr:to>
          <xdr:col>17</xdr:col>
          <xdr:colOff>66675</xdr:colOff>
          <xdr:row>74</xdr:row>
          <xdr:rowOff>123825</xdr:rowOff>
        </xdr:to>
        <xdr:sp macro="" textlink="">
          <xdr:nvSpPr>
            <xdr:cNvPr id="1037" name="lvVF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6</xdr:row>
          <xdr:rowOff>152400</xdr:rowOff>
        </xdr:from>
        <xdr:to>
          <xdr:col>22</xdr:col>
          <xdr:colOff>333375</xdr:colOff>
          <xdr:row>7</xdr:row>
          <xdr:rowOff>180975</xdr:rowOff>
        </xdr:to>
        <xdr:sp macro="" textlink="">
          <xdr:nvSpPr>
            <xdr:cNvPr id="1039" name="chk_Match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10</xdr:row>
          <xdr:rowOff>66675</xdr:rowOff>
        </xdr:from>
        <xdr:to>
          <xdr:col>25</xdr:col>
          <xdr:colOff>447675</xdr:colOff>
          <xdr:row>11</xdr:row>
          <xdr:rowOff>104775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38101</xdr:colOff>
      <xdr:row>0</xdr:row>
      <xdr:rowOff>38101</xdr:rowOff>
    </xdr:from>
    <xdr:to>
      <xdr:col>4</xdr:col>
      <xdr:colOff>685801</xdr:colOff>
      <xdr:row>0</xdr:row>
      <xdr:rowOff>581025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3388"/>
        <a:stretch/>
      </xdr:blipFill>
      <xdr:spPr>
        <a:xfrm>
          <a:off x="38101" y="38101"/>
          <a:ext cx="2705100" cy="542924"/>
        </a:xfrm>
        <a:prstGeom prst="rect">
          <a:avLst/>
        </a:prstGeom>
        <a:solidFill>
          <a:srgbClr val="576423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99</xdr:row>
          <xdr:rowOff>0</xdr:rowOff>
        </xdr:from>
        <xdr:to>
          <xdr:col>1</xdr:col>
          <xdr:colOff>1200150</xdr:colOff>
          <xdr:row>101</xdr:row>
          <xdr:rowOff>133350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8</xdr:row>
          <xdr:rowOff>114300</xdr:rowOff>
        </xdr:from>
        <xdr:to>
          <xdr:col>1</xdr:col>
          <xdr:colOff>1600200</xdr:colOff>
          <xdr:row>9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Step 4 projects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161925</xdr:rowOff>
        </xdr:from>
        <xdr:to>
          <xdr:col>3</xdr:col>
          <xdr:colOff>57150</xdr:colOff>
          <xdr:row>8</xdr:row>
          <xdr:rowOff>47625</xdr:rowOff>
        </xdr:to>
        <xdr:sp macro="" textlink="">
          <xdr:nvSpPr>
            <xdr:cNvPr id="2053" name="chkExec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76200</xdr:colOff>
      <xdr:row>0</xdr:row>
      <xdr:rowOff>9524</xdr:rowOff>
    </xdr:from>
    <xdr:to>
      <xdr:col>1</xdr:col>
      <xdr:colOff>2148866</xdr:colOff>
      <xdr:row>0</xdr:row>
      <xdr:rowOff>590549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C718BF3-56F2-7D24-DF9E-A72B8A1F2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E6E6E6"/>
            </a:clrFrom>
            <a:clrTo>
              <a:srgbClr val="E6E6E6">
                <a:alpha val="0"/>
              </a:srgbClr>
            </a:clrTo>
          </a:clrChange>
        </a:blip>
        <a:stretch>
          <a:fillRect/>
        </a:stretch>
      </xdr:blipFill>
      <xdr:spPr>
        <a:xfrm>
          <a:off x="76200" y="9524"/>
          <a:ext cx="2682266" cy="5810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</xdr:rowOff>
    </xdr:from>
    <xdr:to>
      <xdr:col>14</xdr:col>
      <xdr:colOff>0</xdr:colOff>
      <xdr:row>9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47FE7D70-5251-4584-A557-D5FF12905C27}"/>
            </a:ext>
          </a:extLst>
        </xdr:cNvPr>
        <xdr:cNvSpPr txBox="1"/>
      </xdr:nvSpPr>
      <xdr:spPr>
        <a:xfrm>
          <a:off x="0" y="2"/>
          <a:ext cx="10668000" cy="647698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Drift calculations are based on: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  <a:p>
          <a:pPr>
            <a:spcBef>
              <a:spcPts val="600"/>
            </a:spcBef>
          </a:pPr>
          <a:r>
            <a:rPr lang="de-DE" sz="100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Rautmann, D.; Streloke, M.; Winkler, R.: "New basic drift values in the authorization procedure for plant protection products"</a:t>
          </a:r>
          <a:br>
            <a:rPr lang="de-DE" sz="100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de-DE" sz="100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Mitteilungen aus der Biologischen Bundesanstalt für Land- und Forstwirtschaft 383, 133-141 (2001).</a:t>
          </a:r>
        </a:p>
        <a:p>
          <a:pPr>
            <a:spcBef>
              <a:spcPts val="600"/>
            </a:spcBef>
          </a:pPr>
          <a:r>
            <a:rPr lang="de-DE" sz="1000" b="0" i="0" baseline="0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Variable drift percentiles accounting for residue dynamics in the target compartment are estimated using the following concept:</a:t>
          </a:r>
        </a:p>
        <a:p>
          <a:pPr>
            <a:spcBef>
              <a:spcPts val="600"/>
            </a:spcBef>
          </a:pPr>
          <a:r>
            <a:rPr lang="de-DE" sz="1000" b="0" i="0" baseline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t>expression of residue dynamics by a MAF-crit (multiple application factor normalised to highest single rate in application sequence)</a:t>
          </a:r>
          <a:br>
            <a:rPr lang="de-DE" sz="1000" b="0" i="0" baseline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de-DE" sz="1000" b="0" i="0" baseline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t>calculation of 90 percentile for application sequence based on MAF-crit: Φ(</a:t>
          </a:r>
          <a:r>
            <a:rPr lang="de-DE" sz="1000" b="0" i="0" baseline="0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Φ</a:t>
          </a:r>
          <a:r>
            <a:rPr lang="de-DE" sz="1000" b="0" i="0" baseline="30000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-1</a:t>
          </a:r>
          <a:r>
            <a:rPr lang="de-DE" sz="1000" b="0" i="0" baseline="0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(0.9)/√MAF-crit)</a:t>
          </a:r>
          <a:br>
            <a:rPr lang="de-DE" sz="1000" b="0" i="0" baseline="0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de-DE" sz="1000" b="0" i="0" baseline="0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estimation of drift percentages by linear extrapolation between tabulated basic drift values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12</xdr:col>
      <xdr:colOff>0</xdr:colOff>
      <xdr:row>17</xdr:row>
      <xdr:rowOff>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E2BA6B8-5BCA-48D6-81F2-954D514ADE4D}"/>
            </a:ext>
          </a:extLst>
        </xdr:cNvPr>
        <xdr:cNvSpPr txBox="1"/>
      </xdr:nvSpPr>
      <xdr:spPr>
        <a:xfrm>
          <a:off x="0" y="1"/>
          <a:ext cx="9572625" cy="2752725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The calculation of volatilisation/deposition in EVA3 is mostly identical to the approach that was introduced with EVA 2.0</a:t>
          </a: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Winkler, R.; Koch, W.: "Exposure Via Air - EVA 2.0 - Assessment of the Short Range Transport and Deposition of Pesticides for Aquatic and Terrestrial Ecosystems"</a:t>
          </a:r>
          <a:b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Excel Workbook, </a:t>
          </a:r>
          <a:r>
            <a:rPr lang="de-DE" sz="1000" b="0" i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UBA (German Federal Environmental Agency), February 2005.</a:t>
          </a:r>
          <a:endParaRPr lang="de-DE" sz="1000" b="0" i="0" baseline="0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rtl="0">
            <a:spcBef>
              <a:spcPts val="12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detail, volatilisation/deposition calculations are based on: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  <a:p>
          <a:pPr rtl="0" eaLnBrk="1" fontAlgn="auto" latinLnBrk="0" hangingPunct="1">
            <a:spcBef>
              <a:spcPts val="600"/>
            </a:spcBef>
          </a:pP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Fent, G.: "Short-range Transport and Deposition of Volatilised Pesticides"</a:t>
          </a:r>
          <a:b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Shaker Verlag, Aachen (2004), ISBN: 3-8322-3568-X.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  <a:p>
          <a:pPr rtl="0" eaLnBrk="1" fontAlgn="auto" latinLnBrk="0" hangingPunct="1">
            <a:spcBef>
              <a:spcPts val="600"/>
            </a:spcBef>
          </a:pP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Tintrup gen. Suntrup, G.; Fent, G.; Kubiak, R.:</a:t>
          </a: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"Emission of Pesticides from buildings - Validation of an volatilisation model for the short range deposition"</a:t>
          </a:r>
          <a:b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Research</a:t>
          </a:r>
          <a:r>
            <a:rPr lang="de-DE" sz="100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project sponsored by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UBA (German Federal Environmental Agency); </a:t>
          </a: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UFOPLAN-Ref. No.: FKZ 360 03 026, UBA-Texte 47/2004 (Download available).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  <a:p>
          <a:pPr rtl="0" eaLnBrk="1" fontAlgn="auto" latinLnBrk="0" hangingPunct="1">
            <a:spcBef>
              <a:spcPts val="600"/>
            </a:spcBef>
          </a:pP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Siebers, J.; Schmidt, H.; Meier, U.: "Emission of pesticides from buildings: Measurement of emission and of resulting contamination of water, soil and air. Part 1/2: Greenhouses"</a:t>
          </a:r>
          <a:b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Research</a:t>
          </a:r>
          <a:r>
            <a:rPr lang="de-DE" sz="100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project sponsored by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UBA (German Federal Environmental Agency); UFOPLAN-Ref. No.: FKZ 200 67 407, UBA-Texte 63/2003 (Download available).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  <a:p>
          <a:pPr rtl="0" eaLnBrk="1" fontAlgn="auto" latinLnBrk="0" hangingPunct="1">
            <a:spcBef>
              <a:spcPts val="600"/>
            </a:spcBef>
          </a:pP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Kördel, W.; Klöppel, H.; Müller, M.: "Entwicklung eines </a:t>
          </a: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mehrstufigen Verfahrens zur Bewertung des Eintrags von Pflanzenschutzmitteln in</a:t>
          </a: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terrestrische Ökosysteme über den Luftpfad"</a:t>
          </a:r>
          <a:b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Research</a:t>
          </a:r>
          <a:r>
            <a:rPr lang="de-DE" sz="100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project sponsored by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UBA (German Federal Environmental Agency); UFOPLAN-Ref. No.: FKZ</a:t>
          </a: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36003017, Final Report 1999.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</xdr:rowOff>
    </xdr:from>
    <xdr:to>
      <xdr:col>2</xdr:col>
      <xdr:colOff>0</xdr:colOff>
      <xdr:row>22</xdr:row>
      <xdr:rowOff>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C7210DFF-2C4E-46FC-8862-2363BF4D553E}"/>
            </a:ext>
          </a:extLst>
        </xdr:cNvPr>
        <xdr:cNvSpPr txBox="1"/>
      </xdr:nvSpPr>
      <xdr:spPr>
        <a:xfrm>
          <a:off x="0" y="2914651"/>
          <a:ext cx="2428875" cy="809624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DE" sz="1000">
              <a:latin typeface="Arial" pitchFamily="34" charset="0"/>
              <a:cs typeface="Arial" pitchFamily="34" charset="0"/>
            </a:rPr>
            <a:t>Volatility</a:t>
          </a:r>
          <a:r>
            <a:rPr lang="de-DE" sz="1000" baseline="0">
              <a:latin typeface="Arial" pitchFamily="34" charset="0"/>
              <a:cs typeface="Arial" pitchFamily="34" charset="0"/>
            </a:rPr>
            <a:t> classes, trigger values and v/d percentages for 1 m are based on experimental data (values for v/d from plant surfaces of arable crops).</a:t>
          </a:r>
          <a:endParaRPr lang="de-DE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23</xdr:row>
      <xdr:rowOff>2</xdr:rowOff>
    </xdr:from>
    <xdr:to>
      <xdr:col>12</xdr:col>
      <xdr:colOff>0</xdr:colOff>
      <xdr:row>30</xdr:row>
      <xdr:rowOff>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CC7CBF34-982D-444E-9DE2-021500B7A1F8}"/>
            </a:ext>
          </a:extLst>
        </xdr:cNvPr>
        <xdr:cNvSpPr txBox="1"/>
      </xdr:nvSpPr>
      <xdr:spPr>
        <a:xfrm>
          <a:off x="0" y="3886202"/>
          <a:ext cx="9572625" cy="1133473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The v/d table comprises the relevant data for estimating non-target compartment exposure for specific uses:</a:t>
          </a: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relevant drift scenario: determines drift loss, minimum distance and crop height factor</a:t>
          </a:r>
        </a:p>
        <a:p>
          <a:pPr rtl="0"/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drift loss: substance amount not available for v/d (see table below)</a:t>
          </a:r>
        </a:p>
        <a:p>
          <a:pPr rtl="0"/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crop height factor: </a:t>
          </a:r>
          <a:r>
            <a:rPr lang="de-DE" sz="1000" b="0" i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volatilisation</a:t>
          </a: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 </a:t>
          </a:r>
          <a:r>
            <a:rPr lang="de-DE" sz="1000" b="0" i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from high crop plant surfaces (orchards, vine, hops etc.) is higher than from arable crop plant surfaces by a factor of 2</a:t>
          </a:r>
        </a:p>
        <a:p>
          <a:pPr rtl="0"/>
          <a:r>
            <a:rPr lang="de-DE" sz="1000">
              <a:effectLst/>
              <a:latin typeface="Arial" pitchFamily="34" charset="0"/>
              <a:cs typeface="Arial" pitchFamily="34" charset="0"/>
            </a:rPr>
            <a:t>vd-% plants: relevant for substances with vp ≥ 10</a:t>
          </a:r>
          <a:r>
            <a:rPr lang="de-DE" sz="1000" baseline="30000">
              <a:effectLst/>
              <a:latin typeface="Arial" pitchFamily="34" charset="0"/>
              <a:cs typeface="Arial" pitchFamily="34" charset="0"/>
            </a:rPr>
            <a:t>-5</a:t>
          </a:r>
          <a:r>
            <a:rPr lang="de-DE" sz="1000">
              <a:effectLst/>
              <a:latin typeface="Arial" pitchFamily="34" charset="0"/>
              <a:cs typeface="Arial" pitchFamily="34" charset="0"/>
            </a:rPr>
            <a:t> Pa (20 °C); vd-% plants (n m) = vd-% 1 m × exp(-0,05446 × (n - 1)) × chf</a:t>
          </a:r>
        </a:p>
        <a:p>
          <a:pPr rtl="0"/>
          <a:r>
            <a:rPr lang="de-DE" sz="1000">
              <a:effectLst/>
              <a:latin typeface="Arial" pitchFamily="34" charset="0"/>
              <a:cs typeface="Arial" pitchFamily="34" charset="0"/>
            </a:rPr>
            <a:t>vd-% soil: </a:t>
          </a:r>
          <a:r>
            <a:rPr lang="de-DE" sz="1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relevant for substances with vp ≥ 10</a:t>
          </a:r>
          <a:r>
            <a:rPr lang="de-DE" sz="1000" baseline="30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-4</a:t>
          </a:r>
          <a:r>
            <a:rPr lang="de-DE" sz="1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 Pa (20 °C); </a:t>
          </a: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v</a:t>
          </a:r>
          <a:r>
            <a:rPr lang="de-DE" sz="1000" b="0" i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olatilisation is higher from plant than from soil surfaces by a factor of 3 (without </a:t>
          </a: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crop height factor)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114</xdr:row>
      <xdr:rowOff>3</xdr:rowOff>
    </xdr:from>
    <xdr:to>
      <xdr:col>12</xdr:col>
      <xdr:colOff>0</xdr:colOff>
      <xdr:row>116</xdr:row>
      <xdr:rowOff>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63DCCFF1-AD18-460C-ABBA-656A6E2330E3}"/>
            </a:ext>
          </a:extLst>
        </xdr:cNvPr>
        <xdr:cNvSpPr txBox="1"/>
      </xdr:nvSpPr>
      <xdr:spPr>
        <a:xfrm>
          <a:off x="0" y="21374103"/>
          <a:ext cx="9572625" cy="323847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Drift loss is estimated by numerical integration of the 90th-percentile drift curve from 0 to 250 m.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137</xdr:row>
      <xdr:rowOff>1</xdr:rowOff>
    </xdr:from>
    <xdr:to>
      <xdr:col>12</xdr:col>
      <xdr:colOff>0</xdr:colOff>
      <xdr:row>145</xdr:row>
      <xdr:rowOff>0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46716206-B151-4DCA-91BE-F4D566A0340B}"/>
            </a:ext>
          </a:extLst>
        </xdr:cNvPr>
        <xdr:cNvSpPr txBox="1"/>
      </xdr:nvSpPr>
      <xdr:spPr>
        <a:xfrm>
          <a:off x="0" y="25584151"/>
          <a:ext cx="9572625" cy="1295399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For very small DT50 values (&lt; 1 d), a reduced deposited amount within 24 h after the application event is considered in the calculation of the v/d amount. A box model approach is used:</a:t>
          </a:r>
        </a:p>
        <a:p>
          <a:pPr rtl="0">
            <a:spcBef>
              <a:spcPts val="300"/>
            </a:spcBef>
          </a:pPr>
          <a:r>
            <a:rPr lang="de-DE" sz="10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x(t)</a:t>
          </a:r>
          <a:r>
            <a:rPr lang="de-DE" sz="10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de-DE" sz="10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 (a × k + b × (exp(k × t) - 1)) / (k × exp(k × t))</a:t>
          </a:r>
        </a:p>
        <a:p>
          <a:pPr rtl="0">
            <a:spcBef>
              <a:spcPts val="300"/>
            </a:spcBef>
          </a:pPr>
          <a:r>
            <a:rPr lang="de-DE" sz="10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with: a = initial amount; b = constant</a:t>
          </a:r>
          <a:r>
            <a:rPr lang="de-DE" sz="1000" b="0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inflow rate, v(t)/t; k = degradation rate, k-deg; t = time interval</a:t>
          </a: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Estimated volatilisation dynamics according to Kördel et al. (1999) are applied. The reduction factor is calculated as the mean of maximum deposits during 24 h for arable and high crops, respectively. In accordance with the temporal resolution of the volatilisation dynamics data, DT50 values are considered step-wise on a 1-h time scale with rounding-up to the next full hour.</a:t>
          </a:r>
          <a:endParaRPr lang="de-DE" sz="1000" b="0" i="0" u="none" strike="noStrik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</xdr:colOff>
      <xdr:row>159</xdr:row>
      <xdr:rowOff>0</xdr:rowOff>
    </xdr:from>
    <xdr:to>
      <xdr:col>12</xdr:col>
      <xdr:colOff>1</xdr:colOff>
      <xdr:row>170</xdr:row>
      <xdr:rowOff>485774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9A5FE959-30BC-4C09-9A47-D45F1C145579}"/>
            </a:ext>
          </a:extLst>
        </xdr:cNvPr>
        <xdr:cNvSpPr txBox="1"/>
      </xdr:nvSpPr>
      <xdr:spPr>
        <a:xfrm>
          <a:off x="3857626" y="29146500"/>
          <a:ext cx="5715000" cy="3238499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The calculation of v/d for greenhouse uses is based on measured air concentrations in greenhouses and </a:t>
          </a:r>
          <a:r>
            <a:rPr lang="de-DE" sz="1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relevant for substances with vp ≥ 10</a:t>
          </a:r>
          <a:r>
            <a:rPr lang="de-DE" sz="1000" baseline="30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-4</a:t>
          </a:r>
          <a:r>
            <a:rPr lang="de-DE" sz="1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 Pa (20 °C). Actual v/d values are dependent on the substance's vp and on the greenhouse's area and </a:t>
          </a: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air exchange rate.</a:t>
          </a: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The substance amount in greenhouse air is calculated as a fraction (f-air) from the total applied substance amount in the greenhouse:</a:t>
          </a:r>
        </a:p>
        <a:p>
          <a:pPr rtl="0">
            <a:spcBef>
              <a:spcPts val="3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f-air = 18.950 × vp² + 0.057 × vp + 0.00003</a:t>
          </a: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The emitted amount from the greenhouse is calculated </a:t>
          </a: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as a fraction (q-em) from the total applied substance amount in the greenhouse, taking into account the air-exchange rate:</a:t>
          </a:r>
        </a:p>
        <a:p>
          <a:pPr rtl="0">
            <a:spcBef>
              <a:spcPts val="300"/>
            </a:spcBef>
          </a:pP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q-em = f-air × amount-g × XR × 24 h</a:t>
          </a:r>
        </a:p>
        <a:p>
          <a:pPr rtl="0">
            <a:spcBef>
              <a:spcPts val="300"/>
            </a:spcBef>
          </a:pP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The actually emitted amount (q-em-act) is limited to 80 % of the total applied amount.</a:t>
          </a: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Deposition at 5 m distance (dep-5m) is calculated as a fraction from the total applied substance amount in the greenhouse, using a linear relationship that is based on experimentally determined deposition values:</a:t>
          </a:r>
        </a:p>
        <a:p>
          <a:pPr rtl="0">
            <a:spcBef>
              <a:spcPts val="300"/>
            </a:spcBef>
          </a:pP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dep_5m = 2 × 10</a:t>
          </a:r>
          <a:r>
            <a:rPr lang="de-DE" sz="1000" b="0" i="0" baseline="30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-5</a:t>
          </a: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 × q-em-act / amount-g + 3 × 10</a:t>
          </a:r>
          <a:r>
            <a:rPr lang="de-DE" sz="1000" b="0" i="0" baseline="30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-7</a:t>
          </a:r>
          <a:endParaRPr lang="de-DE" sz="1000" b="0" i="0" baseline="0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Deposition at other distances is calculated taking into account an exponential relationship:</a:t>
          </a:r>
        </a:p>
        <a:p>
          <a:pPr rtl="0">
            <a:spcBef>
              <a:spcPts val="3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dep_nm = dep_5m × exp(-0.0358 × n) / exp(-0.0358 × 5)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image" Target="../media/image8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C5346-5F0B-4CA2-9EE1-D8B5BD46772E}">
  <sheetPr codeName="Sheet1"/>
  <dimension ref="B1:Z500"/>
  <sheetViews>
    <sheetView tabSelected="1" zoomScale="115" zoomScaleNormal="115" workbookViewId="0">
      <selection activeCell="S37" sqref="S37"/>
    </sheetView>
  </sheetViews>
  <sheetFormatPr defaultRowHeight="15" x14ac:dyDescent="0.25"/>
  <cols>
    <col min="1" max="1" width="3.42578125" style="8" customWidth="1"/>
    <col min="2" max="2" width="9.140625" style="8"/>
    <col min="3" max="3" width="9.140625" style="8" customWidth="1"/>
    <col min="4" max="4" width="9.140625" style="8"/>
    <col min="5" max="5" width="14" style="8" customWidth="1"/>
    <col min="6" max="6" width="17" style="8" customWidth="1"/>
    <col min="7" max="7" width="9.140625" style="8" customWidth="1"/>
    <col min="8" max="9" width="9.140625" style="8"/>
    <col min="10" max="10" width="5.140625" style="8" customWidth="1"/>
    <col min="11" max="16384" width="9.140625" style="8"/>
  </cols>
  <sheetData>
    <row r="1" spans="2:26" s="4" customFormat="1" ht="48.75" customHeight="1" x14ac:dyDescent="0.25"/>
    <row r="2" spans="2:26" s="21" customFormat="1" ht="4.5" customHeight="1" x14ac:dyDescent="0.25"/>
    <row r="3" spans="2:26" s="19" customFormat="1" ht="4.5" customHeight="1" x14ac:dyDescent="0.25"/>
    <row r="4" spans="2:26" s="22" customFormat="1" ht="4.5" customHeight="1" x14ac:dyDescent="0.25"/>
    <row r="5" spans="2:26" s="6" customFormat="1" ht="36" x14ac:dyDescent="0.55000000000000004">
      <c r="B5" s="5" t="s">
        <v>152</v>
      </c>
    </row>
    <row r="7" spans="2:26" x14ac:dyDescent="0.25">
      <c r="B7" s="8" t="s">
        <v>0</v>
      </c>
      <c r="D7" s="368" t="s">
        <v>94</v>
      </c>
      <c r="E7" s="369"/>
      <c r="F7" s="369"/>
      <c r="G7" s="369"/>
      <c r="H7" s="369"/>
      <c r="I7" s="370"/>
    </row>
    <row r="9" spans="2:26" x14ac:dyDescent="0.25">
      <c r="T9" s="8" t="s">
        <v>151</v>
      </c>
    </row>
    <row r="10" spans="2:26" s="23" customFormat="1" x14ac:dyDescent="0.25">
      <c r="B10" s="365" t="s">
        <v>1</v>
      </c>
      <c r="C10" s="366"/>
      <c r="D10" s="366"/>
      <c r="E10" s="366"/>
      <c r="F10" s="367"/>
      <c r="G10" s="365" t="s">
        <v>4</v>
      </c>
      <c r="H10" s="366"/>
      <c r="I10" s="366"/>
      <c r="J10" s="367"/>
      <c r="K10" s="365" t="s">
        <v>5</v>
      </c>
      <c r="L10" s="366"/>
      <c r="M10" s="366"/>
      <c r="N10" s="367"/>
      <c r="O10" s="365" t="s">
        <v>6</v>
      </c>
      <c r="P10" s="366"/>
      <c r="Q10" s="366"/>
      <c r="R10" s="367"/>
      <c r="T10" s="365" t="s">
        <v>95</v>
      </c>
      <c r="U10" s="366"/>
      <c r="V10" s="366"/>
      <c r="W10" s="366"/>
      <c r="X10" s="366"/>
      <c r="Y10" s="366"/>
      <c r="Z10" s="367"/>
    </row>
    <row r="11" spans="2:26" x14ac:dyDescent="0.25">
      <c r="B11" s="26"/>
      <c r="C11" s="27"/>
      <c r="D11" s="27"/>
      <c r="E11" s="27"/>
      <c r="F11" s="28"/>
      <c r="G11" s="26"/>
      <c r="H11" s="27"/>
      <c r="I11" s="27"/>
      <c r="J11" s="28"/>
      <c r="K11" s="26"/>
      <c r="L11" s="27"/>
      <c r="M11" s="27"/>
      <c r="N11" s="28"/>
      <c r="O11" s="26"/>
      <c r="P11" s="27"/>
      <c r="Q11" s="27"/>
      <c r="R11" s="28"/>
      <c r="T11" s="24"/>
      <c r="U11" s="19"/>
      <c r="V11" s="19"/>
      <c r="W11" s="19"/>
      <c r="X11" s="19"/>
      <c r="Y11" s="19"/>
      <c r="Z11" s="25"/>
    </row>
    <row r="12" spans="2:26" x14ac:dyDescent="0.25">
      <c r="B12" s="26"/>
      <c r="C12" s="27"/>
      <c r="D12" s="27"/>
      <c r="E12" s="27"/>
      <c r="F12" s="28"/>
      <c r="G12" s="26"/>
      <c r="H12" s="27"/>
      <c r="I12" s="27"/>
      <c r="J12" s="28"/>
      <c r="K12" s="26"/>
      <c r="L12" s="27"/>
      <c r="M12" s="27"/>
      <c r="N12" s="28"/>
      <c r="O12" s="26"/>
      <c r="P12" s="27"/>
      <c r="Q12" s="27"/>
      <c r="R12" s="28"/>
      <c r="T12" s="24"/>
      <c r="U12" s="19"/>
      <c r="V12" s="19"/>
      <c r="W12" s="19"/>
      <c r="X12" s="19"/>
      <c r="Y12" s="19"/>
      <c r="Z12" s="25"/>
    </row>
    <row r="13" spans="2:26" x14ac:dyDescent="0.25">
      <c r="B13" s="26"/>
      <c r="C13" s="27"/>
      <c r="D13" s="27"/>
      <c r="E13" s="27"/>
      <c r="F13" s="28"/>
      <c r="G13" s="26"/>
      <c r="H13" s="27"/>
      <c r="I13" s="27"/>
      <c r="J13" s="28"/>
      <c r="K13" s="26"/>
      <c r="L13" s="27"/>
      <c r="M13" s="27"/>
      <c r="N13" s="28"/>
      <c r="O13" s="26"/>
      <c r="P13" s="27"/>
      <c r="Q13" s="27"/>
      <c r="R13" s="28"/>
      <c r="T13" s="32"/>
      <c r="U13" s="33"/>
      <c r="V13" s="33"/>
      <c r="W13" s="33"/>
      <c r="X13" s="33"/>
      <c r="Y13" s="33"/>
      <c r="Z13" s="34"/>
    </row>
    <row r="14" spans="2:26" x14ac:dyDescent="0.25">
      <c r="B14" s="26"/>
      <c r="C14" s="27"/>
      <c r="D14" s="27"/>
      <c r="E14" s="27"/>
      <c r="F14" s="28"/>
      <c r="G14" s="26"/>
      <c r="H14" s="27"/>
      <c r="I14" s="27"/>
      <c r="J14" s="28"/>
      <c r="K14" s="26"/>
      <c r="L14" s="27"/>
      <c r="M14" s="27"/>
      <c r="N14" s="28"/>
      <c r="O14" s="26"/>
      <c r="P14" s="27"/>
      <c r="Q14" s="27"/>
      <c r="R14" s="28"/>
      <c r="T14" s="32"/>
      <c r="U14" s="33"/>
      <c r="V14" s="33"/>
      <c r="W14" s="33"/>
      <c r="X14" s="33"/>
      <c r="Y14" s="33"/>
      <c r="Z14" s="34"/>
    </row>
    <row r="15" spans="2:26" x14ac:dyDescent="0.25">
      <c r="B15" s="26"/>
      <c r="C15" s="27"/>
      <c r="D15" s="27"/>
      <c r="E15" s="27"/>
      <c r="F15" s="28"/>
      <c r="G15" s="26"/>
      <c r="H15" s="27"/>
      <c r="I15" s="27"/>
      <c r="J15" s="28"/>
      <c r="K15" s="26"/>
      <c r="L15" s="27"/>
      <c r="M15" s="27"/>
      <c r="N15" s="28"/>
      <c r="O15" s="26"/>
      <c r="P15" s="27"/>
      <c r="Q15" s="27"/>
      <c r="R15" s="28"/>
      <c r="T15" s="32"/>
      <c r="U15" s="33"/>
      <c r="V15" s="33"/>
      <c r="W15" s="33"/>
      <c r="X15" s="33"/>
      <c r="Y15" s="33"/>
      <c r="Z15" s="34"/>
    </row>
    <row r="16" spans="2:26" x14ac:dyDescent="0.25">
      <c r="B16" s="26"/>
      <c r="C16" s="27"/>
      <c r="D16" s="27"/>
      <c r="E16" s="27"/>
      <c r="F16" s="28"/>
      <c r="G16" s="26"/>
      <c r="H16" s="27"/>
      <c r="I16" s="27"/>
      <c r="J16" s="28"/>
      <c r="K16" s="26"/>
      <c r="L16" s="27"/>
      <c r="M16" s="27"/>
      <c r="N16" s="28"/>
      <c r="O16" s="26"/>
      <c r="P16" s="27"/>
      <c r="Q16" s="27"/>
      <c r="R16" s="28"/>
      <c r="T16" s="32"/>
      <c r="U16" s="33"/>
      <c r="V16" s="33"/>
      <c r="W16" s="33"/>
      <c r="X16" s="33"/>
      <c r="Y16" s="33"/>
      <c r="Z16" s="34"/>
    </row>
    <row r="17" spans="2:26" x14ac:dyDescent="0.25">
      <c r="B17" s="26"/>
      <c r="C17" s="27"/>
      <c r="D17" s="27"/>
      <c r="E17" s="27"/>
      <c r="F17" s="28"/>
      <c r="G17" s="26"/>
      <c r="H17" s="27"/>
      <c r="I17" s="27"/>
      <c r="J17" s="28"/>
      <c r="K17" s="26"/>
      <c r="L17" s="27"/>
      <c r="M17" s="27"/>
      <c r="N17" s="28"/>
      <c r="O17" s="26"/>
      <c r="P17" s="27"/>
      <c r="Q17" s="27"/>
      <c r="R17" s="28"/>
      <c r="T17" s="32"/>
      <c r="U17" s="33"/>
      <c r="V17" s="33"/>
      <c r="W17" s="33"/>
      <c r="X17" s="33"/>
      <c r="Y17" s="33"/>
      <c r="Z17" s="34"/>
    </row>
    <row r="18" spans="2:26" x14ac:dyDescent="0.25">
      <c r="B18" s="26"/>
      <c r="C18" s="27"/>
      <c r="D18" s="27"/>
      <c r="E18" s="27"/>
      <c r="F18" s="28"/>
      <c r="G18" s="26"/>
      <c r="H18" s="27"/>
      <c r="I18" s="27"/>
      <c r="J18" s="28"/>
      <c r="K18" s="26"/>
      <c r="L18" s="27"/>
      <c r="M18" s="27"/>
      <c r="N18" s="28"/>
      <c r="O18" s="26"/>
      <c r="P18" s="27"/>
      <c r="Q18" s="27"/>
      <c r="R18" s="28"/>
      <c r="T18" s="32"/>
      <c r="U18" s="33"/>
      <c r="V18" s="33"/>
      <c r="W18" s="33"/>
      <c r="X18" s="33"/>
      <c r="Y18" s="33"/>
      <c r="Z18" s="34"/>
    </row>
    <row r="19" spans="2:26" x14ac:dyDescent="0.25">
      <c r="B19" s="26"/>
      <c r="C19" s="27"/>
      <c r="D19" s="27"/>
      <c r="E19" s="27"/>
      <c r="F19" s="28"/>
      <c r="G19" s="26"/>
      <c r="H19" s="27"/>
      <c r="I19" s="27"/>
      <c r="J19" s="28"/>
      <c r="K19" s="26"/>
      <c r="L19" s="27"/>
      <c r="M19" s="27"/>
      <c r="N19" s="28"/>
      <c r="O19" s="26"/>
      <c r="P19" s="27"/>
      <c r="Q19" s="27"/>
      <c r="R19" s="28"/>
      <c r="T19" s="32"/>
      <c r="U19" s="33"/>
      <c r="V19" s="33"/>
      <c r="W19" s="33"/>
      <c r="X19" s="33"/>
      <c r="Y19" s="33"/>
      <c r="Z19" s="34"/>
    </row>
    <row r="20" spans="2:26" x14ac:dyDescent="0.25">
      <c r="B20" s="26"/>
      <c r="C20" s="27"/>
      <c r="D20" s="27"/>
      <c r="E20" s="27"/>
      <c r="F20" s="28"/>
      <c r="G20" s="26"/>
      <c r="H20" s="27"/>
      <c r="I20" s="27"/>
      <c r="J20" s="28"/>
      <c r="K20" s="26"/>
      <c r="L20" s="27"/>
      <c r="M20" s="27"/>
      <c r="N20" s="28"/>
      <c r="O20" s="26"/>
      <c r="P20" s="27"/>
      <c r="Q20" s="27"/>
      <c r="R20" s="28"/>
      <c r="T20" s="32"/>
      <c r="U20" s="33"/>
      <c r="V20" s="33"/>
      <c r="W20" s="33"/>
      <c r="X20" s="33"/>
      <c r="Y20" s="33"/>
      <c r="Z20" s="34"/>
    </row>
    <row r="21" spans="2:26" x14ac:dyDescent="0.25">
      <c r="B21" s="26"/>
      <c r="C21" s="27"/>
      <c r="D21" s="27"/>
      <c r="E21" s="27"/>
      <c r="F21" s="28"/>
      <c r="G21" s="26"/>
      <c r="H21" s="27"/>
      <c r="I21" s="27"/>
      <c r="J21" s="28"/>
      <c r="K21" s="26"/>
      <c r="L21" s="27"/>
      <c r="M21" s="27"/>
      <c r="N21" s="28"/>
      <c r="O21" s="26"/>
      <c r="P21" s="27"/>
      <c r="Q21" s="27"/>
      <c r="R21" s="28"/>
      <c r="T21" s="32"/>
      <c r="U21" s="33"/>
      <c r="V21" s="33"/>
      <c r="W21" s="33"/>
      <c r="X21" s="33"/>
      <c r="Y21" s="33"/>
      <c r="Z21" s="34"/>
    </row>
    <row r="22" spans="2:26" x14ac:dyDescent="0.25">
      <c r="B22" s="26"/>
      <c r="C22" s="27"/>
      <c r="D22" s="27"/>
      <c r="E22" s="27"/>
      <c r="F22" s="28"/>
      <c r="G22" s="26"/>
      <c r="H22" s="27"/>
      <c r="I22" s="27"/>
      <c r="J22" s="28"/>
      <c r="K22" s="26"/>
      <c r="L22" s="27"/>
      <c r="M22" s="27"/>
      <c r="N22" s="28"/>
      <c r="O22" s="26"/>
      <c r="P22" s="27"/>
      <c r="Q22" s="27"/>
      <c r="R22" s="28"/>
      <c r="T22" s="32"/>
      <c r="U22" s="33"/>
      <c r="V22" s="33"/>
      <c r="W22" s="33"/>
      <c r="X22" s="33"/>
      <c r="Y22" s="33"/>
      <c r="Z22" s="34"/>
    </row>
    <row r="23" spans="2:26" x14ac:dyDescent="0.25">
      <c r="B23" s="26"/>
      <c r="C23" s="27"/>
      <c r="D23" s="27"/>
      <c r="E23" s="27"/>
      <c r="F23" s="28"/>
      <c r="G23" s="26"/>
      <c r="H23" s="27"/>
      <c r="I23" s="27"/>
      <c r="J23" s="28"/>
      <c r="K23" s="26"/>
      <c r="L23" s="27"/>
      <c r="M23" s="27"/>
      <c r="N23" s="28"/>
      <c r="O23" s="26"/>
      <c r="P23" s="27"/>
      <c r="Q23" s="27"/>
      <c r="R23" s="28"/>
      <c r="T23" s="32"/>
      <c r="U23" s="33"/>
      <c r="V23" s="33"/>
      <c r="W23" s="33"/>
      <c r="X23" s="33"/>
      <c r="Y23" s="33"/>
      <c r="Z23" s="34"/>
    </row>
    <row r="24" spans="2:26" x14ac:dyDescent="0.25">
      <c r="B24" s="26"/>
      <c r="C24" s="27"/>
      <c r="D24" s="27"/>
      <c r="E24" s="27"/>
      <c r="F24" s="28"/>
      <c r="G24" s="26"/>
      <c r="H24" s="27"/>
      <c r="I24" s="27"/>
      <c r="J24" s="28"/>
      <c r="K24" s="26"/>
      <c r="L24" s="27"/>
      <c r="M24" s="27"/>
      <c r="N24" s="28"/>
      <c r="O24" s="26"/>
      <c r="P24" s="27"/>
      <c r="Q24" s="27"/>
      <c r="R24" s="28"/>
      <c r="T24" s="32"/>
      <c r="U24" s="33"/>
      <c r="V24" s="33"/>
      <c r="W24" s="33"/>
      <c r="X24" s="33"/>
      <c r="Y24" s="33"/>
      <c r="Z24" s="34"/>
    </row>
    <row r="25" spans="2:26" x14ac:dyDescent="0.25">
      <c r="B25" s="26"/>
      <c r="C25" s="27"/>
      <c r="D25" s="27"/>
      <c r="E25" s="27"/>
      <c r="F25" s="28"/>
      <c r="G25" s="26"/>
      <c r="H25" s="27"/>
      <c r="I25" s="27"/>
      <c r="J25" s="28"/>
      <c r="K25" s="26"/>
      <c r="L25" s="27"/>
      <c r="M25" s="27"/>
      <c r="N25" s="28"/>
      <c r="O25" s="26"/>
      <c r="P25" s="27"/>
      <c r="Q25" s="27"/>
      <c r="R25" s="28"/>
      <c r="T25" s="32"/>
      <c r="U25" s="33"/>
      <c r="V25" s="33"/>
      <c r="W25" s="33"/>
      <c r="X25" s="33"/>
      <c r="Y25" s="33"/>
      <c r="Z25" s="34"/>
    </row>
    <row r="26" spans="2:26" x14ac:dyDescent="0.25">
      <c r="B26" s="26"/>
      <c r="C26" s="27"/>
      <c r="D26" s="27"/>
      <c r="E26" s="27"/>
      <c r="F26" s="28"/>
      <c r="G26" s="26"/>
      <c r="H26" s="27"/>
      <c r="I26" s="27"/>
      <c r="J26" s="28"/>
      <c r="K26" s="26"/>
      <c r="L26" s="27"/>
      <c r="M26" s="27"/>
      <c r="N26" s="28"/>
      <c r="O26" s="26"/>
      <c r="P26" s="27"/>
      <c r="Q26" s="27"/>
      <c r="R26" s="28"/>
      <c r="T26" s="32"/>
      <c r="U26" s="33"/>
      <c r="V26" s="33"/>
      <c r="W26" s="33"/>
      <c r="X26" s="33"/>
      <c r="Y26" s="33"/>
      <c r="Z26" s="34"/>
    </row>
    <row r="27" spans="2:26" x14ac:dyDescent="0.25">
      <c r="B27" s="26"/>
      <c r="C27" s="27"/>
      <c r="D27" s="27"/>
      <c r="E27" s="27"/>
      <c r="F27" s="28"/>
      <c r="G27" s="26"/>
      <c r="H27" s="27"/>
      <c r="I27" s="27"/>
      <c r="J27" s="28"/>
      <c r="K27" s="26"/>
      <c r="L27" s="27"/>
      <c r="M27" s="27"/>
      <c r="N27" s="28"/>
      <c r="O27" s="26"/>
      <c r="P27" s="27"/>
      <c r="Q27" s="27"/>
      <c r="R27" s="28"/>
      <c r="T27" s="32"/>
      <c r="U27" s="33"/>
      <c r="V27" s="33"/>
      <c r="W27" s="33"/>
      <c r="X27" s="33"/>
      <c r="Y27" s="33"/>
      <c r="Z27" s="34"/>
    </row>
    <row r="28" spans="2:26" x14ac:dyDescent="0.25">
      <c r="B28" s="26"/>
      <c r="C28" s="27"/>
      <c r="D28" s="27"/>
      <c r="E28" s="27"/>
      <c r="F28" s="28"/>
      <c r="G28" s="26"/>
      <c r="H28" s="27"/>
      <c r="I28" s="27"/>
      <c r="J28" s="28"/>
      <c r="K28" s="26"/>
      <c r="L28" s="27"/>
      <c r="M28" s="27"/>
      <c r="N28" s="28"/>
      <c r="O28" s="26"/>
      <c r="P28" s="27"/>
      <c r="Q28" s="27"/>
      <c r="R28" s="28"/>
      <c r="T28" s="32"/>
      <c r="U28" s="33"/>
      <c r="V28" s="33"/>
      <c r="W28" s="33"/>
      <c r="X28" s="33"/>
      <c r="Y28" s="33"/>
      <c r="Z28" s="34"/>
    </row>
    <row r="29" spans="2:26" x14ac:dyDescent="0.25">
      <c r="B29" s="26"/>
      <c r="C29" s="27"/>
      <c r="D29" s="27"/>
      <c r="E29" s="27"/>
      <c r="F29" s="28"/>
      <c r="G29" s="26"/>
      <c r="H29" s="27"/>
      <c r="I29" s="27"/>
      <c r="J29" s="28"/>
      <c r="K29" s="26"/>
      <c r="L29" s="27"/>
      <c r="M29" s="27"/>
      <c r="N29" s="28"/>
      <c r="O29" s="26"/>
      <c r="P29" s="27"/>
      <c r="Q29" s="27"/>
      <c r="R29" s="28"/>
      <c r="T29" s="32"/>
      <c r="U29" s="33"/>
      <c r="V29" s="33"/>
      <c r="W29" s="33"/>
      <c r="X29" s="33"/>
      <c r="Y29" s="33"/>
      <c r="Z29" s="34"/>
    </row>
    <row r="30" spans="2:26" x14ac:dyDescent="0.25">
      <c r="B30" s="26"/>
      <c r="C30" s="27"/>
      <c r="D30" s="27"/>
      <c r="E30" s="27"/>
      <c r="F30" s="28"/>
      <c r="G30" s="26"/>
      <c r="H30" s="27"/>
      <c r="I30" s="27"/>
      <c r="J30" s="28"/>
      <c r="K30" s="26"/>
      <c r="L30" s="27"/>
      <c r="M30" s="27"/>
      <c r="N30" s="28"/>
      <c r="O30" s="26"/>
      <c r="P30" s="27"/>
      <c r="Q30" s="27"/>
      <c r="R30" s="28"/>
      <c r="T30" s="32"/>
      <c r="U30" s="33"/>
      <c r="V30" s="33"/>
      <c r="W30" s="33"/>
      <c r="X30" s="33"/>
      <c r="Y30" s="33"/>
      <c r="Z30" s="34"/>
    </row>
    <row r="31" spans="2:26" x14ac:dyDescent="0.25">
      <c r="B31" s="26"/>
      <c r="C31" s="27"/>
      <c r="D31" s="27"/>
      <c r="E31" s="27"/>
      <c r="F31" s="28"/>
      <c r="G31" s="26"/>
      <c r="H31" s="27"/>
      <c r="I31" s="27"/>
      <c r="J31" s="28"/>
      <c r="K31" s="26"/>
      <c r="L31" s="27"/>
      <c r="M31" s="27"/>
      <c r="N31" s="28"/>
      <c r="O31" s="26"/>
      <c r="P31" s="27"/>
      <c r="Q31" s="27"/>
      <c r="R31" s="28"/>
      <c r="T31" s="32"/>
      <c r="U31" s="33"/>
      <c r="V31" s="33"/>
      <c r="W31" s="33"/>
      <c r="X31" s="33"/>
      <c r="Y31" s="33"/>
      <c r="Z31" s="34"/>
    </row>
    <row r="32" spans="2:26" x14ac:dyDescent="0.25">
      <c r="B32" s="26"/>
      <c r="C32" s="27"/>
      <c r="D32" s="27"/>
      <c r="E32" s="27"/>
      <c r="F32" s="28"/>
      <c r="G32" s="26"/>
      <c r="H32" s="27"/>
      <c r="I32" s="27"/>
      <c r="J32" s="28"/>
      <c r="K32" s="26"/>
      <c r="L32" s="27"/>
      <c r="M32" s="27"/>
      <c r="N32" s="28"/>
      <c r="O32" s="26"/>
      <c r="P32" s="27"/>
      <c r="Q32" s="27"/>
      <c r="R32" s="28"/>
      <c r="T32" s="32"/>
      <c r="U32" s="33"/>
      <c r="V32" s="33"/>
      <c r="W32" s="33"/>
      <c r="X32" s="33"/>
      <c r="Y32" s="33"/>
      <c r="Z32" s="34"/>
    </row>
    <row r="33" spans="2:26" x14ac:dyDescent="0.25">
      <c r="B33" s="26"/>
      <c r="C33" s="27"/>
      <c r="D33" s="27"/>
      <c r="E33" s="27"/>
      <c r="F33" s="28"/>
      <c r="G33" s="26"/>
      <c r="H33" s="27"/>
      <c r="I33" s="27"/>
      <c r="J33" s="28"/>
      <c r="K33" s="26"/>
      <c r="L33" s="27"/>
      <c r="M33" s="27"/>
      <c r="N33" s="28"/>
      <c r="O33" s="26"/>
      <c r="P33" s="27"/>
      <c r="Q33" s="27"/>
      <c r="R33" s="28"/>
      <c r="T33" s="32"/>
      <c r="U33" s="33"/>
      <c r="V33" s="33"/>
      <c r="W33" s="33"/>
      <c r="X33" s="33"/>
      <c r="Y33" s="33"/>
      <c r="Z33" s="34"/>
    </row>
    <row r="34" spans="2:26" x14ac:dyDescent="0.25">
      <c r="B34" s="26"/>
      <c r="C34" s="27"/>
      <c r="D34" s="27"/>
      <c r="E34" s="27"/>
      <c r="F34" s="28"/>
      <c r="G34" s="26"/>
      <c r="H34" s="27"/>
      <c r="I34" s="27"/>
      <c r="J34" s="28"/>
      <c r="K34" s="26"/>
      <c r="L34" s="27"/>
      <c r="M34" s="27"/>
      <c r="N34" s="28"/>
      <c r="O34" s="26"/>
      <c r="P34" s="27"/>
      <c r="Q34" s="27"/>
      <c r="R34" s="28"/>
      <c r="T34" s="32"/>
      <c r="U34" s="33"/>
      <c r="V34" s="33"/>
      <c r="W34" s="33"/>
      <c r="X34" s="33"/>
      <c r="Y34" s="33"/>
      <c r="Z34" s="34"/>
    </row>
    <row r="35" spans="2:26" x14ac:dyDescent="0.25">
      <c r="B35" s="26"/>
      <c r="C35" s="27"/>
      <c r="D35" s="27"/>
      <c r="E35" s="27"/>
      <c r="F35" s="28"/>
      <c r="G35" s="26"/>
      <c r="H35" s="27"/>
      <c r="I35" s="27"/>
      <c r="J35" s="28"/>
      <c r="K35" s="26"/>
      <c r="L35" s="27"/>
      <c r="M35" s="27"/>
      <c r="N35" s="28"/>
      <c r="O35" s="26"/>
      <c r="P35" s="27"/>
      <c r="Q35" s="27"/>
      <c r="R35" s="28"/>
      <c r="T35" s="32"/>
      <c r="U35" s="33"/>
      <c r="V35" s="33"/>
      <c r="W35" s="33"/>
      <c r="X35" s="33"/>
      <c r="Y35" s="33"/>
      <c r="Z35" s="34"/>
    </row>
    <row r="36" spans="2:26" x14ac:dyDescent="0.25">
      <c r="B36" s="26"/>
      <c r="C36" s="27"/>
      <c r="D36" s="27"/>
      <c r="E36" s="27"/>
      <c r="F36" s="28"/>
      <c r="G36" s="26"/>
      <c r="H36" s="27"/>
      <c r="I36" s="27"/>
      <c r="J36" s="28"/>
      <c r="K36" s="26"/>
      <c r="L36" s="27"/>
      <c r="M36" s="27"/>
      <c r="N36" s="28"/>
      <c r="O36" s="26"/>
      <c r="P36" s="27"/>
      <c r="Q36" s="27"/>
      <c r="R36" s="28"/>
      <c r="T36" s="32"/>
      <c r="U36" s="33"/>
      <c r="V36" s="33"/>
      <c r="W36" s="33"/>
      <c r="X36" s="33"/>
      <c r="Y36" s="33"/>
      <c r="Z36" s="34"/>
    </row>
    <row r="37" spans="2:26" x14ac:dyDescent="0.25">
      <c r="B37" s="26"/>
      <c r="C37" s="27"/>
      <c r="D37" s="27"/>
      <c r="E37" s="27"/>
      <c r="F37" s="28"/>
      <c r="G37" s="26"/>
      <c r="H37" s="27"/>
      <c r="I37" s="27"/>
      <c r="J37" s="28"/>
      <c r="K37" s="26"/>
      <c r="L37" s="27"/>
      <c r="M37" s="27"/>
      <c r="N37" s="28"/>
      <c r="O37" s="26"/>
      <c r="P37" s="27"/>
      <c r="Q37" s="27"/>
      <c r="R37" s="28"/>
      <c r="T37" s="32"/>
      <c r="U37" s="33"/>
      <c r="V37" s="33"/>
      <c r="W37" s="33"/>
      <c r="X37" s="33"/>
      <c r="Y37" s="33"/>
      <c r="Z37" s="34"/>
    </row>
    <row r="38" spans="2:26" x14ac:dyDescent="0.25">
      <c r="B38" s="26"/>
      <c r="C38" s="27"/>
      <c r="D38" s="27"/>
      <c r="E38" s="27"/>
      <c r="F38" s="28"/>
      <c r="G38" s="26"/>
      <c r="H38" s="27"/>
      <c r="I38" s="27"/>
      <c r="J38" s="28"/>
      <c r="K38" s="26"/>
      <c r="L38" s="27"/>
      <c r="M38" s="27"/>
      <c r="N38" s="28"/>
      <c r="O38" s="26"/>
      <c r="P38" s="27"/>
      <c r="Q38" s="27"/>
      <c r="R38" s="28"/>
      <c r="T38" s="32"/>
      <c r="U38" s="33"/>
      <c r="V38" s="33"/>
      <c r="W38" s="33"/>
      <c r="X38" s="33"/>
      <c r="Y38" s="33"/>
      <c r="Z38" s="34"/>
    </row>
    <row r="39" spans="2:26" x14ac:dyDescent="0.25">
      <c r="B39" s="26"/>
      <c r="C39" s="27"/>
      <c r="D39" s="27"/>
      <c r="E39" s="27"/>
      <c r="F39" s="28"/>
      <c r="G39" s="26"/>
      <c r="H39" s="27"/>
      <c r="I39" s="27"/>
      <c r="J39" s="28"/>
      <c r="K39" s="26"/>
      <c r="L39" s="27"/>
      <c r="M39" s="27"/>
      <c r="N39" s="28"/>
      <c r="O39" s="26"/>
      <c r="P39" s="27"/>
      <c r="Q39" s="27"/>
      <c r="R39" s="28"/>
      <c r="T39" s="32"/>
      <c r="U39" s="33"/>
      <c r="V39" s="33"/>
      <c r="W39" s="33"/>
      <c r="X39" s="33"/>
      <c r="Y39" s="33"/>
      <c r="Z39" s="34"/>
    </row>
    <row r="40" spans="2:26" x14ac:dyDescent="0.25">
      <c r="B40" s="26"/>
      <c r="C40" s="27"/>
      <c r="D40" s="27"/>
      <c r="E40" s="27"/>
      <c r="F40" s="28"/>
      <c r="G40" s="26"/>
      <c r="H40" s="27"/>
      <c r="I40" s="27"/>
      <c r="J40" s="28"/>
      <c r="K40" s="26"/>
      <c r="L40" s="27"/>
      <c r="M40" s="27"/>
      <c r="N40" s="28"/>
      <c r="O40" s="26"/>
      <c r="P40" s="27"/>
      <c r="Q40" s="27"/>
      <c r="R40" s="28"/>
      <c r="T40" s="32"/>
      <c r="U40" s="33"/>
      <c r="V40" s="33"/>
      <c r="W40" s="33"/>
      <c r="X40" s="33"/>
      <c r="Y40" s="33"/>
      <c r="Z40" s="34"/>
    </row>
    <row r="41" spans="2:26" x14ac:dyDescent="0.25">
      <c r="B41" s="26"/>
      <c r="C41" s="27"/>
      <c r="D41" s="27"/>
      <c r="E41" s="27"/>
      <c r="F41" s="28"/>
      <c r="G41" s="26"/>
      <c r="H41" s="27"/>
      <c r="I41" s="27"/>
      <c r="J41" s="28"/>
      <c r="K41" s="26"/>
      <c r="L41" s="27"/>
      <c r="M41" s="27"/>
      <c r="N41" s="28"/>
      <c r="O41" s="26"/>
      <c r="P41" s="27"/>
      <c r="Q41" s="27"/>
      <c r="R41" s="28"/>
      <c r="T41" s="32"/>
      <c r="U41" s="33"/>
      <c r="V41" s="33"/>
      <c r="W41" s="33"/>
      <c r="X41" s="33"/>
      <c r="Y41" s="33"/>
      <c r="Z41" s="34"/>
    </row>
    <row r="42" spans="2:26" x14ac:dyDescent="0.25">
      <c r="B42" s="26"/>
      <c r="C42" s="27"/>
      <c r="D42" s="27"/>
      <c r="E42" s="27"/>
      <c r="F42" s="28"/>
      <c r="G42" s="26"/>
      <c r="H42" s="27"/>
      <c r="I42" s="27"/>
      <c r="J42" s="28"/>
      <c r="K42" s="26"/>
      <c r="L42" s="27"/>
      <c r="M42" s="27"/>
      <c r="N42" s="28"/>
      <c r="O42" s="26"/>
      <c r="P42" s="27"/>
      <c r="Q42" s="27"/>
      <c r="R42" s="28"/>
      <c r="T42" s="32"/>
      <c r="U42" s="33"/>
      <c r="V42" s="33"/>
      <c r="W42" s="33"/>
      <c r="X42" s="33"/>
      <c r="Y42" s="33"/>
      <c r="Z42" s="34"/>
    </row>
    <row r="43" spans="2:26" x14ac:dyDescent="0.25">
      <c r="B43" s="26"/>
      <c r="C43" s="27"/>
      <c r="D43" s="27"/>
      <c r="E43" s="27"/>
      <c r="F43" s="28"/>
      <c r="G43" s="26"/>
      <c r="H43" s="27"/>
      <c r="I43" s="27"/>
      <c r="J43" s="28"/>
      <c r="K43" s="26"/>
      <c r="L43" s="27"/>
      <c r="M43" s="27"/>
      <c r="N43" s="28"/>
      <c r="O43" s="26"/>
      <c r="P43" s="27"/>
      <c r="Q43" s="27"/>
      <c r="R43" s="28"/>
      <c r="T43" s="32"/>
      <c r="U43" s="33"/>
      <c r="V43" s="33"/>
      <c r="W43" s="33"/>
      <c r="X43" s="33"/>
      <c r="Y43" s="33"/>
      <c r="Z43" s="34"/>
    </row>
    <row r="44" spans="2:26" x14ac:dyDescent="0.25">
      <c r="B44" s="26"/>
      <c r="C44" s="27"/>
      <c r="D44" s="27"/>
      <c r="E44" s="27"/>
      <c r="F44" s="28"/>
      <c r="G44" s="26"/>
      <c r="H44" s="27"/>
      <c r="I44" s="27"/>
      <c r="J44" s="28"/>
      <c r="K44" s="26"/>
      <c r="L44" s="27"/>
      <c r="M44" s="27"/>
      <c r="N44" s="28"/>
      <c r="O44" s="26"/>
      <c r="P44" s="27"/>
      <c r="Q44" s="27"/>
      <c r="R44" s="28"/>
      <c r="T44" s="32"/>
      <c r="U44" s="33"/>
      <c r="V44" s="33"/>
      <c r="W44" s="33"/>
      <c r="X44" s="33"/>
      <c r="Y44" s="33"/>
      <c r="Z44" s="34"/>
    </row>
    <row r="45" spans="2:26" x14ac:dyDescent="0.25">
      <c r="B45" s="26"/>
      <c r="C45" s="27"/>
      <c r="D45" s="27"/>
      <c r="E45" s="27"/>
      <c r="F45" s="28"/>
      <c r="G45" s="26"/>
      <c r="H45" s="27"/>
      <c r="I45" s="27"/>
      <c r="J45" s="28"/>
      <c r="K45" s="26"/>
      <c r="L45" s="27"/>
      <c r="M45" s="27"/>
      <c r="N45" s="28"/>
      <c r="O45" s="26"/>
      <c r="P45" s="27"/>
      <c r="Q45" s="27"/>
      <c r="R45" s="28"/>
      <c r="T45" s="32"/>
      <c r="U45" s="33"/>
      <c r="V45" s="33"/>
      <c r="W45" s="33"/>
      <c r="X45" s="33"/>
      <c r="Y45" s="33"/>
      <c r="Z45" s="34"/>
    </row>
    <row r="46" spans="2:26" x14ac:dyDescent="0.25">
      <c r="B46" s="26"/>
      <c r="C46" s="27"/>
      <c r="D46" s="27"/>
      <c r="E46" s="27"/>
      <c r="F46" s="28"/>
      <c r="G46" s="26"/>
      <c r="H46" s="27"/>
      <c r="I46" s="27"/>
      <c r="J46" s="28"/>
      <c r="K46" s="26"/>
      <c r="L46" s="27"/>
      <c r="M46" s="27"/>
      <c r="N46" s="28"/>
      <c r="O46" s="26"/>
      <c r="P46" s="27"/>
      <c r="Q46" s="27"/>
      <c r="R46" s="28"/>
      <c r="T46" s="32"/>
      <c r="U46" s="33"/>
      <c r="V46" s="33"/>
      <c r="W46" s="33"/>
      <c r="X46" s="33"/>
      <c r="Y46" s="33"/>
      <c r="Z46" s="34"/>
    </row>
    <row r="47" spans="2:26" x14ac:dyDescent="0.25">
      <c r="B47" s="26"/>
      <c r="C47" s="27"/>
      <c r="D47" s="27"/>
      <c r="E47" s="27"/>
      <c r="F47" s="28"/>
      <c r="G47" s="26"/>
      <c r="H47" s="27"/>
      <c r="I47" s="27"/>
      <c r="J47" s="28"/>
      <c r="K47" s="26"/>
      <c r="L47" s="27"/>
      <c r="M47" s="27"/>
      <c r="N47" s="28"/>
      <c r="O47" s="26"/>
      <c r="P47" s="27"/>
      <c r="Q47" s="27"/>
      <c r="R47" s="28"/>
      <c r="T47" s="32"/>
      <c r="U47" s="33"/>
      <c r="V47" s="33"/>
      <c r="W47" s="33"/>
      <c r="X47" s="33"/>
      <c r="Y47" s="33"/>
      <c r="Z47" s="34"/>
    </row>
    <row r="48" spans="2:26" x14ac:dyDescent="0.25">
      <c r="B48" s="26"/>
      <c r="C48" s="27"/>
      <c r="D48" s="27"/>
      <c r="E48" s="27"/>
      <c r="F48" s="28"/>
      <c r="G48" s="26"/>
      <c r="H48" s="27"/>
      <c r="I48" s="27"/>
      <c r="J48" s="28"/>
      <c r="K48" s="26"/>
      <c r="L48" s="27"/>
      <c r="M48" s="27"/>
      <c r="N48" s="28"/>
      <c r="O48" s="26"/>
      <c r="P48" s="27"/>
      <c r="Q48" s="27"/>
      <c r="R48" s="28"/>
      <c r="T48" s="32"/>
      <c r="U48" s="33"/>
      <c r="V48" s="33"/>
      <c r="W48" s="33"/>
      <c r="X48" s="33"/>
      <c r="Y48" s="33"/>
      <c r="Z48" s="34"/>
    </row>
    <row r="49" spans="2:26" x14ac:dyDescent="0.25">
      <c r="B49" s="26"/>
      <c r="C49" s="27"/>
      <c r="D49" s="27"/>
      <c r="E49" s="27"/>
      <c r="F49" s="28"/>
      <c r="G49" s="26"/>
      <c r="H49" s="27"/>
      <c r="I49" s="27"/>
      <c r="J49" s="28"/>
      <c r="K49" s="26"/>
      <c r="L49" s="27"/>
      <c r="M49" s="27"/>
      <c r="N49" s="28"/>
      <c r="O49" s="26"/>
      <c r="P49" s="27"/>
      <c r="Q49" s="27"/>
      <c r="R49" s="28"/>
      <c r="T49" s="32"/>
      <c r="U49" s="33"/>
      <c r="V49" s="33"/>
      <c r="W49" s="33"/>
      <c r="X49" s="33"/>
      <c r="Y49" s="33"/>
      <c r="Z49" s="34"/>
    </row>
    <row r="50" spans="2:26" x14ac:dyDescent="0.25">
      <c r="B50" s="26"/>
      <c r="C50" s="27"/>
      <c r="D50" s="27"/>
      <c r="E50" s="27"/>
      <c r="F50" s="28"/>
      <c r="G50" s="26"/>
      <c r="H50" s="27"/>
      <c r="I50" s="27"/>
      <c r="J50" s="28"/>
      <c r="K50" s="26"/>
      <c r="L50" s="27"/>
      <c r="M50" s="27"/>
      <c r="N50" s="28"/>
      <c r="O50" s="26"/>
      <c r="P50" s="27"/>
      <c r="Q50" s="27"/>
      <c r="R50" s="28"/>
      <c r="T50" s="32"/>
      <c r="U50" s="33"/>
      <c r="V50" s="33"/>
      <c r="W50" s="33"/>
      <c r="X50" s="33"/>
      <c r="Y50" s="33"/>
      <c r="Z50" s="34"/>
    </row>
    <row r="51" spans="2:26" x14ac:dyDescent="0.25">
      <c r="B51" s="26"/>
      <c r="C51" s="27"/>
      <c r="D51" s="27"/>
      <c r="E51" s="27"/>
      <c r="F51" s="28"/>
      <c r="G51" s="26"/>
      <c r="H51" s="27"/>
      <c r="I51" s="27"/>
      <c r="J51" s="28"/>
      <c r="K51" s="26"/>
      <c r="L51" s="27"/>
      <c r="M51" s="27"/>
      <c r="N51" s="28"/>
      <c r="O51" s="26"/>
      <c r="P51" s="27"/>
      <c r="Q51" s="27"/>
      <c r="R51" s="28"/>
      <c r="T51" s="32"/>
      <c r="U51" s="33"/>
      <c r="V51" s="33"/>
      <c r="W51" s="33"/>
      <c r="X51" s="33"/>
      <c r="Y51" s="33"/>
      <c r="Z51" s="34"/>
    </row>
    <row r="52" spans="2:26" x14ac:dyDescent="0.25">
      <c r="B52" s="26"/>
      <c r="C52" s="27"/>
      <c r="D52" s="27"/>
      <c r="E52" s="27"/>
      <c r="F52" s="28"/>
      <c r="G52" s="26"/>
      <c r="H52" s="27"/>
      <c r="I52" s="27"/>
      <c r="J52" s="28"/>
      <c r="K52" s="26"/>
      <c r="L52" s="27"/>
      <c r="M52" s="27"/>
      <c r="N52" s="28"/>
      <c r="O52" s="26"/>
      <c r="P52" s="27"/>
      <c r="Q52" s="27"/>
      <c r="R52" s="28"/>
      <c r="T52" s="32"/>
      <c r="U52" s="33"/>
      <c r="V52" s="33"/>
      <c r="W52" s="33"/>
      <c r="X52" s="33"/>
      <c r="Y52" s="33"/>
      <c r="Z52" s="34"/>
    </row>
    <row r="53" spans="2:26" x14ac:dyDescent="0.25">
      <c r="B53" s="26"/>
      <c r="C53" s="27"/>
      <c r="D53" s="27"/>
      <c r="E53" s="27"/>
      <c r="F53" s="28"/>
      <c r="G53" s="26"/>
      <c r="H53" s="27"/>
      <c r="I53" s="27"/>
      <c r="J53" s="28"/>
      <c r="K53" s="26"/>
      <c r="L53" s="27"/>
      <c r="M53" s="27"/>
      <c r="N53" s="28"/>
      <c r="O53" s="26"/>
      <c r="P53" s="27"/>
      <c r="Q53" s="27"/>
      <c r="R53" s="28"/>
      <c r="T53" s="32"/>
      <c r="U53" s="33"/>
      <c r="V53" s="33"/>
      <c r="W53" s="33"/>
      <c r="X53" s="33"/>
      <c r="Y53" s="33"/>
      <c r="Z53" s="34"/>
    </row>
    <row r="54" spans="2:26" x14ac:dyDescent="0.25">
      <c r="B54" s="26"/>
      <c r="C54" s="27"/>
      <c r="D54" s="27"/>
      <c r="E54" s="27"/>
      <c r="F54" s="28"/>
      <c r="G54" s="26"/>
      <c r="H54" s="27"/>
      <c r="I54" s="27"/>
      <c r="J54" s="28"/>
      <c r="K54" s="26"/>
      <c r="L54" s="27"/>
      <c r="M54" s="27"/>
      <c r="N54" s="28"/>
      <c r="O54" s="26"/>
      <c r="P54" s="27"/>
      <c r="Q54" s="27"/>
      <c r="R54" s="28"/>
      <c r="T54" s="32"/>
      <c r="U54" s="33"/>
      <c r="V54" s="33"/>
      <c r="W54" s="33"/>
      <c r="X54" s="33"/>
      <c r="Y54" s="33"/>
      <c r="Z54" s="34"/>
    </row>
    <row r="55" spans="2:26" x14ac:dyDescent="0.25">
      <c r="B55" s="26"/>
      <c r="C55" s="27"/>
      <c r="D55" s="27"/>
      <c r="E55" s="27"/>
      <c r="F55" s="28"/>
      <c r="G55" s="26"/>
      <c r="H55" s="27"/>
      <c r="I55" s="27"/>
      <c r="J55" s="28"/>
      <c r="K55" s="26"/>
      <c r="L55" s="27"/>
      <c r="M55" s="27"/>
      <c r="N55" s="28"/>
      <c r="O55" s="26"/>
      <c r="P55" s="27"/>
      <c r="Q55" s="27"/>
      <c r="R55" s="28"/>
      <c r="T55" s="32"/>
      <c r="U55" s="33"/>
      <c r="V55" s="33"/>
      <c r="W55" s="33"/>
      <c r="X55" s="33"/>
      <c r="Y55" s="33"/>
      <c r="Z55" s="34"/>
    </row>
    <row r="56" spans="2:26" x14ac:dyDescent="0.25">
      <c r="B56" s="26"/>
      <c r="C56" s="27"/>
      <c r="D56" s="27"/>
      <c r="E56" s="27"/>
      <c r="F56" s="28"/>
      <c r="G56" s="26"/>
      <c r="H56" s="27"/>
      <c r="I56" s="27"/>
      <c r="J56" s="28"/>
      <c r="K56" s="26"/>
      <c r="L56" s="27"/>
      <c r="M56" s="27"/>
      <c r="N56" s="28"/>
      <c r="O56" s="26"/>
      <c r="P56" s="27"/>
      <c r="Q56" s="27"/>
      <c r="R56" s="28"/>
      <c r="T56" s="32"/>
      <c r="U56" s="33"/>
      <c r="V56" s="33"/>
      <c r="W56" s="33"/>
      <c r="X56" s="33"/>
      <c r="Y56" s="33"/>
      <c r="Z56" s="34"/>
    </row>
    <row r="57" spans="2:26" x14ac:dyDescent="0.25">
      <c r="B57" s="26"/>
      <c r="C57" s="27"/>
      <c r="D57" s="27"/>
      <c r="E57" s="27"/>
      <c r="F57" s="28"/>
      <c r="G57" s="26"/>
      <c r="H57" s="27"/>
      <c r="I57" s="27"/>
      <c r="J57" s="28"/>
      <c r="K57" s="26"/>
      <c r="L57" s="27"/>
      <c r="M57" s="27"/>
      <c r="N57" s="28"/>
      <c r="O57" s="26"/>
      <c r="P57" s="27"/>
      <c r="Q57" s="27"/>
      <c r="R57" s="28"/>
      <c r="T57" s="32"/>
      <c r="U57" s="33"/>
      <c r="V57" s="33"/>
      <c r="W57" s="33"/>
      <c r="X57" s="33"/>
      <c r="Y57" s="33"/>
      <c r="Z57" s="34"/>
    </row>
    <row r="58" spans="2:26" x14ac:dyDescent="0.25">
      <c r="B58" s="26"/>
      <c r="C58" s="27"/>
      <c r="D58" s="27"/>
      <c r="E58" s="27"/>
      <c r="F58" s="28"/>
      <c r="G58" s="26"/>
      <c r="H58" s="27"/>
      <c r="I58" s="27"/>
      <c r="J58" s="28"/>
      <c r="K58" s="26"/>
      <c r="L58" s="27"/>
      <c r="M58" s="27"/>
      <c r="N58" s="28"/>
      <c r="O58" s="26"/>
      <c r="P58" s="27"/>
      <c r="Q58" s="27"/>
      <c r="R58" s="28"/>
      <c r="T58" s="32"/>
      <c r="U58" s="33"/>
      <c r="V58" s="33"/>
      <c r="W58" s="33"/>
      <c r="X58" s="33"/>
      <c r="Y58" s="33"/>
      <c r="Z58" s="34"/>
    </row>
    <row r="59" spans="2:26" x14ac:dyDescent="0.25">
      <c r="B59" s="26"/>
      <c r="C59" s="27"/>
      <c r="D59" s="27"/>
      <c r="E59" s="27"/>
      <c r="F59" s="28"/>
      <c r="G59" s="26"/>
      <c r="H59" s="27"/>
      <c r="I59" s="27"/>
      <c r="J59" s="28"/>
      <c r="K59" s="26"/>
      <c r="L59" s="27"/>
      <c r="M59" s="27"/>
      <c r="N59" s="28"/>
      <c r="O59" s="26"/>
      <c r="P59" s="27"/>
      <c r="Q59" s="27"/>
      <c r="R59" s="28"/>
      <c r="T59" s="32"/>
      <c r="U59" s="33"/>
      <c r="V59" s="33"/>
      <c r="W59" s="33"/>
      <c r="X59" s="33"/>
      <c r="Y59" s="33"/>
      <c r="Z59" s="34"/>
    </row>
    <row r="60" spans="2:26" x14ac:dyDescent="0.25">
      <c r="B60" s="26"/>
      <c r="C60" s="27"/>
      <c r="D60" s="27"/>
      <c r="E60" s="27"/>
      <c r="F60" s="28"/>
      <c r="G60" s="26"/>
      <c r="H60" s="27"/>
      <c r="I60" s="27"/>
      <c r="J60" s="28"/>
      <c r="K60" s="26"/>
      <c r="L60" s="27"/>
      <c r="M60" s="27"/>
      <c r="N60" s="28"/>
      <c r="O60" s="26"/>
      <c r="P60" s="27"/>
      <c r="Q60" s="27"/>
      <c r="R60" s="28"/>
      <c r="T60" s="32"/>
      <c r="U60" s="33"/>
      <c r="V60" s="33"/>
      <c r="W60" s="33"/>
      <c r="X60" s="33"/>
      <c r="Y60" s="33"/>
      <c r="Z60" s="34"/>
    </row>
    <row r="61" spans="2:26" x14ac:dyDescent="0.25">
      <c r="B61" s="26"/>
      <c r="C61" s="27"/>
      <c r="D61" s="27"/>
      <c r="E61" s="27"/>
      <c r="F61" s="28"/>
      <c r="G61" s="26"/>
      <c r="H61" s="27"/>
      <c r="I61" s="27"/>
      <c r="J61" s="28"/>
      <c r="K61" s="26"/>
      <c r="L61" s="27"/>
      <c r="M61" s="27"/>
      <c r="N61" s="28"/>
      <c r="O61" s="26"/>
      <c r="P61" s="27"/>
      <c r="Q61" s="27"/>
      <c r="R61" s="28"/>
      <c r="T61" s="32"/>
      <c r="U61" s="33"/>
      <c r="V61" s="33"/>
      <c r="W61" s="33"/>
      <c r="X61" s="33"/>
      <c r="Y61" s="33"/>
      <c r="Z61" s="34"/>
    </row>
    <row r="62" spans="2:26" x14ac:dyDescent="0.25">
      <c r="B62" s="26"/>
      <c r="C62" s="27"/>
      <c r="D62" s="27"/>
      <c r="E62" s="27"/>
      <c r="F62" s="28"/>
      <c r="G62" s="26"/>
      <c r="H62" s="27"/>
      <c r="I62" s="27"/>
      <c r="J62" s="28"/>
      <c r="K62" s="26"/>
      <c r="L62" s="27"/>
      <c r="M62" s="27"/>
      <c r="N62" s="28"/>
      <c r="O62" s="26"/>
      <c r="P62" s="27"/>
      <c r="Q62" s="27"/>
      <c r="R62" s="28"/>
      <c r="T62" s="32"/>
      <c r="U62" s="33"/>
      <c r="V62" s="33"/>
      <c r="W62" s="33"/>
      <c r="X62" s="33"/>
      <c r="Y62" s="33"/>
      <c r="Z62" s="34"/>
    </row>
    <row r="63" spans="2:26" x14ac:dyDescent="0.25">
      <c r="B63" s="26"/>
      <c r="C63" s="27"/>
      <c r="D63" s="27"/>
      <c r="E63" s="27"/>
      <c r="F63" s="28"/>
      <c r="G63" s="26"/>
      <c r="H63" s="27"/>
      <c r="I63" s="27"/>
      <c r="J63" s="28"/>
      <c r="K63" s="26"/>
      <c r="L63" s="27"/>
      <c r="M63" s="27"/>
      <c r="N63" s="28"/>
      <c r="O63" s="26"/>
      <c r="P63" s="27"/>
      <c r="Q63" s="27"/>
      <c r="R63" s="28"/>
      <c r="T63" s="32"/>
      <c r="U63" s="33"/>
      <c r="V63" s="33"/>
      <c r="W63" s="33"/>
      <c r="X63" s="33"/>
      <c r="Y63" s="33"/>
      <c r="Z63" s="34"/>
    </row>
    <row r="64" spans="2:26" x14ac:dyDescent="0.25">
      <c r="B64" s="26"/>
      <c r="C64" s="27"/>
      <c r="D64" s="27"/>
      <c r="E64" s="27"/>
      <c r="F64" s="28"/>
      <c r="G64" s="26"/>
      <c r="H64" s="27"/>
      <c r="I64" s="27"/>
      <c r="J64" s="28"/>
      <c r="K64" s="26"/>
      <c r="L64" s="27"/>
      <c r="M64" s="27"/>
      <c r="N64" s="28"/>
      <c r="O64" s="26"/>
      <c r="P64" s="27"/>
      <c r="Q64" s="27"/>
      <c r="R64" s="28"/>
      <c r="T64" s="32"/>
      <c r="U64" s="33"/>
      <c r="V64" s="33"/>
      <c r="W64" s="33"/>
      <c r="X64" s="33"/>
      <c r="Y64" s="33"/>
      <c r="Z64" s="34"/>
    </row>
    <row r="65" spans="2:26" x14ac:dyDescent="0.25">
      <c r="B65" s="26"/>
      <c r="C65" s="27"/>
      <c r="D65" s="27"/>
      <c r="E65" s="27"/>
      <c r="F65" s="28"/>
      <c r="G65" s="26"/>
      <c r="H65" s="27"/>
      <c r="I65" s="27"/>
      <c r="J65" s="28"/>
      <c r="K65" s="26"/>
      <c r="L65" s="27"/>
      <c r="M65" s="27"/>
      <c r="N65" s="28"/>
      <c r="O65" s="26"/>
      <c r="P65" s="27"/>
      <c r="Q65" s="27"/>
      <c r="R65" s="28"/>
      <c r="T65" s="32"/>
      <c r="U65" s="33"/>
      <c r="V65" s="33"/>
      <c r="W65" s="33"/>
      <c r="X65" s="33"/>
      <c r="Y65" s="33"/>
      <c r="Z65" s="34"/>
    </row>
    <row r="66" spans="2:26" x14ac:dyDescent="0.25">
      <c r="B66" s="26"/>
      <c r="C66" s="27"/>
      <c r="D66" s="27"/>
      <c r="E66" s="27"/>
      <c r="F66" s="28"/>
      <c r="G66" s="26"/>
      <c r="H66" s="27"/>
      <c r="I66" s="27"/>
      <c r="J66" s="28"/>
      <c r="K66" s="26"/>
      <c r="L66" s="27"/>
      <c r="M66" s="27"/>
      <c r="N66" s="28"/>
      <c r="O66" s="26"/>
      <c r="P66" s="27"/>
      <c r="Q66" s="27"/>
      <c r="R66" s="28"/>
      <c r="T66" s="32"/>
      <c r="U66" s="33"/>
      <c r="V66" s="33"/>
      <c r="W66" s="33"/>
      <c r="X66" s="33"/>
      <c r="Y66" s="33"/>
      <c r="Z66" s="34"/>
    </row>
    <row r="67" spans="2:26" x14ac:dyDescent="0.25">
      <c r="B67" s="26"/>
      <c r="C67" s="27"/>
      <c r="D67" s="27"/>
      <c r="E67" s="27"/>
      <c r="F67" s="28"/>
      <c r="G67" s="26"/>
      <c r="H67" s="27"/>
      <c r="I67" s="27"/>
      <c r="J67" s="28"/>
      <c r="K67" s="26"/>
      <c r="L67" s="27"/>
      <c r="M67" s="27"/>
      <c r="N67" s="28"/>
      <c r="O67" s="26"/>
      <c r="P67" s="27"/>
      <c r="Q67" s="27"/>
      <c r="R67" s="28"/>
      <c r="T67" s="32"/>
      <c r="U67" s="33"/>
      <c r="V67" s="33"/>
      <c r="W67" s="33"/>
      <c r="X67" s="33"/>
      <c r="Y67" s="33"/>
      <c r="Z67" s="34"/>
    </row>
    <row r="68" spans="2:26" x14ac:dyDescent="0.25">
      <c r="B68" s="26"/>
      <c r="C68" s="27"/>
      <c r="D68" s="27"/>
      <c r="E68" s="27"/>
      <c r="F68" s="28"/>
      <c r="G68" s="26"/>
      <c r="H68" s="27"/>
      <c r="I68" s="27"/>
      <c r="J68" s="28"/>
      <c r="K68" s="26"/>
      <c r="L68" s="27"/>
      <c r="M68" s="27"/>
      <c r="N68" s="28"/>
      <c r="O68" s="26"/>
      <c r="P68" s="27"/>
      <c r="Q68" s="27"/>
      <c r="R68" s="28"/>
      <c r="T68" s="32"/>
      <c r="U68" s="33"/>
      <c r="V68" s="33"/>
      <c r="W68" s="33"/>
      <c r="X68" s="33"/>
      <c r="Y68" s="33"/>
      <c r="Z68" s="34"/>
    </row>
    <row r="69" spans="2:26" x14ac:dyDescent="0.25">
      <c r="B69" s="26"/>
      <c r="C69" s="27"/>
      <c r="D69" s="27"/>
      <c r="E69" s="27"/>
      <c r="F69" s="28"/>
      <c r="G69" s="26"/>
      <c r="H69" s="27"/>
      <c r="I69" s="27"/>
      <c r="J69" s="28"/>
      <c r="K69" s="26"/>
      <c r="L69" s="27"/>
      <c r="M69" s="27"/>
      <c r="N69" s="28"/>
      <c r="O69" s="26"/>
      <c r="P69" s="27"/>
      <c r="Q69" s="27"/>
      <c r="R69" s="28"/>
      <c r="T69" s="32"/>
      <c r="U69" s="33"/>
      <c r="V69" s="33"/>
      <c r="W69" s="33"/>
      <c r="X69" s="33"/>
      <c r="Y69" s="33"/>
      <c r="Z69" s="34"/>
    </row>
    <row r="70" spans="2:26" x14ac:dyDescent="0.25">
      <c r="B70" s="26"/>
      <c r="C70" s="27"/>
      <c r="D70" s="27"/>
      <c r="E70" s="27"/>
      <c r="F70" s="28"/>
      <c r="G70" s="26"/>
      <c r="H70" s="27"/>
      <c r="I70" s="27"/>
      <c r="J70" s="28"/>
      <c r="K70" s="26"/>
      <c r="L70" s="27"/>
      <c r="M70" s="27"/>
      <c r="N70" s="28"/>
      <c r="O70" s="26"/>
      <c r="P70" s="27"/>
      <c r="Q70" s="27"/>
      <c r="R70" s="28"/>
      <c r="T70" s="32"/>
      <c r="U70" s="33"/>
      <c r="V70" s="33"/>
      <c r="W70" s="33"/>
      <c r="X70" s="33"/>
      <c r="Y70" s="33"/>
      <c r="Z70" s="34"/>
    </row>
    <row r="71" spans="2:26" x14ac:dyDescent="0.25">
      <c r="B71" s="26"/>
      <c r="C71" s="27"/>
      <c r="D71" s="27"/>
      <c r="E71" s="27"/>
      <c r="F71" s="28"/>
      <c r="G71" s="26"/>
      <c r="H71" s="27"/>
      <c r="I71" s="27"/>
      <c r="J71" s="28"/>
      <c r="K71" s="26"/>
      <c r="L71" s="27"/>
      <c r="M71" s="27"/>
      <c r="N71" s="28"/>
      <c r="O71" s="26"/>
      <c r="P71" s="27"/>
      <c r="Q71" s="27"/>
      <c r="R71" s="28"/>
      <c r="T71" s="32"/>
      <c r="U71" s="33"/>
      <c r="V71" s="33"/>
      <c r="W71" s="33"/>
      <c r="X71" s="33"/>
      <c r="Y71" s="33"/>
      <c r="Z71" s="34"/>
    </row>
    <row r="72" spans="2:26" x14ac:dyDescent="0.25">
      <c r="B72" s="26"/>
      <c r="C72" s="27"/>
      <c r="D72" s="27"/>
      <c r="E72" s="27"/>
      <c r="F72" s="28"/>
      <c r="G72" s="26"/>
      <c r="H72" s="27"/>
      <c r="I72" s="27"/>
      <c r="J72" s="28"/>
      <c r="K72" s="26"/>
      <c r="L72" s="27"/>
      <c r="M72" s="27"/>
      <c r="N72" s="28"/>
      <c r="O72" s="26"/>
      <c r="P72" s="27"/>
      <c r="Q72" s="27"/>
      <c r="R72" s="28"/>
      <c r="T72" s="32"/>
      <c r="U72" s="33"/>
      <c r="V72" s="33"/>
      <c r="W72" s="33"/>
      <c r="X72" s="33"/>
      <c r="Y72" s="33"/>
      <c r="Z72" s="34"/>
    </row>
    <row r="73" spans="2:26" x14ac:dyDescent="0.25">
      <c r="B73" s="26"/>
      <c r="C73" s="27"/>
      <c r="D73" s="27"/>
      <c r="E73" s="27"/>
      <c r="F73" s="28"/>
      <c r="G73" s="26"/>
      <c r="H73" s="27"/>
      <c r="I73" s="27"/>
      <c r="J73" s="28"/>
      <c r="K73" s="26"/>
      <c r="L73" s="27"/>
      <c r="M73" s="27"/>
      <c r="N73" s="28"/>
      <c r="O73" s="26"/>
      <c r="P73" s="27"/>
      <c r="Q73" s="27"/>
      <c r="R73" s="28"/>
      <c r="T73" s="32"/>
      <c r="U73" s="33"/>
      <c r="V73" s="33"/>
      <c r="W73" s="33"/>
      <c r="X73" s="33"/>
      <c r="Y73" s="33"/>
      <c r="Z73" s="34"/>
    </row>
    <row r="74" spans="2:26" x14ac:dyDescent="0.25">
      <c r="B74" s="26"/>
      <c r="C74" s="27"/>
      <c r="D74" s="27"/>
      <c r="E74" s="27"/>
      <c r="F74" s="28"/>
      <c r="G74" s="26"/>
      <c r="H74" s="27"/>
      <c r="I74" s="27"/>
      <c r="J74" s="28"/>
      <c r="K74" s="26"/>
      <c r="L74" s="27"/>
      <c r="M74" s="27"/>
      <c r="N74" s="28"/>
      <c r="O74" s="26"/>
      <c r="P74" s="27"/>
      <c r="Q74" s="27"/>
      <c r="R74" s="28"/>
      <c r="T74" s="32"/>
      <c r="U74" s="33"/>
      <c r="V74" s="33"/>
      <c r="W74" s="33"/>
      <c r="X74" s="33"/>
      <c r="Y74" s="33"/>
      <c r="Z74" s="34"/>
    </row>
    <row r="75" spans="2:26" x14ac:dyDescent="0.25">
      <c r="B75" s="26"/>
      <c r="C75" s="27"/>
      <c r="D75" s="27"/>
      <c r="E75" s="27"/>
      <c r="F75" s="28"/>
      <c r="G75" s="26"/>
      <c r="H75" s="27"/>
      <c r="I75" s="27"/>
      <c r="J75" s="28"/>
      <c r="K75" s="26"/>
      <c r="L75" s="27"/>
      <c r="M75" s="27"/>
      <c r="N75" s="28"/>
      <c r="O75" s="26"/>
      <c r="P75" s="27"/>
      <c r="Q75" s="27"/>
      <c r="R75" s="28"/>
      <c r="T75" s="32"/>
      <c r="U75" s="33"/>
      <c r="V75" s="33"/>
      <c r="W75" s="33"/>
      <c r="X75" s="33"/>
      <c r="Y75" s="33"/>
      <c r="Z75" s="34"/>
    </row>
    <row r="76" spans="2:26" x14ac:dyDescent="0.25">
      <c r="B76" s="26"/>
      <c r="C76" s="27"/>
      <c r="D76" s="27"/>
      <c r="E76" s="27"/>
      <c r="F76" s="28"/>
      <c r="G76" s="26"/>
      <c r="H76" s="27"/>
      <c r="I76" s="27"/>
      <c r="J76" s="28"/>
      <c r="K76" s="26"/>
      <c r="L76" s="27"/>
      <c r="M76" s="27"/>
      <c r="N76" s="28"/>
      <c r="O76" s="26"/>
      <c r="P76" s="27"/>
      <c r="Q76" s="27"/>
      <c r="R76" s="28"/>
      <c r="T76" s="32"/>
      <c r="U76" s="33"/>
      <c r="V76" s="33"/>
      <c r="W76" s="33"/>
      <c r="X76" s="33"/>
      <c r="Y76" s="33"/>
      <c r="Z76" s="34"/>
    </row>
    <row r="77" spans="2:26" x14ac:dyDescent="0.25">
      <c r="B77" s="29"/>
      <c r="C77" s="30"/>
      <c r="D77" s="30"/>
      <c r="E77" s="30"/>
      <c r="F77" s="31"/>
      <c r="G77" s="29"/>
      <c r="H77" s="30"/>
      <c r="I77" s="30"/>
      <c r="J77" s="31"/>
      <c r="K77" s="29"/>
      <c r="L77" s="30"/>
      <c r="M77" s="30"/>
      <c r="N77" s="31"/>
      <c r="O77" s="29"/>
      <c r="P77" s="30"/>
      <c r="Q77" s="30"/>
      <c r="R77" s="31"/>
      <c r="T77" s="32"/>
      <c r="U77" s="33"/>
      <c r="V77" s="33"/>
      <c r="W77" s="33"/>
      <c r="X77" s="33"/>
      <c r="Y77" s="33"/>
      <c r="Z77" s="34"/>
    </row>
    <row r="78" spans="2:26" x14ac:dyDescent="0.25">
      <c r="T78" s="32"/>
      <c r="U78" s="33"/>
      <c r="V78" s="33"/>
      <c r="W78" s="33"/>
      <c r="X78" s="33"/>
      <c r="Y78" s="33"/>
      <c r="Z78" s="34"/>
    </row>
    <row r="79" spans="2:26" x14ac:dyDescent="0.25">
      <c r="T79" s="32"/>
      <c r="U79" s="33"/>
      <c r="V79" s="33"/>
      <c r="W79" s="33"/>
      <c r="X79" s="33"/>
      <c r="Y79" s="33"/>
      <c r="Z79" s="34"/>
    </row>
    <row r="80" spans="2:26" x14ac:dyDescent="0.25">
      <c r="T80" s="32"/>
      <c r="U80" s="33"/>
      <c r="V80" s="33"/>
      <c r="W80" s="33"/>
      <c r="X80" s="33"/>
      <c r="Y80" s="33"/>
      <c r="Z80" s="34"/>
    </row>
    <row r="81" spans="20:26" x14ac:dyDescent="0.25">
      <c r="T81" s="32"/>
      <c r="U81" s="33"/>
      <c r="V81" s="33"/>
      <c r="W81" s="33"/>
      <c r="X81" s="33"/>
      <c r="Y81" s="33"/>
      <c r="Z81" s="34"/>
    </row>
    <row r="82" spans="20:26" x14ac:dyDescent="0.25">
      <c r="T82" s="32"/>
      <c r="U82" s="33"/>
      <c r="V82" s="33"/>
      <c r="W82" s="33"/>
      <c r="X82" s="33"/>
      <c r="Y82" s="33"/>
      <c r="Z82" s="34"/>
    </row>
    <row r="83" spans="20:26" x14ac:dyDescent="0.25">
      <c r="T83" s="32"/>
      <c r="U83" s="33"/>
      <c r="V83" s="33"/>
      <c r="W83" s="33"/>
      <c r="X83" s="33"/>
      <c r="Y83" s="33"/>
      <c r="Z83" s="34"/>
    </row>
    <row r="84" spans="20:26" x14ac:dyDescent="0.25">
      <c r="T84" s="32"/>
      <c r="U84" s="33"/>
      <c r="V84" s="33"/>
      <c r="W84" s="33"/>
      <c r="X84" s="33"/>
      <c r="Y84" s="33"/>
      <c r="Z84" s="34"/>
    </row>
    <row r="85" spans="20:26" x14ac:dyDescent="0.25">
      <c r="T85" s="32"/>
      <c r="U85" s="33"/>
      <c r="V85" s="33"/>
      <c r="W85" s="33"/>
      <c r="X85" s="33"/>
      <c r="Y85" s="33"/>
      <c r="Z85" s="34"/>
    </row>
    <row r="86" spans="20:26" x14ac:dyDescent="0.25">
      <c r="T86" s="32"/>
      <c r="U86" s="33"/>
      <c r="V86" s="33"/>
      <c r="W86" s="33"/>
      <c r="X86" s="33"/>
      <c r="Y86" s="33"/>
      <c r="Z86" s="34"/>
    </row>
    <row r="87" spans="20:26" x14ac:dyDescent="0.25">
      <c r="T87" s="32"/>
      <c r="U87" s="33"/>
      <c r="V87" s="33"/>
      <c r="W87" s="33"/>
      <c r="X87" s="33"/>
      <c r="Y87" s="33"/>
      <c r="Z87" s="34"/>
    </row>
    <row r="88" spans="20:26" x14ac:dyDescent="0.25">
      <c r="T88" s="32"/>
      <c r="U88" s="33"/>
      <c r="V88" s="33"/>
      <c r="W88" s="33"/>
      <c r="X88" s="33"/>
      <c r="Y88" s="33"/>
      <c r="Z88" s="34"/>
    </row>
    <row r="89" spans="20:26" x14ac:dyDescent="0.25">
      <c r="T89" s="32"/>
      <c r="U89" s="33"/>
      <c r="V89" s="33"/>
      <c r="W89" s="33"/>
      <c r="X89" s="33"/>
      <c r="Y89" s="33"/>
      <c r="Z89" s="34"/>
    </row>
    <row r="90" spans="20:26" x14ac:dyDescent="0.25">
      <c r="T90" s="32"/>
      <c r="U90" s="33"/>
      <c r="V90" s="33"/>
      <c r="W90" s="33"/>
      <c r="X90" s="33"/>
      <c r="Y90" s="33"/>
      <c r="Z90" s="34"/>
    </row>
    <row r="91" spans="20:26" x14ac:dyDescent="0.25">
      <c r="T91" s="32"/>
      <c r="U91" s="33"/>
      <c r="V91" s="33"/>
      <c r="W91" s="33"/>
      <c r="X91" s="33"/>
      <c r="Y91" s="33"/>
      <c r="Z91" s="34"/>
    </row>
    <row r="92" spans="20:26" x14ac:dyDescent="0.25">
      <c r="T92" s="32"/>
      <c r="U92" s="33"/>
      <c r="V92" s="33"/>
      <c r="W92" s="33"/>
      <c r="X92" s="33"/>
      <c r="Y92" s="33"/>
      <c r="Z92" s="34"/>
    </row>
    <row r="93" spans="20:26" x14ac:dyDescent="0.25">
      <c r="T93" s="32"/>
      <c r="U93" s="33"/>
      <c r="V93" s="33"/>
      <c r="W93" s="33"/>
      <c r="X93" s="33"/>
      <c r="Y93" s="33"/>
      <c r="Z93" s="34"/>
    </row>
    <row r="94" spans="20:26" x14ac:dyDescent="0.25">
      <c r="T94" s="32"/>
      <c r="U94" s="33"/>
      <c r="V94" s="33"/>
      <c r="W94" s="33"/>
      <c r="X94" s="33"/>
      <c r="Y94" s="33"/>
      <c r="Z94" s="34"/>
    </row>
    <row r="95" spans="20:26" x14ac:dyDescent="0.25">
      <c r="T95" s="32"/>
      <c r="U95" s="33"/>
      <c r="V95" s="33"/>
      <c r="W95" s="33"/>
      <c r="X95" s="33"/>
      <c r="Y95" s="33"/>
      <c r="Z95" s="34"/>
    </row>
    <row r="96" spans="20:26" x14ac:dyDescent="0.25">
      <c r="T96" s="32"/>
      <c r="U96" s="33"/>
      <c r="V96" s="33"/>
      <c r="W96" s="33"/>
      <c r="X96" s="33"/>
      <c r="Y96" s="33"/>
      <c r="Z96" s="34"/>
    </row>
    <row r="97" spans="20:26" x14ac:dyDescent="0.25">
      <c r="T97" s="32"/>
      <c r="U97" s="33"/>
      <c r="V97" s="33"/>
      <c r="W97" s="33"/>
      <c r="X97" s="33"/>
      <c r="Y97" s="33"/>
      <c r="Z97" s="34"/>
    </row>
    <row r="98" spans="20:26" x14ac:dyDescent="0.25">
      <c r="T98" s="32"/>
      <c r="U98" s="33"/>
      <c r="V98" s="33"/>
      <c r="W98" s="33"/>
      <c r="X98" s="33"/>
      <c r="Y98" s="33"/>
      <c r="Z98" s="34"/>
    </row>
    <row r="99" spans="20:26" x14ac:dyDescent="0.25">
      <c r="T99" s="32"/>
      <c r="U99" s="33"/>
      <c r="V99" s="33"/>
      <c r="W99" s="33"/>
      <c r="X99" s="33"/>
      <c r="Y99" s="33"/>
      <c r="Z99" s="34"/>
    </row>
    <row r="100" spans="20:26" x14ac:dyDescent="0.25">
      <c r="T100" s="32"/>
      <c r="U100" s="33"/>
      <c r="V100" s="33"/>
      <c r="W100" s="33"/>
      <c r="X100" s="33"/>
      <c r="Y100" s="33"/>
      <c r="Z100" s="34"/>
    </row>
    <row r="101" spans="20:26" x14ac:dyDescent="0.25">
      <c r="T101" s="32"/>
      <c r="U101" s="33"/>
      <c r="V101" s="33"/>
      <c r="W101" s="33"/>
      <c r="X101" s="33"/>
      <c r="Y101" s="33"/>
      <c r="Z101" s="34"/>
    </row>
    <row r="102" spans="20:26" x14ac:dyDescent="0.25">
      <c r="T102" s="32"/>
      <c r="U102" s="33"/>
      <c r="V102" s="33"/>
      <c r="W102" s="33"/>
      <c r="X102" s="33"/>
      <c r="Y102" s="33"/>
      <c r="Z102" s="34"/>
    </row>
    <row r="103" spans="20:26" x14ac:dyDescent="0.25">
      <c r="T103" s="32"/>
      <c r="U103" s="33"/>
      <c r="V103" s="33"/>
      <c r="W103" s="33"/>
      <c r="X103" s="33"/>
      <c r="Y103" s="33"/>
      <c r="Z103" s="34"/>
    </row>
    <row r="104" spans="20:26" x14ac:dyDescent="0.25">
      <c r="T104" s="32"/>
      <c r="U104" s="33"/>
      <c r="V104" s="33"/>
      <c r="W104" s="33"/>
      <c r="X104" s="33"/>
      <c r="Y104" s="33"/>
      <c r="Z104" s="34"/>
    </row>
    <row r="105" spans="20:26" x14ac:dyDescent="0.25">
      <c r="T105" s="32"/>
      <c r="U105" s="33"/>
      <c r="V105" s="33"/>
      <c r="W105" s="33"/>
      <c r="X105" s="33"/>
      <c r="Y105" s="33"/>
      <c r="Z105" s="34"/>
    </row>
    <row r="106" spans="20:26" x14ac:dyDescent="0.25">
      <c r="T106" s="32"/>
      <c r="U106" s="33"/>
      <c r="V106" s="33"/>
      <c r="W106" s="33"/>
      <c r="X106" s="33"/>
      <c r="Y106" s="33"/>
      <c r="Z106" s="34"/>
    </row>
    <row r="107" spans="20:26" x14ac:dyDescent="0.25">
      <c r="T107" s="32"/>
      <c r="U107" s="33"/>
      <c r="V107" s="33"/>
      <c r="W107" s="33"/>
      <c r="X107" s="33"/>
      <c r="Y107" s="33"/>
      <c r="Z107" s="34"/>
    </row>
    <row r="108" spans="20:26" x14ac:dyDescent="0.25">
      <c r="T108" s="32"/>
      <c r="U108" s="33"/>
      <c r="V108" s="33"/>
      <c r="W108" s="33"/>
      <c r="X108" s="33"/>
      <c r="Y108" s="33"/>
      <c r="Z108" s="34"/>
    </row>
    <row r="109" spans="20:26" x14ac:dyDescent="0.25">
      <c r="T109" s="32"/>
      <c r="U109" s="33"/>
      <c r="V109" s="33"/>
      <c r="W109" s="33"/>
      <c r="X109" s="33"/>
      <c r="Y109" s="33"/>
      <c r="Z109" s="34"/>
    </row>
    <row r="110" spans="20:26" x14ac:dyDescent="0.25">
      <c r="T110" s="32"/>
      <c r="U110" s="33"/>
      <c r="V110" s="33"/>
      <c r="W110" s="33"/>
      <c r="X110" s="33"/>
      <c r="Y110" s="33"/>
      <c r="Z110" s="34"/>
    </row>
    <row r="111" spans="20:26" x14ac:dyDescent="0.25">
      <c r="T111" s="32"/>
      <c r="U111" s="33"/>
      <c r="V111" s="33"/>
      <c r="W111" s="33"/>
      <c r="X111" s="33"/>
      <c r="Y111" s="33"/>
      <c r="Z111" s="34"/>
    </row>
    <row r="112" spans="20:26" x14ac:dyDescent="0.25">
      <c r="T112" s="32"/>
      <c r="U112" s="33"/>
      <c r="V112" s="33"/>
      <c r="W112" s="33"/>
      <c r="X112" s="33"/>
      <c r="Y112" s="33"/>
      <c r="Z112" s="34"/>
    </row>
    <row r="113" spans="20:26" x14ac:dyDescent="0.25">
      <c r="T113" s="32"/>
      <c r="U113" s="33"/>
      <c r="V113" s="33"/>
      <c r="W113" s="33"/>
      <c r="X113" s="33"/>
      <c r="Y113" s="33"/>
      <c r="Z113" s="34"/>
    </row>
    <row r="114" spans="20:26" x14ac:dyDescent="0.25">
      <c r="T114" s="32"/>
      <c r="U114" s="33"/>
      <c r="V114" s="33"/>
      <c r="W114" s="33"/>
      <c r="X114" s="33"/>
      <c r="Y114" s="33"/>
      <c r="Z114" s="34"/>
    </row>
    <row r="115" spans="20:26" x14ac:dyDescent="0.25">
      <c r="T115" s="32"/>
      <c r="U115" s="33"/>
      <c r="V115" s="33"/>
      <c r="W115" s="33"/>
      <c r="X115" s="33"/>
      <c r="Y115" s="33"/>
      <c r="Z115" s="34"/>
    </row>
    <row r="116" spans="20:26" x14ac:dyDescent="0.25">
      <c r="T116" s="32"/>
      <c r="U116" s="33"/>
      <c r="V116" s="33"/>
      <c r="W116" s="33"/>
      <c r="X116" s="33"/>
      <c r="Y116" s="33"/>
      <c r="Z116" s="34"/>
    </row>
    <row r="117" spans="20:26" x14ac:dyDescent="0.25">
      <c r="T117" s="32"/>
      <c r="U117" s="33"/>
      <c r="V117" s="33"/>
      <c r="W117" s="33"/>
      <c r="X117" s="33"/>
      <c r="Y117" s="33"/>
      <c r="Z117" s="34"/>
    </row>
    <row r="118" spans="20:26" x14ac:dyDescent="0.25">
      <c r="T118" s="32"/>
      <c r="U118" s="33"/>
      <c r="V118" s="33"/>
      <c r="W118" s="33"/>
      <c r="X118" s="33"/>
      <c r="Y118" s="33"/>
      <c r="Z118" s="34"/>
    </row>
    <row r="119" spans="20:26" x14ac:dyDescent="0.25">
      <c r="T119" s="32"/>
      <c r="U119" s="33"/>
      <c r="V119" s="33"/>
      <c r="W119" s="33"/>
      <c r="X119" s="33"/>
      <c r="Y119" s="33"/>
      <c r="Z119" s="34"/>
    </row>
    <row r="120" spans="20:26" x14ac:dyDescent="0.25">
      <c r="T120" s="32"/>
      <c r="U120" s="33"/>
      <c r="V120" s="33"/>
      <c r="W120" s="33"/>
      <c r="X120" s="33"/>
      <c r="Y120" s="33"/>
      <c r="Z120" s="34"/>
    </row>
    <row r="121" spans="20:26" x14ac:dyDescent="0.25">
      <c r="T121" s="32"/>
      <c r="U121" s="33"/>
      <c r="V121" s="33"/>
      <c r="W121" s="33"/>
      <c r="X121" s="33"/>
      <c r="Y121" s="33"/>
      <c r="Z121" s="34"/>
    </row>
    <row r="122" spans="20:26" x14ac:dyDescent="0.25">
      <c r="T122" s="32"/>
      <c r="U122" s="33"/>
      <c r="V122" s="33"/>
      <c r="W122" s="33"/>
      <c r="X122" s="33"/>
      <c r="Y122" s="33"/>
      <c r="Z122" s="34"/>
    </row>
    <row r="123" spans="20:26" x14ac:dyDescent="0.25">
      <c r="T123" s="32"/>
      <c r="U123" s="33"/>
      <c r="V123" s="33"/>
      <c r="W123" s="33"/>
      <c r="X123" s="33"/>
      <c r="Y123" s="33"/>
      <c r="Z123" s="34"/>
    </row>
    <row r="124" spans="20:26" x14ac:dyDescent="0.25">
      <c r="T124" s="32"/>
      <c r="U124" s="33"/>
      <c r="V124" s="33"/>
      <c r="W124" s="33"/>
      <c r="X124" s="33"/>
      <c r="Y124" s="33"/>
      <c r="Z124" s="34"/>
    </row>
    <row r="125" spans="20:26" x14ac:dyDescent="0.25">
      <c r="T125" s="32"/>
      <c r="U125" s="33"/>
      <c r="V125" s="33"/>
      <c r="W125" s="33"/>
      <c r="X125" s="33"/>
      <c r="Y125" s="33"/>
      <c r="Z125" s="34"/>
    </row>
    <row r="126" spans="20:26" x14ac:dyDescent="0.25">
      <c r="T126" s="32"/>
      <c r="U126" s="33"/>
      <c r="V126" s="33"/>
      <c r="W126" s="33"/>
      <c r="X126" s="33"/>
      <c r="Y126" s="33"/>
      <c r="Z126" s="34"/>
    </row>
    <row r="127" spans="20:26" x14ac:dyDescent="0.25">
      <c r="T127" s="32"/>
      <c r="U127" s="33"/>
      <c r="V127" s="33"/>
      <c r="W127" s="33"/>
      <c r="X127" s="33"/>
      <c r="Y127" s="33"/>
      <c r="Z127" s="34"/>
    </row>
    <row r="128" spans="20:26" x14ac:dyDescent="0.25">
      <c r="T128" s="32"/>
      <c r="U128" s="33"/>
      <c r="V128" s="33"/>
      <c r="W128" s="33"/>
      <c r="X128" s="33"/>
      <c r="Y128" s="33"/>
      <c r="Z128" s="34"/>
    </row>
    <row r="129" spans="20:26" x14ac:dyDescent="0.25">
      <c r="T129" s="32"/>
      <c r="U129" s="33"/>
      <c r="V129" s="33"/>
      <c r="W129" s="33"/>
      <c r="X129" s="33"/>
      <c r="Y129" s="33"/>
      <c r="Z129" s="34"/>
    </row>
    <row r="130" spans="20:26" x14ac:dyDescent="0.25">
      <c r="T130" s="32"/>
      <c r="U130" s="33"/>
      <c r="V130" s="33"/>
      <c r="W130" s="33"/>
      <c r="X130" s="33"/>
      <c r="Y130" s="33"/>
      <c r="Z130" s="34"/>
    </row>
    <row r="131" spans="20:26" x14ac:dyDescent="0.25">
      <c r="T131" s="32"/>
      <c r="U131" s="33"/>
      <c r="V131" s="33"/>
      <c r="W131" s="33"/>
      <c r="X131" s="33"/>
      <c r="Y131" s="33"/>
      <c r="Z131" s="34"/>
    </row>
    <row r="132" spans="20:26" x14ac:dyDescent="0.25">
      <c r="T132" s="32"/>
      <c r="U132" s="33"/>
      <c r="V132" s="33"/>
      <c r="W132" s="33"/>
      <c r="X132" s="33"/>
      <c r="Y132" s="33"/>
      <c r="Z132" s="34"/>
    </row>
    <row r="133" spans="20:26" x14ac:dyDescent="0.25">
      <c r="T133" s="32"/>
      <c r="U133" s="33"/>
      <c r="V133" s="33"/>
      <c r="W133" s="33"/>
      <c r="X133" s="33"/>
      <c r="Y133" s="33"/>
      <c r="Z133" s="34"/>
    </row>
    <row r="134" spans="20:26" x14ac:dyDescent="0.25">
      <c r="T134" s="32"/>
      <c r="U134" s="33"/>
      <c r="V134" s="33"/>
      <c r="W134" s="33"/>
      <c r="X134" s="33"/>
      <c r="Y134" s="33"/>
      <c r="Z134" s="34"/>
    </row>
    <row r="135" spans="20:26" x14ac:dyDescent="0.25">
      <c r="T135" s="32"/>
      <c r="U135" s="33"/>
      <c r="V135" s="33"/>
      <c r="W135" s="33"/>
      <c r="X135" s="33"/>
      <c r="Y135" s="33"/>
      <c r="Z135" s="34"/>
    </row>
    <row r="136" spans="20:26" x14ac:dyDescent="0.25">
      <c r="T136" s="32"/>
      <c r="U136" s="33"/>
      <c r="V136" s="33"/>
      <c r="W136" s="33"/>
      <c r="X136" s="33"/>
      <c r="Y136" s="33"/>
      <c r="Z136" s="34"/>
    </row>
    <row r="137" spans="20:26" x14ac:dyDescent="0.25">
      <c r="T137" s="32"/>
      <c r="U137" s="33"/>
      <c r="V137" s="33"/>
      <c r="W137" s="33"/>
      <c r="X137" s="33"/>
      <c r="Y137" s="33"/>
      <c r="Z137" s="34"/>
    </row>
    <row r="138" spans="20:26" x14ac:dyDescent="0.25">
      <c r="T138" s="32"/>
      <c r="U138" s="33"/>
      <c r="V138" s="33"/>
      <c r="W138" s="33"/>
      <c r="X138" s="33"/>
      <c r="Y138" s="33"/>
      <c r="Z138" s="34"/>
    </row>
    <row r="139" spans="20:26" x14ac:dyDescent="0.25">
      <c r="T139" s="32"/>
      <c r="U139" s="33"/>
      <c r="V139" s="33"/>
      <c r="W139" s="33"/>
      <c r="X139" s="33"/>
      <c r="Y139" s="33"/>
      <c r="Z139" s="34"/>
    </row>
    <row r="140" spans="20:26" x14ac:dyDescent="0.25">
      <c r="T140" s="32"/>
      <c r="U140" s="33"/>
      <c r="V140" s="33"/>
      <c r="W140" s="33"/>
      <c r="X140" s="33"/>
      <c r="Y140" s="33"/>
      <c r="Z140" s="34"/>
    </row>
    <row r="141" spans="20:26" x14ac:dyDescent="0.25">
      <c r="T141" s="32"/>
      <c r="U141" s="33"/>
      <c r="V141" s="33"/>
      <c r="W141" s="33"/>
      <c r="X141" s="33"/>
      <c r="Y141" s="33"/>
      <c r="Z141" s="34"/>
    </row>
    <row r="142" spans="20:26" x14ac:dyDescent="0.25">
      <c r="T142" s="32"/>
      <c r="U142" s="33"/>
      <c r="V142" s="33"/>
      <c r="W142" s="33"/>
      <c r="X142" s="33"/>
      <c r="Y142" s="33"/>
      <c r="Z142" s="34"/>
    </row>
    <row r="143" spans="20:26" x14ac:dyDescent="0.25">
      <c r="T143" s="32"/>
      <c r="U143" s="33"/>
      <c r="V143" s="33"/>
      <c r="W143" s="33"/>
      <c r="X143" s="33"/>
      <c r="Y143" s="33"/>
      <c r="Z143" s="34"/>
    </row>
    <row r="144" spans="20:26" x14ac:dyDescent="0.25">
      <c r="T144" s="32"/>
      <c r="U144" s="33"/>
      <c r="V144" s="33"/>
      <c r="W144" s="33"/>
      <c r="X144" s="33"/>
      <c r="Y144" s="33"/>
      <c r="Z144" s="34"/>
    </row>
    <row r="145" spans="20:26" x14ac:dyDescent="0.25">
      <c r="T145" s="32"/>
      <c r="U145" s="33"/>
      <c r="V145" s="33"/>
      <c r="W145" s="33"/>
      <c r="X145" s="33"/>
      <c r="Y145" s="33"/>
      <c r="Z145" s="34"/>
    </row>
    <row r="146" spans="20:26" x14ac:dyDescent="0.25">
      <c r="T146" s="32"/>
      <c r="U146" s="33"/>
      <c r="V146" s="33"/>
      <c r="W146" s="33"/>
      <c r="X146" s="33"/>
      <c r="Y146" s="33"/>
      <c r="Z146" s="34"/>
    </row>
    <row r="147" spans="20:26" x14ac:dyDescent="0.25">
      <c r="T147" s="32"/>
      <c r="U147" s="33"/>
      <c r="V147" s="33"/>
      <c r="W147" s="33"/>
      <c r="X147" s="33"/>
      <c r="Y147" s="33"/>
      <c r="Z147" s="34"/>
    </row>
    <row r="148" spans="20:26" x14ac:dyDescent="0.25">
      <c r="T148" s="32"/>
      <c r="U148" s="33"/>
      <c r="V148" s="33"/>
      <c r="W148" s="33"/>
      <c r="X148" s="33"/>
      <c r="Y148" s="33"/>
      <c r="Z148" s="34"/>
    </row>
    <row r="149" spans="20:26" x14ac:dyDescent="0.25">
      <c r="T149" s="32"/>
      <c r="U149" s="33"/>
      <c r="V149" s="33"/>
      <c r="W149" s="33"/>
      <c r="X149" s="33"/>
      <c r="Y149" s="33"/>
      <c r="Z149" s="34"/>
    </row>
    <row r="150" spans="20:26" x14ac:dyDescent="0.25">
      <c r="T150" s="32"/>
      <c r="U150" s="33"/>
      <c r="V150" s="33"/>
      <c r="W150" s="33"/>
      <c r="X150" s="33"/>
      <c r="Y150" s="33"/>
      <c r="Z150" s="34"/>
    </row>
    <row r="151" spans="20:26" x14ac:dyDescent="0.25">
      <c r="T151" s="32"/>
      <c r="U151" s="33"/>
      <c r="V151" s="33"/>
      <c r="W151" s="33"/>
      <c r="X151" s="33"/>
      <c r="Y151" s="33"/>
      <c r="Z151" s="34"/>
    </row>
    <row r="152" spans="20:26" x14ac:dyDescent="0.25">
      <c r="T152" s="32"/>
      <c r="U152" s="33"/>
      <c r="V152" s="33"/>
      <c r="W152" s="33"/>
      <c r="X152" s="33"/>
      <c r="Y152" s="33"/>
      <c r="Z152" s="34"/>
    </row>
    <row r="153" spans="20:26" x14ac:dyDescent="0.25">
      <c r="T153" s="32"/>
      <c r="U153" s="33"/>
      <c r="V153" s="33"/>
      <c r="W153" s="33"/>
      <c r="X153" s="33"/>
      <c r="Y153" s="33"/>
      <c r="Z153" s="34"/>
    </row>
    <row r="154" spans="20:26" x14ac:dyDescent="0.25">
      <c r="T154" s="32"/>
      <c r="U154" s="33"/>
      <c r="V154" s="33"/>
      <c r="W154" s="33"/>
      <c r="X154" s="33"/>
      <c r="Y154" s="33"/>
      <c r="Z154" s="34"/>
    </row>
    <row r="155" spans="20:26" x14ac:dyDescent="0.25">
      <c r="T155" s="32"/>
      <c r="U155" s="33"/>
      <c r="V155" s="33"/>
      <c r="W155" s="33"/>
      <c r="X155" s="33"/>
      <c r="Y155" s="33"/>
      <c r="Z155" s="34"/>
    </row>
    <row r="156" spans="20:26" x14ac:dyDescent="0.25">
      <c r="T156" s="32"/>
      <c r="U156" s="33"/>
      <c r="V156" s="33"/>
      <c r="W156" s="33"/>
      <c r="X156" s="33"/>
      <c r="Y156" s="33"/>
      <c r="Z156" s="34"/>
    </row>
    <row r="157" spans="20:26" x14ac:dyDescent="0.25">
      <c r="T157" s="32"/>
      <c r="U157" s="33"/>
      <c r="V157" s="33"/>
      <c r="W157" s="33"/>
      <c r="X157" s="33"/>
      <c r="Y157" s="33"/>
      <c r="Z157" s="34"/>
    </row>
    <row r="158" spans="20:26" x14ac:dyDescent="0.25">
      <c r="T158" s="32"/>
      <c r="U158" s="33"/>
      <c r="V158" s="33"/>
      <c r="W158" s="33"/>
      <c r="X158" s="33"/>
      <c r="Y158" s="33"/>
      <c r="Z158" s="34"/>
    </row>
    <row r="159" spans="20:26" x14ac:dyDescent="0.25">
      <c r="T159" s="32"/>
      <c r="U159" s="33"/>
      <c r="V159" s="33"/>
      <c r="W159" s="33"/>
      <c r="X159" s="33"/>
      <c r="Y159" s="33"/>
      <c r="Z159" s="34"/>
    </row>
    <row r="160" spans="20:26" x14ac:dyDescent="0.25">
      <c r="T160" s="32"/>
      <c r="U160" s="33"/>
      <c r="V160" s="33"/>
      <c r="W160" s="33"/>
      <c r="X160" s="33"/>
      <c r="Y160" s="33"/>
      <c r="Z160" s="34"/>
    </row>
    <row r="161" spans="20:26" x14ac:dyDescent="0.25">
      <c r="T161" s="32"/>
      <c r="U161" s="33"/>
      <c r="V161" s="33"/>
      <c r="W161" s="33"/>
      <c r="X161" s="33"/>
      <c r="Y161" s="33"/>
      <c r="Z161" s="34"/>
    </row>
    <row r="162" spans="20:26" x14ac:dyDescent="0.25">
      <c r="T162" s="32"/>
      <c r="U162" s="33"/>
      <c r="V162" s="33"/>
      <c r="W162" s="33"/>
      <c r="X162" s="33"/>
      <c r="Y162" s="33"/>
      <c r="Z162" s="34"/>
    </row>
    <row r="163" spans="20:26" x14ac:dyDescent="0.25">
      <c r="T163" s="32"/>
      <c r="U163" s="33"/>
      <c r="V163" s="33"/>
      <c r="W163" s="33"/>
      <c r="X163" s="33"/>
      <c r="Y163" s="33"/>
      <c r="Z163" s="34"/>
    </row>
    <row r="164" spans="20:26" x14ac:dyDescent="0.25">
      <c r="T164" s="32"/>
      <c r="U164" s="33"/>
      <c r="V164" s="33"/>
      <c r="W164" s="33"/>
      <c r="X164" s="33"/>
      <c r="Y164" s="33"/>
      <c r="Z164" s="34"/>
    </row>
    <row r="165" spans="20:26" x14ac:dyDescent="0.25">
      <c r="T165" s="32"/>
      <c r="U165" s="33"/>
      <c r="V165" s="33"/>
      <c r="W165" s="33"/>
      <c r="X165" s="33"/>
      <c r="Y165" s="33"/>
      <c r="Z165" s="34"/>
    </row>
    <row r="166" spans="20:26" x14ac:dyDescent="0.25">
      <c r="T166" s="32"/>
      <c r="U166" s="33"/>
      <c r="V166" s="33"/>
      <c r="W166" s="33"/>
      <c r="X166" s="33"/>
      <c r="Y166" s="33"/>
      <c r="Z166" s="34"/>
    </row>
    <row r="167" spans="20:26" x14ac:dyDescent="0.25">
      <c r="T167" s="32"/>
      <c r="U167" s="33"/>
      <c r="V167" s="33"/>
      <c r="W167" s="33"/>
      <c r="X167" s="33"/>
      <c r="Y167" s="33"/>
      <c r="Z167" s="34"/>
    </row>
    <row r="168" spans="20:26" x14ac:dyDescent="0.25">
      <c r="T168" s="32"/>
      <c r="U168" s="33"/>
      <c r="V168" s="33"/>
      <c r="W168" s="33"/>
      <c r="X168" s="33"/>
      <c r="Y168" s="33"/>
      <c r="Z168" s="34"/>
    </row>
    <row r="169" spans="20:26" x14ac:dyDescent="0.25">
      <c r="T169" s="32"/>
      <c r="U169" s="33"/>
      <c r="V169" s="33"/>
      <c r="W169" s="33"/>
      <c r="X169" s="33"/>
      <c r="Y169" s="33"/>
      <c r="Z169" s="34"/>
    </row>
    <row r="170" spans="20:26" x14ac:dyDescent="0.25">
      <c r="T170" s="32"/>
      <c r="U170" s="33"/>
      <c r="V170" s="33"/>
      <c r="W170" s="33"/>
      <c r="X170" s="33"/>
      <c r="Y170" s="33"/>
      <c r="Z170" s="34"/>
    </row>
    <row r="171" spans="20:26" x14ac:dyDescent="0.25">
      <c r="T171" s="32"/>
      <c r="U171" s="33"/>
      <c r="V171" s="33"/>
      <c r="W171" s="33"/>
      <c r="X171" s="33"/>
      <c r="Y171" s="33"/>
      <c r="Z171" s="34"/>
    </row>
    <row r="172" spans="20:26" x14ac:dyDescent="0.25">
      <c r="T172" s="32"/>
      <c r="U172" s="33"/>
      <c r="V172" s="33"/>
      <c r="W172" s="33"/>
      <c r="X172" s="33"/>
      <c r="Y172" s="33"/>
      <c r="Z172" s="34"/>
    </row>
    <row r="173" spans="20:26" x14ac:dyDescent="0.25">
      <c r="T173" s="32"/>
      <c r="U173" s="33"/>
      <c r="V173" s="33"/>
      <c r="W173" s="33"/>
      <c r="X173" s="33"/>
      <c r="Y173" s="33"/>
      <c r="Z173" s="34"/>
    </row>
    <row r="174" spans="20:26" x14ac:dyDescent="0.25">
      <c r="T174" s="32"/>
      <c r="U174" s="33"/>
      <c r="V174" s="33"/>
      <c r="W174" s="33"/>
      <c r="X174" s="33"/>
      <c r="Y174" s="33"/>
      <c r="Z174" s="34"/>
    </row>
    <row r="175" spans="20:26" x14ac:dyDescent="0.25">
      <c r="T175" s="32"/>
      <c r="U175" s="33"/>
      <c r="V175" s="33"/>
      <c r="W175" s="33"/>
      <c r="X175" s="33"/>
      <c r="Y175" s="33"/>
      <c r="Z175" s="34"/>
    </row>
    <row r="176" spans="20:26" x14ac:dyDescent="0.25">
      <c r="T176" s="32"/>
      <c r="U176" s="33"/>
      <c r="V176" s="33"/>
      <c r="W176" s="33"/>
      <c r="X176" s="33"/>
      <c r="Y176" s="33"/>
      <c r="Z176" s="34"/>
    </row>
    <row r="177" spans="20:26" x14ac:dyDescent="0.25">
      <c r="T177" s="32"/>
      <c r="U177" s="33"/>
      <c r="V177" s="33"/>
      <c r="W177" s="33"/>
      <c r="X177" s="33"/>
      <c r="Y177" s="33"/>
      <c r="Z177" s="34"/>
    </row>
    <row r="178" spans="20:26" x14ac:dyDescent="0.25">
      <c r="T178" s="32"/>
      <c r="U178" s="33"/>
      <c r="V178" s="33"/>
      <c r="W178" s="33"/>
      <c r="X178" s="33"/>
      <c r="Y178" s="33"/>
      <c r="Z178" s="34"/>
    </row>
    <row r="179" spans="20:26" x14ac:dyDescent="0.25">
      <c r="T179" s="32"/>
      <c r="U179" s="33"/>
      <c r="V179" s="33"/>
      <c r="W179" s="33"/>
      <c r="X179" s="33"/>
      <c r="Y179" s="33"/>
      <c r="Z179" s="34"/>
    </row>
    <row r="180" spans="20:26" x14ac:dyDescent="0.25">
      <c r="T180" s="32"/>
      <c r="U180" s="33"/>
      <c r="V180" s="33"/>
      <c r="W180" s="33"/>
      <c r="X180" s="33"/>
      <c r="Y180" s="33"/>
      <c r="Z180" s="34"/>
    </row>
    <row r="181" spans="20:26" x14ac:dyDescent="0.25">
      <c r="T181" s="32"/>
      <c r="U181" s="33"/>
      <c r="V181" s="33"/>
      <c r="W181" s="33"/>
      <c r="X181" s="33"/>
      <c r="Y181" s="33"/>
      <c r="Z181" s="34"/>
    </row>
    <row r="182" spans="20:26" x14ac:dyDescent="0.25">
      <c r="T182" s="32"/>
      <c r="U182" s="33"/>
      <c r="V182" s="33"/>
      <c r="W182" s="33"/>
      <c r="X182" s="33"/>
      <c r="Y182" s="33"/>
      <c r="Z182" s="34"/>
    </row>
    <row r="183" spans="20:26" x14ac:dyDescent="0.25">
      <c r="T183" s="32"/>
      <c r="U183" s="33"/>
      <c r="V183" s="33"/>
      <c r="W183" s="33"/>
      <c r="X183" s="33"/>
      <c r="Y183" s="33"/>
      <c r="Z183" s="34"/>
    </row>
    <row r="184" spans="20:26" x14ac:dyDescent="0.25">
      <c r="T184" s="32"/>
      <c r="U184" s="33"/>
      <c r="V184" s="33"/>
      <c r="W184" s="33"/>
      <c r="X184" s="33"/>
      <c r="Y184" s="33"/>
      <c r="Z184" s="34"/>
    </row>
    <row r="185" spans="20:26" x14ac:dyDescent="0.25">
      <c r="T185" s="32"/>
      <c r="U185" s="33"/>
      <c r="V185" s="33"/>
      <c r="W185" s="33"/>
      <c r="X185" s="33"/>
      <c r="Y185" s="33"/>
      <c r="Z185" s="34"/>
    </row>
    <row r="186" spans="20:26" x14ac:dyDescent="0.25">
      <c r="T186" s="32"/>
      <c r="U186" s="33"/>
      <c r="V186" s="33"/>
      <c r="W186" s="33"/>
      <c r="X186" s="33"/>
      <c r="Y186" s="33"/>
      <c r="Z186" s="34"/>
    </row>
    <row r="187" spans="20:26" x14ac:dyDescent="0.25">
      <c r="T187" s="32"/>
      <c r="U187" s="33"/>
      <c r="V187" s="33"/>
      <c r="W187" s="33"/>
      <c r="X187" s="33"/>
      <c r="Y187" s="33"/>
      <c r="Z187" s="34"/>
    </row>
    <row r="188" spans="20:26" x14ac:dyDescent="0.25">
      <c r="T188" s="32"/>
      <c r="U188" s="33"/>
      <c r="V188" s="33"/>
      <c r="W188" s="33"/>
      <c r="X188" s="33"/>
      <c r="Y188" s="33"/>
      <c r="Z188" s="34"/>
    </row>
    <row r="189" spans="20:26" x14ac:dyDescent="0.25">
      <c r="T189" s="32"/>
      <c r="U189" s="33"/>
      <c r="V189" s="33"/>
      <c r="W189" s="33"/>
      <c r="X189" s="33"/>
      <c r="Y189" s="33"/>
      <c r="Z189" s="34"/>
    </row>
    <row r="190" spans="20:26" x14ac:dyDescent="0.25">
      <c r="T190" s="32"/>
      <c r="U190" s="33"/>
      <c r="V190" s="33"/>
      <c r="W190" s="33"/>
      <c r="X190" s="33"/>
      <c r="Y190" s="33"/>
      <c r="Z190" s="34"/>
    </row>
    <row r="191" spans="20:26" x14ac:dyDescent="0.25">
      <c r="T191" s="32"/>
      <c r="U191" s="33"/>
      <c r="V191" s="33"/>
      <c r="W191" s="33"/>
      <c r="X191" s="33"/>
      <c r="Y191" s="33"/>
      <c r="Z191" s="34"/>
    </row>
    <row r="192" spans="20:26" x14ac:dyDescent="0.25">
      <c r="T192" s="32"/>
      <c r="U192" s="33"/>
      <c r="V192" s="33"/>
      <c r="W192" s="33"/>
      <c r="X192" s="33"/>
      <c r="Y192" s="33"/>
      <c r="Z192" s="34"/>
    </row>
    <row r="193" spans="20:26" x14ac:dyDescent="0.25">
      <c r="T193" s="32"/>
      <c r="U193" s="33"/>
      <c r="V193" s="33"/>
      <c r="W193" s="33"/>
      <c r="X193" s="33"/>
      <c r="Y193" s="33"/>
      <c r="Z193" s="34"/>
    </row>
    <row r="194" spans="20:26" x14ac:dyDescent="0.25">
      <c r="T194" s="32"/>
      <c r="U194" s="33"/>
      <c r="V194" s="33"/>
      <c r="W194" s="33"/>
      <c r="X194" s="33"/>
      <c r="Y194" s="33"/>
      <c r="Z194" s="34"/>
    </row>
    <row r="195" spans="20:26" x14ac:dyDescent="0.25">
      <c r="T195" s="32"/>
      <c r="U195" s="33"/>
      <c r="V195" s="33"/>
      <c r="W195" s="33"/>
      <c r="X195" s="33"/>
      <c r="Y195" s="33"/>
      <c r="Z195" s="34"/>
    </row>
    <row r="196" spans="20:26" x14ac:dyDescent="0.25">
      <c r="T196" s="32"/>
      <c r="U196" s="33"/>
      <c r="V196" s="33"/>
      <c r="W196" s="33"/>
      <c r="X196" s="33"/>
      <c r="Y196" s="33"/>
      <c r="Z196" s="34"/>
    </row>
    <row r="197" spans="20:26" x14ac:dyDescent="0.25">
      <c r="T197" s="32"/>
      <c r="U197" s="33"/>
      <c r="V197" s="33"/>
      <c r="W197" s="33"/>
      <c r="X197" s="33"/>
      <c r="Y197" s="33"/>
      <c r="Z197" s="34"/>
    </row>
    <row r="198" spans="20:26" x14ac:dyDescent="0.25">
      <c r="T198" s="32"/>
      <c r="U198" s="33"/>
      <c r="V198" s="33"/>
      <c r="W198" s="33"/>
      <c r="X198" s="33"/>
      <c r="Y198" s="33"/>
      <c r="Z198" s="34"/>
    </row>
    <row r="199" spans="20:26" x14ac:dyDescent="0.25">
      <c r="T199" s="32"/>
      <c r="U199" s="33"/>
      <c r="V199" s="33"/>
      <c r="W199" s="33"/>
      <c r="X199" s="33"/>
      <c r="Y199" s="33"/>
      <c r="Z199" s="34"/>
    </row>
    <row r="200" spans="20:26" x14ac:dyDescent="0.25">
      <c r="T200" s="32"/>
      <c r="U200" s="33"/>
      <c r="V200" s="33"/>
      <c r="W200" s="33"/>
      <c r="X200" s="33"/>
      <c r="Y200" s="33"/>
      <c r="Z200" s="34"/>
    </row>
    <row r="201" spans="20:26" x14ac:dyDescent="0.25">
      <c r="T201" s="32"/>
      <c r="U201" s="33"/>
      <c r="V201" s="33"/>
      <c r="W201" s="33"/>
      <c r="X201" s="33"/>
      <c r="Y201" s="33"/>
      <c r="Z201" s="34"/>
    </row>
    <row r="202" spans="20:26" x14ac:dyDescent="0.25">
      <c r="T202" s="32"/>
      <c r="U202" s="33"/>
      <c r="V202" s="33"/>
      <c r="W202" s="33"/>
      <c r="X202" s="33"/>
      <c r="Y202" s="33"/>
      <c r="Z202" s="34"/>
    </row>
    <row r="203" spans="20:26" x14ac:dyDescent="0.25">
      <c r="T203" s="32"/>
      <c r="U203" s="33"/>
      <c r="V203" s="33"/>
      <c r="W203" s="33"/>
      <c r="X203" s="33"/>
      <c r="Y203" s="33"/>
      <c r="Z203" s="34"/>
    </row>
    <row r="204" spans="20:26" x14ac:dyDescent="0.25">
      <c r="T204" s="32"/>
      <c r="U204" s="33"/>
      <c r="V204" s="33"/>
      <c r="W204" s="33"/>
      <c r="X204" s="33"/>
      <c r="Y204" s="33"/>
      <c r="Z204" s="34"/>
    </row>
    <row r="205" spans="20:26" x14ac:dyDescent="0.25">
      <c r="T205" s="32"/>
      <c r="U205" s="33"/>
      <c r="V205" s="33"/>
      <c r="W205" s="33"/>
      <c r="X205" s="33"/>
      <c r="Y205" s="33"/>
      <c r="Z205" s="34"/>
    </row>
    <row r="206" spans="20:26" x14ac:dyDescent="0.25">
      <c r="T206" s="32"/>
      <c r="U206" s="33"/>
      <c r="V206" s="33"/>
      <c r="W206" s="33"/>
      <c r="X206" s="33"/>
      <c r="Y206" s="33"/>
      <c r="Z206" s="34"/>
    </row>
    <row r="207" spans="20:26" x14ac:dyDescent="0.25">
      <c r="T207" s="32"/>
      <c r="U207" s="33"/>
      <c r="V207" s="33"/>
      <c r="W207" s="33"/>
      <c r="X207" s="33"/>
      <c r="Y207" s="33"/>
      <c r="Z207" s="34"/>
    </row>
    <row r="208" spans="20:26" x14ac:dyDescent="0.25">
      <c r="T208" s="32"/>
      <c r="U208" s="33"/>
      <c r="V208" s="33"/>
      <c r="W208" s="33"/>
      <c r="X208" s="33"/>
      <c r="Y208" s="33"/>
      <c r="Z208" s="34"/>
    </row>
    <row r="209" spans="20:26" x14ac:dyDescent="0.25">
      <c r="T209" s="32"/>
      <c r="U209" s="33"/>
      <c r="V209" s="33"/>
      <c r="W209" s="33"/>
      <c r="X209" s="33"/>
      <c r="Y209" s="33"/>
      <c r="Z209" s="34"/>
    </row>
    <row r="210" spans="20:26" x14ac:dyDescent="0.25">
      <c r="T210" s="32"/>
      <c r="U210" s="33"/>
      <c r="V210" s="33"/>
      <c r="W210" s="33"/>
      <c r="X210" s="33"/>
      <c r="Y210" s="33"/>
      <c r="Z210" s="34"/>
    </row>
    <row r="211" spans="20:26" x14ac:dyDescent="0.25">
      <c r="T211" s="32"/>
      <c r="U211" s="33"/>
      <c r="V211" s="33"/>
      <c r="W211" s="33"/>
      <c r="X211" s="33"/>
      <c r="Y211" s="33"/>
      <c r="Z211" s="34"/>
    </row>
    <row r="212" spans="20:26" x14ac:dyDescent="0.25">
      <c r="T212" s="32"/>
      <c r="U212" s="33"/>
      <c r="V212" s="33"/>
      <c r="W212" s="33"/>
      <c r="X212" s="33"/>
      <c r="Y212" s="33"/>
      <c r="Z212" s="34"/>
    </row>
    <row r="213" spans="20:26" x14ac:dyDescent="0.25">
      <c r="T213" s="32"/>
      <c r="U213" s="33"/>
      <c r="V213" s="33"/>
      <c r="W213" s="33"/>
      <c r="X213" s="33"/>
      <c r="Y213" s="33"/>
      <c r="Z213" s="34"/>
    </row>
    <row r="214" spans="20:26" x14ac:dyDescent="0.25">
      <c r="T214" s="32"/>
      <c r="U214" s="33"/>
      <c r="V214" s="33"/>
      <c r="W214" s="33"/>
      <c r="X214" s="33"/>
      <c r="Y214" s="33"/>
      <c r="Z214" s="34"/>
    </row>
    <row r="215" spans="20:26" x14ac:dyDescent="0.25">
      <c r="T215" s="32"/>
      <c r="U215" s="33"/>
      <c r="V215" s="33"/>
      <c r="W215" s="33"/>
      <c r="X215" s="33"/>
      <c r="Y215" s="33"/>
      <c r="Z215" s="34"/>
    </row>
    <row r="216" spans="20:26" x14ac:dyDescent="0.25">
      <c r="T216" s="32"/>
      <c r="U216" s="33"/>
      <c r="V216" s="33"/>
      <c r="W216" s="33"/>
      <c r="X216" s="33"/>
      <c r="Y216" s="33"/>
      <c r="Z216" s="34"/>
    </row>
    <row r="217" spans="20:26" x14ac:dyDescent="0.25">
      <c r="T217" s="32"/>
      <c r="U217" s="33"/>
      <c r="V217" s="33"/>
      <c r="W217" s="33"/>
      <c r="X217" s="33"/>
      <c r="Y217" s="33"/>
      <c r="Z217" s="34"/>
    </row>
    <row r="218" spans="20:26" x14ac:dyDescent="0.25">
      <c r="T218" s="32"/>
      <c r="U218" s="33"/>
      <c r="V218" s="33"/>
      <c r="W218" s="33"/>
      <c r="X218" s="33"/>
      <c r="Y218" s="33"/>
      <c r="Z218" s="34"/>
    </row>
    <row r="219" spans="20:26" x14ac:dyDescent="0.25">
      <c r="T219" s="32"/>
      <c r="U219" s="33"/>
      <c r="V219" s="33"/>
      <c r="W219" s="33"/>
      <c r="X219" s="33"/>
      <c r="Y219" s="33"/>
      <c r="Z219" s="34"/>
    </row>
    <row r="220" spans="20:26" x14ac:dyDescent="0.25">
      <c r="T220" s="32"/>
      <c r="U220" s="33"/>
      <c r="V220" s="33"/>
      <c r="W220" s="33"/>
      <c r="X220" s="33"/>
      <c r="Y220" s="33"/>
      <c r="Z220" s="34"/>
    </row>
    <row r="221" spans="20:26" x14ac:dyDescent="0.25">
      <c r="T221" s="32"/>
      <c r="U221" s="33"/>
      <c r="V221" s="33"/>
      <c r="W221" s="33"/>
      <c r="X221" s="33"/>
      <c r="Y221" s="33"/>
      <c r="Z221" s="34"/>
    </row>
    <row r="222" spans="20:26" x14ac:dyDescent="0.25">
      <c r="T222" s="32"/>
      <c r="U222" s="33"/>
      <c r="V222" s="33"/>
      <c r="W222" s="33"/>
      <c r="X222" s="33"/>
      <c r="Y222" s="33"/>
      <c r="Z222" s="34"/>
    </row>
    <row r="223" spans="20:26" x14ac:dyDescent="0.25">
      <c r="T223" s="32"/>
      <c r="U223" s="33"/>
      <c r="V223" s="33"/>
      <c r="W223" s="33"/>
      <c r="X223" s="33"/>
      <c r="Y223" s="33"/>
      <c r="Z223" s="34"/>
    </row>
    <row r="224" spans="20:26" x14ac:dyDescent="0.25">
      <c r="T224" s="32"/>
      <c r="U224" s="33"/>
      <c r="V224" s="33"/>
      <c r="W224" s="33"/>
      <c r="X224" s="33"/>
      <c r="Y224" s="33"/>
      <c r="Z224" s="34"/>
    </row>
    <row r="225" spans="20:26" x14ac:dyDescent="0.25">
      <c r="T225" s="32"/>
      <c r="U225" s="33"/>
      <c r="V225" s="33"/>
      <c r="W225" s="33"/>
      <c r="X225" s="33"/>
      <c r="Y225" s="33"/>
      <c r="Z225" s="34"/>
    </row>
    <row r="226" spans="20:26" x14ac:dyDescent="0.25">
      <c r="T226" s="32"/>
      <c r="U226" s="33"/>
      <c r="V226" s="33"/>
      <c r="W226" s="33"/>
      <c r="X226" s="33"/>
      <c r="Y226" s="33"/>
      <c r="Z226" s="34"/>
    </row>
    <row r="227" spans="20:26" x14ac:dyDescent="0.25">
      <c r="T227" s="32"/>
      <c r="U227" s="33"/>
      <c r="V227" s="33"/>
      <c r="W227" s="33"/>
      <c r="X227" s="33"/>
      <c r="Y227" s="33"/>
      <c r="Z227" s="34"/>
    </row>
    <row r="228" spans="20:26" x14ac:dyDescent="0.25">
      <c r="T228" s="32"/>
      <c r="U228" s="33"/>
      <c r="V228" s="33"/>
      <c r="W228" s="33"/>
      <c r="X228" s="33"/>
      <c r="Y228" s="33"/>
      <c r="Z228" s="34"/>
    </row>
    <row r="229" spans="20:26" x14ac:dyDescent="0.25">
      <c r="T229" s="32"/>
      <c r="U229" s="33"/>
      <c r="V229" s="33"/>
      <c r="W229" s="33"/>
      <c r="X229" s="33"/>
      <c r="Y229" s="33"/>
      <c r="Z229" s="34"/>
    </row>
    <row r="230" spans="20:26" x14ac:dyDescent="0.25">
      <c r="T230" s="32"/>
      <c r="U230" s="33"/>
      <c r="V230" s="33"/>
      <c r="W230" s="33"/>
      <c r="X230" s="33"/>
      <c r="Y230" s="33"/>
      <c r="Z230" s="34"/>
    </row>
    <row r="231" spans="20:26" x14ac:dyDescent="0.25">
      <c r="T231" s="32"/>
      <c r="U231" s="33"/>
      <c r="V231" s="33"/>
      <c r="W231" s="33"/>
      <c r="X231" s="33"/>
      <c r="Y231" s="33"/>
      <c r="Z231" s="34"/>
    </row>
    <row r="232" spans="20:26" x14ac:dyDescent="0.25">
      <c r="T232" s="32"/>
      <c r="U232" s="33"/>
      <c r="V232" s="33"/>
      <c r="W232" s="33"/>
      <c r="X232" s="33"/>
      <c r="Y232" s="33"/>
      <c r="Z232" s="34"/>
    </row>
    <row r="233" spans="20:26" x14ac:dyDescent="0.25">
      <c r="T233" s="32"/>
      <c r="U233" s="33"/>
      <c r="V233" s="33"/>
      <c r="W233" s="33"/>
      <c r="X233" s="33"/>
      <c r="Y233" s="33"/>
      <c r="Z233" s="34"/>
    </row>
    <row r="234" spans="20:26" x14ac:dyDescent="0.25">
      <c r="T234" s="32"/>
      <c r="U234" s="33"/>
      <c r="V234" s="33"/>
      <c r="W234" s="33"/>
      <c r="X234" s="33"/>
      <c r="Y234" s="33"/>
      <c r="Z234" s="34"/>
    </row>
    <row r="235" spans="20:26" x14ac:dyDescent="0.25">
      <c r="T235" s="32"/>
      <c r="U235" s="33"/>
      <c r="V235" s="33"/>
      <c r="W235" s="33"/>
      <c r="X235" s="33"/>
      <c r="Y235" s="33"/>
      <c r="Z235" s="34"/>
    </row>
    <row r="236" spans="20:26" x14ac:dyDescent="0.25">
      <c r="T236" s="32"/>
      <c r="U236" s="33"/>
      <c r="V236" s="33"/>
      <c r="W236" s="33"/>
      <c r="X236" s="33"/>
      <c r="Y236" s="33"/>
      <c r="Z236" s="34"/>
    </row>
    <row r="237" spans="20:26" x14ac:dyDescent="0.25">
      <c r="T237" s="32"/>
      <c r="U237" s="33"/>
      <c r="V237" s="33"/>
      <c r="W237" s="33"/>
      <c r="X237" s="33"/>
      <c r="Y237" s="33"/>
      <c r="Z237" s="34"/>
    </row>
    <row r="238" spans="20:26" x14ac:dyDescent="0.25">
      <c r="T238" s="32"/>
      <c r="U238" s="33"/>
      <c r="V238" s="33"/>
      <c r="W238" s="33"/>
      <c r="X238" s="33"/>
      <c r="Y238" s="33"/>
      <c r="Z238" s="34"/>
    </row>
    <row r="239" spans="20:26" x14ac:dyDescent="0.25">
      <c r="T239" s="32"/>
      <c r="U239" s="33"/>
      <c r="V239" s="33"/>
      <c r="W239" s="33"/>
      <c r="X239" s="33"/>
      <c r="Y239" s="33"/>
      <c r="Z239" s="34"/>
    </row>
    <row r="240" spans="20:26" x14ac:dyDescent="0.25">
      <c r="T240" s="32"/>
      <c r="U240" s="33"/>
      <c r="V240" s="33"/>
      <c r="W240" s="33"/>
      <c r="X240" s="33"/>
      <c r="Y240" s="33"/>
      <c r="Z240" s="34"/>
    </row>
    <row r="241" spans="20:26" x14ac:dyDescent="0.25">
      <c r="T241" s="32"/>
      <c r="U241" s="33"/>
      <c r="V241" s="33"/>
      <c r="W241" s="33"/>
      <c r="X241" s="33"/>
      <c r="Y241" s="33"/>
      <c r="Z241" s="34"/>
    </row>
    <row r="242" spans="20:26" x14ac:dyDescent="0.25">
      <c r="T242" s="32"/>
      <c r="U242" s="33"/>
      <c r="V242" s="33"/>
      <c r="W242" s="33"/>
      <c r="X242" s="33"/>
      <c r="Y242" s="33"/>
      <c r="Z242" s="34"/>
    </row>
    <row r="243" spans="20:26" x14ac:dyDescent="0.25">
      <c r="T243" s="32"/>
      <c r="U243" s="33"/>
      <c r="V243" s="33"/>
      <c r="W243" s="33"/>
      <c r="X243" s="33"/>
      <c r="Y243" s="33"/>
      <c r="Z243" s="34"/>
    </row>
    <row r="244" spans="20:26" x14ac:dyDescent="0.25">
      <c r="T244" s="32"/>
      <c r="U244" s="33"/>
      <c r="V244" s="33"/>
      <c r="W244" s="33"/>
      <c r="X244" s="33"/>
      <c r="Y244" s="33"/>
      <c r="Z244" s="34"/>
    </row>
    <row r="245" spans="20:26" x14ac:dyDescent="0.25">
      <c r="T245" s="32"/>
      <c r="U245" s="33"/>
      <c r="V245" s="33"/>
      <c r="W245" s="33"/>
      <c r="X245" s="33"/>
      <c r="Y245" s="33"/>
      <c r="Z245" s="34"/>
    </row>
    <row r="246" spans="20:26" x14ac:dyDescent="0.25">
      <c r="T246" s="32"/>
      <c r="U246" s="33"/>
      <c r="V246" s="33"/>
      <c r="W246" s="33"/>
      <c r="X246" s="33"/>
      <c r="Y246" s="33"/>
      <c r="Z246" s="34"/>
    </row>
    <row r="247" spans="20:26" x14ac:dyDescent="0.25">
      <c r="T247" s="32"/>
      <c r="U247" s="33"/>
      <c r="V247" s="33"/>
      <c r="W247" s="33"/>
      <c r="X247" s="33"/>
      <c r="Y247" s="33"/>
      <c r="Z247" s="34"/>
    </row>
    <row r="248" spans="20:26" x14ac:dyDescent="0.25">
      <c r="T248" s="32"/>
      <c r="U248" s="33"/>
      <c r="V248" s="33"/>
      <c r="W248" s="33"/>
      <c r="X248" s="33"/>
      <c r="Y248" s="33"/>
      <c r="Z248" s="34"/>
    </row>
    <row r="249" spans="20:26" x14ac:dyDescent="0.25">
      <c r="T249" s="32"/>
      <c r="U249" s="33"/>
      <c r="V249" s="33"/>
      <c r="W249" s="33"/>
      <c r="X249" s="33"/>
      <c r="Y249" s="33"/>
      <c r="Z249" s="34"/>
    </row>
    <row r="250" spans="20:26" x14ac:dyDescent="0.25">
      <c r="T250" s="32"/>
      <c r="U250" s="33"/>
      <c r="V250" s="33"/>
      <c r="W250" s="33"/>
      <c r="X250" s="33"/>
      <c r="Y250" s="33"/>
      <c r="Z250" s="34"/>
    </row>
    <row r="251" spans="20:26" x14ac:dyDescent="0.25">
      <c r="T251" s="32"/>
      <c r="U251" s="33"/>
      <c r="V251" s="33"/>
      <c r="W251" s="33"/>
      <c r="X251" s="33"/>
      <c r="Y251" s="33"/>
      <c r="Z251" s="34"/>
    </row>
    <row r="252" spans="20:26" x14ac:dyDescent="0.25">
      <c r="T252" s="32"/>
      <c r="U252" s="33"/>
      <c r="V252" s="33"/>
      <c r="W252" s="33"/>
      <c r="X252" s="33"/>
      <c r="Y252" s="33"/>
      <c r="Z252" s="34"/>
    </row>
    <row r="253" spans="20:26" x14ac:dyDescent="0.25">
      <c r="T253" s="32"/>
      <c r="U253" s="33"/>
      <c r="V253" s="33"/>
      <c r="W253" s="33"/>
      <c r="X253" s="33"/>
      <c r="Y253" s="33"/>
      <c r="Z253" s="34"/>
    </row>
    <row r="254" spans="20:26" x14ac:dyDescent="0.25">
      <c r="T254" s="32"/>
      <c r="U254" s="33"/>
      <c r="V254" s="33"/>
      <c r="W254" s="33"/>
      <c r="X254" s="33"/>
      <c r="Y254" s="33"/>
      <c r="Z254" s="34"/>
    </row>
    <row r="255" spans="20:26" x14ac:dyDescent="0.25">
      <c r="T255" s="32"/>
      <c r="U255" s="33"/>
      <c r="V255" s="33"/>
      <c r="W255" s="33"/>
      <c r="X255" s="33"/>
      <c r="Y255" s="33"/>
      <c r="Z255" s="34"/>
    </row>
    <row r="256" spans="20:26" x14ac:dyDescent="0.25">
      <c r="T256" s="32"/>
      <c r="U256" s="33"/>
      <c r="V256" s="33"/>
      <c r="W256" s="33"/>
      <c r="X256" s="33"/>
      <c r="Y256" s="33"/>
      <c r="Z256" s="34"/>
    </row>
    <row r="257" spans="20:26" x14ac:dyDescent="0.25">
      <c r="T257" s="32"/>
      <c r="U257" s="33"/>
      <c r="V257" s="33"/>
      <c r="W257" s="33"/>
      <c r="X257" s="33"/>
      <c r="Y257" s="33"/>
      <c r="Z257" s="34"/>
    </row>
    <row r="258" spans="20:26" x14ac:dyDescent="0.25">
      <c r="T258" s="32"/>
      <c r="U258" s="33"/>
      <c r="V258" s="33"/>
      <c r="W258" s="33"/>
      <c r="X258" s="33"/>
      <c r="Y258" s="33"/>
      <c r="Z258" s="34"/>
    </row>
    <row r="259" spans="20:26" x14ac:dyDescent="0.25">
      <c r="T259" s="32"/>
      <c r="U259" s="33"/>
      <c r="V259" s="33"/>
      <c r="W259" s="33"/>
      <c r="X259" s="33"/>
      <c r="Y259" s="33"/>
      <c r="Z259" s="34"/>
    </row>
    <row r="260" spans="20:26" x14ac:dyDescent="0.25">
      <c r="T260" s="32"/>
      <c r="U260" s="33"/>
      <c r="V260" s="33"/>
      <c r="W260" s="33"/>
      <c r="X260" s="33"/>
      <c r="Y260" s="33"/>
      <c r="Z260" s="34"/>
    </row>
    <row r="261" spans="20:26" x14ac:dyDescent="0.25">
      <c r="T261" s="32"/>
      <c r="U261" s="33"/>
      <c r="V261" s="33"/>
      <c r="W261" s="33"/>
      <c r="X261" s="33"/>
      <c r="Y261" s="33"/>
      <c r="Z261" s="34"/>
    </row>
    <row r="262" spans="20:26" x14ac:dyDescent="0.25">
      <c r="T262" s="32"/>
      <c r="U262" s="33"/>
      <c r="V262" s="33"/>
      <c r="W262" s="33"/>
      <c r="X262" s="33"/>
      <c r="Y262" s="33"/>
      <c r="Z262" s="34"/>
    </row>
    <row r="263" spans="20:26" x14ac:dyDescent="0.25">
      <c r="T263" s="32"/>
      <c r="U263" s="33"/>
      <c r="V263" s="33"/>
      <c r="W263" s="33"/>
      <c r="X263" s="33"/>
      <c r="Y263" s="33"/>
      <c r="Z263" s="34"/>
    </row>
    <row r="264" spans="20:26" x14ac:dyDescent="0.25">
      <c r="T264" s="32"/>
      <c r="U264" s="33"/>
      <c r="V264" s="33"/>
      <c r="W264" s="33"/>
      <c r="X264" s="33"/>
      <c r="Y264" s="33"/>
      <c r="Z264" s="34"/>
    </row>
    <row r="265" spans="20:26" x14ac:dyDescent="0.25">
      <c r="T265" s="32"/>
      <c r="U265" s="33"/>
      <c r="V265" s="33"/>
      <c r="W265" s="33"/>
      <c r="X265" s="33"/>
      <c r="Y265" s="33"/>
      <c r="Z265" s="34"/>
    </row>
    <row r="266" spans="20:26" x14ac:dyDescent="0.25">
      <c r="T266" s="32"/>
      <c r="U266" s="33"/>
      <c r="V266" s="33"/>
      <c r="W266" s="33"/>
      <c r="X266" s="33"/>
      <c r="Y266" s="33"/>
      <c r="Z266" s="34"/>
    </row>
    <row r="267" spans="20:26" x14ac:dyDescent="0.25">
      <c r="T267" s="32"/>
      <c r="U267" s="33"/>
      <c r="V267" s="33"/>
      <c r="W267" s="33"/>
      <c r="X267" s="33"/>
      <c r="Y267" s="33"/>
      <c r="Z267" s="34"/>
    </row>
    <row r="268" spans="20:26" x14ac:dyDescent="0.25">
      <c r="T268" s="32"/>
      <c r="U268" s="33"/>
      <c r="V268" s="33"/>
      <c r="W268" s="33"/>
      <c r="X268" s="33"/>
      <c r="Y268" s="33"/>
      <c r="Z268" s="34"/>
    </row>
    <row r="269" spans="20:26" x14ac:dyDescent="0.25">
      <c r="T269" s="32"/>
      <c r="U269" s="33"/>
      <c r="V269" s="33"/>
      <c r="W269" s="33"/>
      <c r="X269" s="33"/>
      <c r="Y269" s="33"/>
      <c r="Z269" s="34"/>
    </row>
    <row r="270" spans="20:26" x14ac:dyDescent="0.25">
      <c r="T270" s="32"/>
      <c r="U270" s="33"/>
      <c r="V270" s="33"/>
      <c r="W270" s="33"/>
      <c r="X270" s="33"/>
      <c r="Y270" s="33"/>
      <c r="Z270" s="34"/>
    </row>
    <row r="271" spans="20:26" x14ac:dyDescent="0.25">
      <c r="T271" s="32"/>
      <c r="U271" s="33"/>
      <c r="V271" s="33"/>
      <c r="W271" s="33"/>
      <c r="X271" s="33"/>
      <c r="Y271" s="33"/>
      <c r="Z271" s="34"/>
    </row>
    <row r="272" spans="20:26" x14ac:dyDescent="0.25">
      <c r="T272" s="32"/>
      <c r="U272" s="33"/>
      <c r="V272" s="33"/>
      <c r="W272" s="33"/>
      <c r="X272" s="33"/>
      <c r="Y272" s="33"/>
      <c r="Z272" s="34"/>
    </row>
    <row r="273" spans="20:26" x14ac:dyDescent="0.25">
      <c r="T273" s="32"/>
      <c r="U273" s="33"/>
      <c r="V273" s="33"/>
      <c r="W273" s="33"/>
      <c r="X273" s="33"/>
      <c r="Y273" s="33"/>
      <c r="Z273" s="34"/>
    </row>
    <row r="274" spans="20:26" x14ac:dyDescent="0.25">
      <c r="T274" s="32"/>
      <c r="U274" s="33"/>
      <c r="V274" s="33"/>
      <c r="W274" s="33"/>
      <c r="X274" s="33"/>
      <c r="Y274" s="33"/>
      <c r="Z274" s="34"/>
    </row>
    <row r="275" spans="20:26" x14ac:dyDescent="0.25">
      <c r="T275" s="32"/>
      <c r="U275" s="33"/>
      <c r="V275" s="33"/>
      <c r="W275" s="33"/>
      <c r="X275" s="33"/>
      <c r="Y275" s="33"/>
      <c r="Z275" s="34"/>
    </row>
    <row r="276" spans="20:26" x14ac:dyDescent="0.25">
      <c r="T276" s="32"/>
      <c r="U276" s="33"/>
      <c r="V276" s="33"/>
      <c r="W276" s="33"/>
      <c r="X276" s="33"/>
      <c r="Y276" s="33"/>
      <c r="Z276" s="34"/>
    </row>
    <row r="277" spans="20:26" x14ac:dyDescent="0.25">
      <c r="T277" s="32"/>
      <c r="U277" s="33"/>
      <c r="V277" s="33"/>
      <c r="W277" s="33"/>
      <c r="X277" s="33"/>
      <c r="Y277" s="33"/>
      <c r="Z277" s="34"/>
    </row>
    <row r="278" spans="20:26" x14ac:dyDescent="0.25">
      <c r="T278" s="32"/>
      <c r="U278" s="33"/>
      <c r="V278" s="33"/>
      <c r="W278" s="33"/>
      <c r="X278" s="33"/>
      <c r="Y278" s="33"/>
      <c r="Z278" s="34"/>
    </row>
    <row r="279" spans="20:26" x14ac:dyDescent="0.25">
      <c r="T279" s="32"/>
      <c r="U279" s="33"/>
      <c r="V279" s="33"/>
      <c r="W279" s="33"/>
      <c r="X279" s="33"/>
      <c r="Y279" s="33"/>
      <c r="Z279" s="34"/>
    </row>
    <row r="280" spans="20:26" x14ac:dyDescent="0.25">
      <c r="T280" s="32"/>
      <c r="U280" s="33"/>
      <c r="V280" s="33"/>
      <c r="W280" s="33"/>
      <c r="X280" s="33"/>
      <c r="Y280" s="33"/>
      <c r="Z280" s="34"/>
    </row>
    <row r="281" spans="20:26" x14ac:dyDescent="0.25">
      <c r="T281" s="32"/>
      <c r="U281" s="33"/>
      <c r="V281" s="33"/>
      <c r="W281" s="33"/>
      <c r="X281" s="33"/>
      <c r="Y281" s="33"/>
      <c r="Z281" s="34"/>
    </row>
    <row r="282" spans="20:26" x14ac:dyDescent="0.25">
      <c r="T282" s="32"/>
      <c r="U282" s="33"/>
      <c r="V282" s="33"/>
      <c r="W282" s="33"/>
      <c r="X282" s="33"/>
      <c r="Y282" s="33"/>
      <c r="Z282" s="34"/>
    </row>
    <row r="283" spans="20:26" x14ac:dyDescent="0.25">
      <c r="T283" s="32"/>
      <c r="U283" s="33"/>
      <c r="V283" s="33"/>
      <c r="W283" s="33"/>
      <c r="X283" s="33"/>
      <c r="Y283" s="33"/>
      <c r="Z283" s="34"/>
    </row>
    <row r="284" spans="20:26" x14ac:dyDescent="0.25">
      <c r="T284" s="32"/>
      <c r="U284" s="33"/>
      <c r="V284" s="33"/>
      <c r="W284" s="33"/>
      <c r="X284" s="33"/>
      <c r="Y284" s="33"/>
      <c r="Z284" s="34"/>
    </row>
    <row r="285" spans="20:26" x14ac:dyDescent="0.25">
      <c r="T285" s="32"/>
      <c r="U285" s="33"/>
      <c r="V285" s="33"/>
      <c r="W285" s="33"/>
      <c r="X285" s="33"/>
      <c r="Y285" s="33"/>
      <c r="Z285" s="34"/>
    </row>
    <row r="286" spans="20:26" x14ac:dyDescent="0.25">
      <c r="T286" s="32"/>
      <c r="U286" s="33"/>
      <c r="V286" s="33"/>
      <c r="W286" s="33"/>
      <c r="X286" s="33"/>
      <c r="Y286" s="33"/>
      <c r="Z286" s="34"/>
    </row>
    <row r="287" spans="20:26" x14ac:dyDescent="0.25">
      <c r="T287" s="32"/>
      <c r="U287" s="33"/>
      <c r="V287" s="33"/>
      <c r="W287" s="33"/>
      <c r="X287" s="33"/>
      <c r="Y287" s="33"/>
      <c r="Z287" s="34"/>
    </row>
    <row r="288" spans="20:26" x14ac:dyDescent="0.25">
      <c r="T288" s="32"/>
      <c r="U288" s="33"/>
      <c r="V288" s="33"/>
      <c r="W288" s="33"/>
      <c r="X288" s="33"/>
      <c r="Y288" s="33"/>
      <c r="Z288" s="34"/>
    </row>
    <row r="289" spans="20:26" x14ac:dyDescent="0.25">
      <c r="T289" s="32"/>
      <c r="U289" s="33"/>
      <c r="V289" s="33"/>
      <c r="W289" s="33"/>
      <c r="X289" s="33"/>
      <c r="Y289" s="33"/>
      <c r="Z289" s="34"/>
    </row>
    <row r="290" spans="20:26" x14ac:dyDescent="0.25">
      <c r="T290" s="32"/>
      <c r="U290" s="33"/>
      <c r="V290" s="33"/>
      <c r="W290" s="33"/>
      <c r="X290" s="33"/>
      <c r="Y290" s="33"/>
      <c r="Z290" s="34"/>
    </row>
    <row r="291" spans="20:26" x14ac:dyDescent="0.25">
      <c r="T291" s="32"/>
      <c r="U291" s="33"/>
      <c r="V291" s="33"/>
      <c r="W291" s="33"/>
      <c r="X291" s="33"/>
      <c r="Y291" s="33"/>
      <c r="Z291" s="34"/>
    </row>
    <row r="292" spans="20:26" x14ac:dyDescent="0.25">
      <c r="T292" s="32"/>
      <c r="U292" s="33"/>
      <c r="V292" s="33"/>
      <c r="W292" s="33"/>
      <c r="X292" s="33"/>
      <c r="Y292" s="33"/>
      <c r="Z292" s="34"/>
    </row>
    <row r="293" spans="20:26" x14ac:dyDescent="0.25">
      <c r="T293" s="32"/>
      <c r="U293" s="33"/>
      <c r="V293" s="33"/>
      <c r="W293" s="33"/>
      <c r="X293" s="33"/>
      <c r="Y293" s="33"/>
      <c r="Z293" s="34"/>
    </row>
    <row r="294" spans="20:26" x14ac:dyDescent="0.25">
      <c r="T294" s="32"/>
      <c r="U294" s="33"/>
      <c r="V294" s="33"/>
      <c r="W294" s="33"/>
      <c r="X294" s="33"/>
      <c r="Y294" s="33"/>
      <c r="Z294" s="34"/>
    </row>
    <row r="295" spans="20:26" x14ac:dyDescent="0.25">
      <c r="T295" s="32"/>
      <c r="U295" s="33"/>
      <c r="V295" s="33"/>
      <c r="W295" s="33"/>
      <c r="X295" s="33"/>
      <c r="Y295" s="33"/>
      <c r="Z295" s="34"/>
    </row>
    <row r="296" spans="20:26" x14ac:dyDescent="0.25">
      <c r="T296" s="32"/>
      <c r="U296" s="33"/>
      <c r="V296" s="33"/>
      <c r="W296" s="33"/>
      <c r="X296" s="33"/>
      <c r="Y296" s="33"/>
      <c r="Z296" s="34"/>
    </row>
    <row r="297" spans="20:26" x14ac:dyDescent="0.25">
      <c r="T297" s="32"/>
      <c r="U297" s="33"/>
      <c r="V297" s="33"/>
      <c r="W297" s="33"/>
      <c r="X297" s="33"/>
      <c r="Y297" s="33"/>
      <c r="Z297" s="34"/>
    </row>
    <row r="298" spans="20:26" x14ac:dyDescent="0.25">
      <c r="T298" s="32"/>
      <c r="U298" s="33"/>
      <c r="V298" s="33"/>
      <c r="W298" s="33"/>
      <c r="X298" s="33"/>
      <c r="Y298" s="33"/>
      <c r="Z298" s="34"/>
    </row>
    <row r="299" spans="20:26" x14ac:dyDescent="0.25">
      <c r="T299" s="32"/>
      <c r="U299" s="33"/>
      <c r="V299" s="33"/>
      <c r="W299" s="33"/>
      <c r="X299" s="33"/>
      <c r="Y299" s="33"/>
      <c r="Z299" s="34"/>
    </row>
    <row r="300" spans="20:26" x14ac:dyDescent="0.25">
      <c r="T300" s="32"/>
      <c r="U300" s="33"/>
      <c r="V300" s="33"/>
      <c r="W300" s="33"/>
      <c r="X300" s="33"/>
      <c r="Y300" s="33"/>
      <c r="Z300" s="34"/>
    </row>
    <row r="301" spans="20:26" x14ac:dyDescent="0.25">
      <c r="T301" s="32"/>
      <c r="U301" s="33"/>
      <c r="V301" s="33"/>
      <c r="W301" s="33"/>
      <c r="X301" s="33"/>
      <c r="Y301" s="33"/>
      <c r="Z301" s="34"/>
    </row>
    <row r="302" spans="20:26" x14ac:dyDescent="0.25">
      <c r="T302" s="32"/>
      <c r="U302" s="33"/>
      <c r="V302" s="33"/>
      <c r="W302" s="33"/>
      <c r="X302" s="33"/>
      <c r="Y302" s="33"/>
      <c r="Z302" s="34"/>
    </row>
    <row r="303" spans="20:26" x14ac:dyDescent="0.25">
      <c r="T303" s="32"/>
      <c r="U303" s="33"/>
      <c r="V303" s="33"/>
      <c r="W303" s="33"/>
      <c r="X303" s="33"/>
      <c r="Y303" s="33"/>
      <c r="Z303" s="34"/>
    </row>
    <row r="304" spans="20:26" x14ac:dyDescent="0.25">
      <c r="T304" s="32"/>
      <c r="U304" s="33"/>
      <c r="V304" s="33"/>
      <c r="W304" s="33"/>
      <c r="X304" s="33"/>
      <c r="Y304" s="33"/>
      <c r="Z304" s="34"/>
    </row>
    <row r="305" spans="20:26" x14ac:dyDescent="0.25">
      <c r="T305" s="32"/>
      <c r="U305" s="33"/>
      <c r="V305" s="33"/>
      <c r="W305" s="33"/>
      <c r="X305" s="33"/>
      <c r="Y305" s="33"/>
      <c r="Z305" s="34"/>
    </row>
    <row r="306" spans="20:26" x14ac:dyDescent="0.25">
      <c r="T306" s="32"/>
      <c r="U306" s="33"/>
      <c r="V306" s="33"/>
      <c r="W306" s="33"/>
      <c r="X306" s="33"/>
      <c r="Y306" s="33"/>
      <c r="Z306" s="34"/>
    </row>
    <row r="307" spans="20:26" x14ac:dyDescent="0.25">
      <c r="T307" s="32"/>
      <c r="U307" s="33"/>
      <c r="V307" s="33"/>
      <c r="W307" s="33"/>
      <c r="X307" s="33"/>
      <c r="Y307" s="33"/>
      <c r="Z307" s="34"/>
    </row>
    <row r="308" spans="20:26" x14ac:dyDescent="0.25">
      <c r="T308" s="32"/>
      <c r="U308" s="33"/>
      <c r="V308" s="33"/>
      <c r="W308" s="33"/>
      <c r="X308" s="33"/>
      <c r="Y308" s="33"/>
      <c r="Z308" s="34"/>
    </row>
    <row r="309" spans="20:26" x14ac:dyDescent="0.25">
      <c r="T309" s="32"/>
      <c r="U309" s="33"/>
      <c r="V309" s="33"/>
      <c r="W309" s="33"/>
      <c r="X309" s="33"/>
      <c r="Y309" s="33"/>
      <c r="Z309" s="34"/>
    </row>
    <row r="310" spans="20:26" x14ac:dyDescent="0.25">
      <c r="T310" s="32"/>
      <c r="U310" s="33"/>
      <c r="V310" s="33"/>
      <c r="W310" s="33"/>
      <c r="X310" s="33"/>
      <c r="Y310" s="33"/>
      <c r="Z310" s="34"/>
    </row>
    <row r="311" spans="20:26" x14ac:dyDescent="0.25">
      <c r="T311" s="32"/>
      <c r="U311" s="33"/>
      <c r="V311" s="33"/>
      <c r="W311" s="33"/>
      <c r="X311" s="33"/>
      <c r="Y311" s="33"/>
      <c r="Z311" s="34"/>
    </row>
    <row r="312" spans="20:26" x14ac:dyDescent="0.25">
      <c r="T312" s="32"/>
      <c r="U312" s="33"/>
      <c r="V312" s="33"/>
      <c r="W312" s="33"/>
      <c r="X312" s="33"/>
      <c r="Y312" s="33"/>
      <c r="Z312" s="34"/>
    </row>
    <row r="313" spans="20:26" x14ac:dyDescent="0.25">
      <c r="T313" s="32"/>
      <c r="U313" s="33"/>
      <c r="V313" s="33"/>
      <c r="W313" s="33"/>
      <c r="X313" s="33"/>
      <c r="Y313" s="33"/>
      <c r="Z313" s="34"/>
    </row>
    <row r="314" spans="20:26" x14ac:dyDescent="0.25">
      <c r="T314" s="32"/>
      <c r="U314" s="33"/>
      <c r="V314" s="33"/>
      <c r="W314" s="33"/>
      <c r="X314" s="33"/>
      <c r="Y314" s="33"/>
      <c r="Z314" s="34"/>
    </row>
    <row r="315" spans="20:26" x14ac:dyDescent="0.25">
      <c r="T315" s="32"/>
      <c r="U315" s="33"/>
      <c r="V315" s="33"/>
      <c r="W315" s="33"/>
      <c r="X315" s="33"/>
      <c r="Y315" s="33"/>
      <c r="Z315" s="34"/>
    </row>
    <row r="316" spans="20:26" x14ac:dyDescent="0.25">
      <c r="T316" s="32"/>
      <c r="U316" s="33"/>
      <c r="V316" s="33"/>
      <c r="W316" s="33"/>
      <c r="X316" s="33"/>
      <c r="Y316" s="33"/>
      <c r="Z316" s="34"/>
    </row>
    <row r="317" spans="20:26" x14ac:dyDescent="0.25">
      <c r="T317" s="32"/>
      <c r="U317" s="33"/>
      <c r="V317" s="33"/>
      <c r="W317" s="33"/>
      <c r="X317" s="33"/>
      <c r="Y317" s="33"/>
      <c r="Z317" s="34"/>
    </row>
    <row r="318" spans="20:26" x14ac:dyDescent="0.25">
      <c r="T318" s="32"/>
      <c r="U318" s="33"/>
      <c r="V318" s="33"/>
      <c r="W318" s="33"/>
      <c r="X318" s="33"/>
      <c r="Y318" s="33"/>
      <c r="Z318" s="34"/>
    </row>
    <row r="319" spans="20:26" x14ac:dyDescent="0.25">
      <c r="T319" s="32"/>
      <c r="U319" s="33"/>
      <c r="V319" s="33"/>
      <c r="W319" s="33"/>
      <c r="X319" s="33"/>
      <c r="Y319" s="33"/>
      <c r="Z319" s="34"/>
    </row>
    <row r="320" spans="20:26" x14ac:dyDescent="0.25">
      <c r="T320" s="32"/>
      <c r="U320" s="33"/>
      <c r="V320" s="33"/>
      <c r="W320" s="33"/>
      <c r="X320" s="33"/>
      <c r="Y320" s="33"/>
      <c r="Z320" s="34"/>
    </row>
    <row r="321" spans="20:26" x14ac:dyDescent="0.25">
      <c r="T321" s="32"/>
      <c r="U321" s="33"/>
      <c r="V321" s="33"/>
      <c r="W321" s="33"/>
      <c r="X321" s="33"/>
      <c r="Y321" s="33"/>
      <c r="Z321" s="34"/>
    </row>
    <row r="322" spans="20:26" x14ac:dyDescent="0.25">
      <c r="T322" s="32"/>
      <c r="U322" s="33"/>
      <c r="V322" s="33"/>
      <c r="W322" s="33"/>
      <c r="X322" s="33"/>
      <c r="Y322" s="33"/>
      <c r="Z322" s="34"/>
    </row>
    <row r="323" spans="20:26" x14ac:dyDescent="0.25">
      <c r="T323" s="32"/>
      <c r="U323" s="33"/>
      <c r="V323" s="33"/>
      <c r="W323" s="33"/>
      <c r="X323" s="33"/>
      <c r="Y323" s="33"/>
      <c r="Z323" s="34"/>
    </row>
    <row r="324" spans="20:26" x14ac:dyDescent="0.25">
      <c r="T324" s="32"/>
      <c r="U324" s="33"/>
      <c r="V324" s="33"/>
      <c r="W324" s="33"/>
      <c r="X324" s="33"/>
      <c r="Y324" s="33"/>
      <c r="Z324" s="34"/>
    </row>
    <row r="325" spans="20:26" x14ac:dyDescent="0.25">
      <c r="T325" s="32"/>
      <c r="U325" s="33"/>
      <c r="V325" s="33"/>
      <c r="W325" s="33"/>
      <c r="X325" s="33"/>
      <c r="Y325" s="33"/>
      <c r="Z325" s="34"/>
    </row>
    <row r="326" spans="20:26" x14ac:dyDescent="0.25">
      <c r="T326" s="32"/>
      <c r="U326" s="33"/>
      <c r="V326" s="33"/>
      <c r="W326" s="33"/>
      <c r="X326" s="33"/>
      <c r="Y326" s="33"/>
      <c r="Z326" s="34"/>
    </row>
    <row r="327" spans="20:26" x14ac:dyDescent="0.25">
      <c r="T327" s="32"/>
      <c r="U327" s="33"/>
      <c r="V327" s="33"/>
      <c r="W327" s="33"/>
      <c r="X327" s="33"/>
      <c r="Y327" s="33"/>
      <c r="Z327" s="34"/>
    </row>
    <row r="328" spans="20:26" x14ac:dyDescent="0.25">
      <c r="T328" s="32"/>
      <c r="U328" s="33"/>
      <c r="V328" s="33"/>
      <c r="W328" s="33"/>
      <c r="X328" s="33"/>
      <c r="Y328" s="33"/>
      <c r="Z328" s="34"/>
    </row>
    <row r="329" spans="20:26" x14ac:dyDescent="0.25">
      <c r="T329" s="32"/>
      <c r="U329" s="33"/>
      <c r="V329" s="33"/>
      <c r="W329" s="33"/>
      <c r="X329" s="33"/>
      <c r="Y329" s="33"/>
      <c r="Z329" s="34"/>
    </row>
    <row r="330" spans="20:26" x14ac:dyDescent="0.25">
      <c r="T330" s="32"/>
      <c r="U330" s="33"/>
      <c r="V330" s="33"/>
      <c r="W330" s="33"/>
      <c r="X330" s="33"/>
      <c r="Y330" s="33"/>
      <c r="Z330" s="34"/>
    </row>
    <row r="331" spans="20:26" x14ac:dyDescent="0.25">
      <c r="T331" s="32"/>
      <c r="U331" s="33"/>
      <c r="V331" s="33"/>
      <c r="W331" s="33"/>
      <c r="X331" s="33"/>
      <c r="Y331" s="33"/>
      <c r="Z331" s="34"/>
    </row>
    <row r="332" spans="20:26" x14ac:dyDescent="0.25">
      <c r="T332" s="32"/>
      <c r="U332" s="33"/>
      <c r="V332" s="33"/>
      <c r="W332" s="33"/>
      <c r="X332" s="33"/>
      <c r="Y332" s="33"/>
      <c r="Z332" s="34"/>
    </row>
    <row r="333" spans="20:26" x14ac:dyDescent="0.25">
      <c r="T333" s="32"/>
      <c r="U333" s="33"/>
      <c r="V333" s="33"/>
      <c r="W333" s="33"/>
      <c r="X333" s="33"/>
      <c r="Y333" s="33"/>
      <c r="Z333" s="34"/>
    </row>
    <row r="334" spans="20:26" x14ac:dyDescent="0.25">
      <c r="T334" s="32"/>
      <c r="U334" s="33"/>
      <c r="V334" s="33"/>
      <c r="W334" s="33"/>
      <c r="X334" s="33"/>
      <c r="Y334" s="33"/>
      <c r="Z334" s="34"/>
    </row>
    <row r="335" spans="20:26" x14ac:dyDescent="0.25">
      <c r="T335" s="32"/>
      <c r="U335" s="33"/>
      <c r="V335" s="33"/>
      <c r="W335" s="33"/>
      <c r="X335" s="33"/>
      <c r="Y335" s="33"/>
      <c r="Z335" s="34"/>
    </row>
    <row r="336" spans="20:26" x14ac:dyDescent="0.25">
      <c r="T336" s="32"/>
      <c r="U336" s="33"/>
      <c r="V336" s="33"/>
      <c r="W336" s="33"/>
      <c r="X336" s="33"/>
      <c r="Y336" s="33"/>
      <c r="Z336" s="34"/>
    </row>
    <row r="337" spans="20:26" x14ac:dyDescent="0.25">
      <c r="T337" s="32"/>
      <c r="U337" s="33"/>
      <c r="V337" s="33"/>
      <c r="W337" s="33"/>
      <c r="X337" s="33"/>
      <c r="Y337" s="33"/>
      <c r="Z337" s="34"/>
    </row>
    <row r="338" spans="20:26" x14ac:dyDescent="0.25">
      <c r="T338" s="32"/>
      <c r="U338" s="33"/>
      <c r="V338" s="33"/>
      <c r="W338" s="33"/>
      <c r="X338" s="33"/>
      <c r="Y338" s="33"/>
      <c r="Z338" s="34"/>
    </row>
    <row r="339" spans="20:26" x14ac:dyDescent="0.25">
      <c r="T339" s="32"/>
      <c r="U339" s="33"/>
      <c r="V339" s="33"/>
      <c r="W339" s="33"/>
      <c r="X339" s="33"/>
      <c r="Y339" s="33"/>
      <c r="Z339" s="34"/>
    </row>
    <row r="340" spans="20:26" x14ac:dyDescent="0.25">
      <c r="T340" s="32"/>
      <c r="U340" s="33"/>
      <c r="V340" s="33"/>
      <c r="W340" s="33"/>
      <c r="X340" s="33"/>
      <c r="Y340" s="33"/>
      <c r="Z340" s="34"/>
    </row>
    <row r="341" spans="20:26" x14ac:dyDescent="0.25">
      <c r="T341" s="32"/>
      <c r="U341" s="33"/>
      <c r="V341" s="33"/>
      <c r="W341" s="33"/>
      <c r="X341" s="33"/>
      <c r="Y341" s="33"/>
      <c r="Z341" s="34"/>
    </row>
    <row r="342" spans="20:26" x14ac:dyDescent="0.25">
      <c r="T342" s="32"/>
      <c r="U342" s="33"/>
      <c r="V342" s="33"/>
      <c r="W342" s="33"/>
      <c r="X342" s="33"/>
      <c r="Y342" s="33"/>
      <c r="Z342" s="34"/>
    </row>
    <row r="343" spans="20:26" x14ac:dyDescent="0.25">
      <c r="T343" s="32"/>
      <c r="U343" s="33"/>
      <c r="V343" s="33"/>
      <c r="W343" s="33"/>
      <c r="X343" s="33"/>
      <c r="Y343" s="33"/>
      <c r="Z343" s="34"/>
    </row>
    <row r="344" spans="20:26" x14ac:dyDescent="0.25">
      <c r="T344" s="32"/>
      <c r="U344" s="33"/>
      <c r="V344" s="33"/>
      <c r="W344" s="33"/>
      <c r="X344" s="33"/>
      <c r="Y344" s="33"/>
      <c r="Z344" s="34"/>
    </row>
    <row r="345" spans="20:26" x14ac:dyDescent="0.25">
      <c r="T345" s="32"/>
      <c r="U345" s="33"/>
      <c r="V345" s="33"/>
      <c r="W345" s="33"/>
      <c r="X345" s="33"/>
      <c r="Y345" s="33"/>
      <c r="Z345" s="34"/>
    </row>
    <row r="346" spans="20:26" x14ac:dyDescent="0.25">
      <c r="T346" s="32"/>
      <c r="U346" s="33"/>
      <c r="V346" s="33"/>
      <c r="W346" s="33"/>
      <c r="X346" s="33"/>
      <c r="Y346" s="33"/>
      <c r="Z346" s="34"/>
    </row>
    <row r="347" spans="20:26" x14ac:dyDescent="0.25">
      <c r="T347" s="32"/>
      <c r="U347" s="33"/>
      <c r="V347" s="33"/>
      <c r="W347" s="33"/>
      <c r="X347" s="33"/>
      <c r="Y347" s="33"/>
      <c r="Z347" s="34"/>
    </row>
    <row r="348" spans="20:26" x14ac:dyDescent="0.25">
      <c r="T348" s="32"/>
      <c r="U348" s="33"/>
      <c r="V348" s="33"/>
      <c r="W348" s="33"/>
      <c r="X348" s="33"/>
      <c r="Y348" s="33"/>
      <c r="Z348" s="34"/>
    </row>
    <row r="349" spans="20:26" x14ac:dyDescent="0.25">
      <c r="T349" s="32"/>
      <c r="U349" s="33"/>
      <c r="V349" s="33"/>
      <c r="W349" s="33"/>
      <c r="X349" s="33"/>
      <c r="Y349" s="33"/>
      <c r="Z349" s="34"/>
    </row>
    <row r="350" spans="20:26" x14ac:dyDescent="0.25">
      <c r="T350" s="32"/>
      <c r="U350" s="33"/>
      <c r="V350" s="33"/>
      <c r="W350" s="33"/>
      <c r="X350" s="33"/>
      <c r="Y350" s="33"/>
      <c r="Z350" s="34"/>
    </row>
    <row r="351" spans="20:26" x14ac:dyDescent="0.25">
      <c r="T351" s="32"/>
      <c r="U351" s="33"/>
      <c r="V351" s="33"/>
      <c r="W351" s="33"/>
      <c r="X351" s="33"/>
      <c r="Y351" s="33"/>
      <c r="Z351" s="34"/>
    </row>
    <row r="352" spans="20:26" x14ac:dyDescent="0.25">
      <c r="T352" s="32"/>
      <c r="U352" s="33"/>
      <c r="V352" s="33"/>
      <c r="W352" s="33"/>
      <c r="X352" s="33"/>
      <c r="Y352" s="33"/>
      <c r="Z352" s="34"/>
    </row>
    <row r="353" spans="20:26" x14ac:dyDescent="0.25">
      <c r="T353" s="32"/>
      <c r="U353" s="33"/>
      <c r="V353" s="33"/>
      <c r="W353" s="33"/>
      <c r="X353" s="33"/>
      <c r="Y353" s="33"/>
      <c r="Z353" s="34"/>
    </row>
    <row r="354" spans="20:26" x14ac:dyDescent="0.25">
      <c r="T354" s="32"/>
      <c r="U354" s="33"/>
      <c r="V354" s="33"/>
      <c r="W354" s="33"/>
      <c r="X354" s="33"/>
      <c r="Y354" s="33"/>
      <c r="Z354" s="34"/>
    </row>
    <row r="355" spans="20:26" x14ac:dyDescent="0.25">
      <c r="T355" s="32"/>
      <c r="U355" s="33"/>
      <c r="V355" s="33"/>
      <c r="W355" s="33"/>
      <c r="X355" s="33"/>
      <c r="Y355" s="33"/>
      <c r="Z355" s="34"/>
    </row>
    <row r="356" spans="20:26" x14ac:dyDescent="0.25">
      <c r="T356" s="32"/>
      <c r="U356" s="33"/>
      <c r="V356" s="33"/>
      <c r="W356" s="33"/>
      <c r="X356" s="33"/>
      <c r="Y356" s="33"/>
      <c r="Z356" s="34"/>
    </row>
    <row r="357" spans="20:26" x14ac:dyDescent="0.25">
      <c r="T357" s="32"/>
      <c r="U357" s="33"/>
      <c r="V357" s="33"/>
      <c r="W357" s="33"/>
      <c r="X357" s="33"/>
      <c r="Y357" s="33"/>
      <c r="Z357" s="34"/>
    </row>
    <row r="358" spans="20:26" x14ac:dyDescent="0.25">
      <c r="T358" s="32"/>
      <c r="U358" s="33"/>
      <c r="V358" s="33"/>
      <c r="W358" s="33"/>
      <c r="X358" s="33"/>
      <c r="Y358" s="33"/>
      <c r="Z358" s="34"/>
    </row>
    <row r="359" spans="20:26" x14ac:dyDescent="0.25">
      <c r="T359" s="32"/>
      <c r="U359" s="33"/>
      <c r="V359" s="33"/>
      <c r="W359" s="33"/>
      <c r="X359" s="33"/>
      <c r="Y359" s="33"/>
      <c r="Z359" s="34"/>
    </row>
    <row r="360" spans="20:26" x14ac:dyDescent="0.25">
      <c r="T360" s="32"/>
      <c r="U360" s="33"/>
      <c r="V360" s="33"/>
      <c r="W360" s="33"/>
      <c r="X360" s="33"/>
      <c r="Y360" s="33"/>
      <c r="Z360" s="34"/>
    </row>
    <row r="361" spans="20:26" x14ac:dyDescent="0.25">
      <c r="T361" s="32"/>
      <c r="U361" s="33"/>
      <c r="V361" s="33"/>
      <c r="W361" s="33"/>
      <c r="X361" s="33"/>
      <c r="Y361" s="33"/>
      <c r="Z361" s="34"/>
    </row>
    <row r="362" spans="20:26" x14ac:dyDescent="0.25">
      <c r="T362" s="32"/>
      <c r="U362" s="33"/>
      <c r="V362" s="33"/>
      <c r="W362" s="33"/>
      <c r="X362" s="33"/>
      <c r="Y362" s="33"/>
      <c r="Z362" s="34"/>
    </row>
    <row r="363" spans="20:26" x14ac:dyDescent="0.25">
      <c r="T363" s="32"/>
      <c r="U363" s="33"/>
      <c r="V363" s="33"/>
      <c r="W363" s="33"/>
      <c r="X363" s="33"/>
      <c r="Y363" s="33"/>
      <c r="Z363" s="34"/>
    </row>
    <row r="364" spans="20:26" x14ac:dyDescent="0.25">
      <c r="T364" s="32"/>
      <c r="U364" s="33"/>
      <c r="V364" s="33"/>
      <c r="W364" s="33"/>
      <c r="X364" s="33"/>
      <c r="Y364" s="33"/>
      <c r="Z364" s="34"/>
    </row>
    <row r="365" spans="20:26" x14ac:dyDescent="0.25">
      <c r="T365" s="32"/>
      <c r="U365" s="33"/>
      <c r="V365" s="33"/>
      <c r="W365" s="33"/>
      <c r="X365" s="33"/>
      <c r="Y365" s="33"/>
      <c r="Z365" s="34"/>
    </row>
    <row r="366" spans="20:26" x14ac:dyDescent="0.25">
      <c r="T366" s="32"/>
      <c r="U366" s="33"/>
      <c r="V366" s="33"/>
      <c r="W366" s="33"/>
      <c r="X366" s="33"/>
      <c r="Y366" s="33"/>
      <c r="Z366" s="34"/>
    </row>
    <row r="367" spans="20:26" x14ac:dyDescent="0.25">
      <c r="T367" s="32"/>
      <c r="U367" s="33"/>
      <c r="V367" s="33"/>
      <c r="W367" s="33"/>
      <c r="X367" s="33"/>
      <c r="Y367" s="33"/>
      <c r="Z367" s="34"/>
    </row>
    <row r="368" spans="20:26" x14ac:dyDescent="0.25">
      <c r="T368" s="32"/>
      <c r="U368" s="33"/>
      <c r="V368" s="33"/>
      <c r="W368" s="33"/>
      <c r="X368" s="33"/>
      <c r="Y368" s="33"/>
      <c r="Z368" s="34"/>
    </row>
    <row r="369" spans="20:26" x14ac:dyDescent="0.25">
      <c r="T369" s="32"/>
      <c r="U369" s="33"/>
      <c r="V369" s="33"/>
      <c r="W369" s="33"/>
      <c r="X369" s="33"/>
      <c r="Y369" s="33"/>
      <c r="Z369" s="34"/>
    </row>
    <row r="370" spans="20:26" x14ac:dyDescent="0.25">
      <c r="T370" s="32"/>
      <c r="U370" s="33"/>
      <c r="V370" s="33"/>
      <c r="W370" s="33"/>
      <c r="X370" s="33"/>
      <c r="Y370" s="33"/>
      <c r="Z370" s="34"/>
    </row>
    <row r="371" spans="20:26" x14ac:dyDescent="0.25">
      <c r="T371" s="32"/>
      <c r="U371" s="33"/>
      <c r="V371" s="33"/>
      <c r="W371" s="33"/>
      <c r="X371" s="33"/>
      <c r="Y371" s="33"/>
      <c r="Z371" s="34"/>
    </row>
    <row r="372" spans="20:26" x14ac:dyDescent="0.25">
      <c r="T372" s="32"/>
      <c r="U372" s="33"/>
      <c r="V372" s="33"/>
      <c r="W372" s="33"/>
      <c r="X372" s="33"/>
      <c r="Y372" s="33"/>
      <c r="Z372" s="34"/>
    </row>
    <row r="373" spans="20:26" x14ac:dyDescent="0.25">
      <c r="T373" s="32"/>
      <c r="U373" s="33"/>
      <c r="V373" s="33"/>
      <c r="W373" s="33"/>
      <c r="X373" s="33"/>
      <c r="Y373" s="33"/>
      <c r="Z373" s="34"/>
    </row>
    <row r="374" spans="20:26" x14ac:dyDescent="0.25">
      <c r="T374" s="32"/>
      <c r="U374" s="33"/>
      <c r="V374" s="33"/>
      <c r="W374" s="33"/>
      <c r="X374" s="33"/>
      <c r="Y374" s="33"/>
      <c r="Z374" s="34"/>
    </row>
    <row r="375" spans="20:26" x14ac:dyDescent="0.25">
      <c r="T375" s="32"/>
      <c r="U375" s="33"/>
      <c r="V375" s="33"/>
      <c r="W375" s="33"/>
      <c r="X375" s="33"/>
      <c r="Y375" s="33"/>
      <c r="Z375" s="34"/>
    </row>
    <row r="376" spans="20:26" x14ac:dyDescent="0.25">
      <c r="T376" s="32"/>
      <c r="U376" s="33"/>
      <c r="V376" s="33"/>
      <c r="W376" s="33"/>
      <c r="X376" s="33"/>
      <c r="Y376" s="33"/>
      <c r="Z376" s="34"/>
    </row>
    <row r="377" spans="20:26" x14ac:dyDescent="0.25">
      <c r="T377" s="32"/>
      <c r="U377" s="33"/>
      <c r="V377" s="33"/>
      <c r="W377" s="33"/>
      <c r="X377" s="33"/>
      <c r="Y377" s="33"/>
      <c r="Z377" s="34"/>
    </row>
    <row r="378" spans="20:26" x14ac:dyDescent="0.25">
      <c r="T378" s="32"/>
      <c r="U378" s="33"/>
      <c r="V378" s="33"/>
      <c r="W378" s="33"/>
      <c r="X378" s="33"/>
      <c r="Y378" s="33"/>
      <c r="Z378" s="34"/>
    </row>
    <row r="379" spans="20:26" x14ac:dyDescent="0.25">
      <c r="T379" s="32"/>
      <c r="U379" s="33"/>
      <c r="V379" s="33"/>
      <c r="W379" s="33"/>
      <c r="X379" s="33"/>
      <c r="Y379" s="33"/>
      <c r="Z379" s="34"/>
    </row>
    <row r="380" spans="20:26" x14ac:dyDescent="0.25">
      <c r="T380" s="32"/>
      <c r="U380" s="33"/>
      <c r="V380" s="33"/>
      <c r="W380" s="33"/>
      <c r="X380" s="33"/>
      <c r="Y380" s="33"/>
      <c r="Z380" s="34"/>
    </row>
    <row r="381" spans="20:26" x14ac:dyDescent="0.25">
      <c r="T381" s="32"/>
      <c r="U381" s="33"/>
      <c r="V381" s="33"/>
      <c r="W381" s="33"/>
      <c r="X381" s="33"/>
      <c r="Y381" s="33"/>
      <c r="Z381" s="34"/>
    </row>
    <row r="382" spans="20:26" x14ac:dyDescent="0.25">
      <c r="T382" s="32"/>
      <c r="U382" s="33"/>
      <c r="V382" s="33"/>
      <c r="W382" s="33"/>
      <c r="X382" s="33"/>
      <c r="Y382" s="33"/>
      <c r="Z382" s="34"/>
    </row>
    <row r="383" spans="20:26" x14ac:dyDescent="0.25">
      <c r="T383" s="32"/>
      <c r="U383" s="33"/>
      <c r="V383" s="33"/>
      <c r="W383" s="33"/>
      <c r="X383" s="33"/>
      <c r="Y383" s="33"/>
      <c r="Z383" s="34"/>
    </row>
    <row r="384" spans="20:26" x14ac:dyDescent="0.25">
      <c r="T384" s="32"/>
      <c r="U384" s="33"/>
      <c r="V384" s="33"/>
      <c r="W384" s="33"/>
      <c r="X384" s="33"/>
      <c r="Y384" s="33"/>
      <c r="Z384" s="34"/>
    </row>
    <row r="385" spans="20:26" x14ac:dyDescent="0.25">
      <c r="T385" s="32"/>
      <c r="U385" s="33"/>
      <c r="V385" s="33"/>
      <c r="W385" s="33"/>
      <c r="X385" s="33"/>
      <c r="Y385" s="33"/>
      <c r="Z385" s="34"/>
    </row>
    <row r="386" spans="20:26" x14ac:dyDescent="0.25">
      <c r="T386" s="32"/>
      <c r="U386" s="33"/>
      <c r="V386" s="33"/>
      <c r="W386" s="33"/>
      <c r="X386" s="33"/>
      <c r="Y386" s="33"/>
      <c r="Z386" s="34"/>
    </row>
    <row r="387" spans="20:26" x14ac:dyDescent="0.25">
      <c r="T387" s="32"/>
      <c r="U387" s="33"/>
      <c r="V387" s="33"/>
      <c r="W387" s="33"/>
      <c r="X387" s="33"/>
      <c r="Y387" s="33"/>
      <c r="Z387" s="34"/>
    </row>
    <row r="388" spans="20:26" x14ac:dyDescent="0.25">
      <c r="T388" s="32"/>
      <c r="U388" s="33"/>
      <c r="V388" s="33"/>
      <c r="W388" s="33"/>
      <c r="X388" s="33"/>
      <c r="Y388" s="33"/>
      <c r="Z388" s="34"/>
    </row>
    <row r="389" spans="20:26" x14ac:dyDescent="0.25">
      <c r="T389" s="32"/>
      <c r="U389" s="33"/>
      <c r="V389" s="33"/>
      <c r="W389" s="33"/>
      <c r="X389" s="33"/>
      <c r="Y389" s="33"/>
      <c r="Z389" s="34"/>
    </row>
    <row r="390" spans="20:26" x14ac:dyDescent="0.25">
      <c r="T390" s="32"/>
      <c r="U390" s="33"/>
      <c r="V390" s="33"/>
      <c r="W390" s="33"/>
      <c r="X390" s="33"/>
      <c r="Y390" s="33"/>
      <c r="Z390" s="34"/>
    </row>
    <row r="391" spans="20:26" x14ac:dyDescent="0.25">
      <c r="T391" s="32"/>
      <c r="U391" s="33"/>
      <c r="V391" s="33"/>
      <c r="W391" s="33"/>
      <c r="X391" s="33"/>
      <c r="Y391" s="33"/>
      <c r="Z391" s="34"/>
    </row>
    <row r="392" spans="20:26" x14ac:dyDescent="0.25">
      <c r="T392" s="32"/>
      <c r="U392" s="33"/>
      <c r="V392" s="33"/>
      <c r="W392" s="33"/>
      <c r="X392" s="33"/>
      <c r="Y392" s="33"/>
      <c r="Z392" s="34"/>
    </row>
    <row r="393" spans="20:26" x14ac:dyDescent="0.25">
      <c r="T393" s="32"/>
      <c r="U393" s="33"/>
      <c r="V393" s="33"/>
      <c r="W393" s="33"/>
      <c r="X393" s="33"/>
      <c r="Y393" s="33"/>
      <c r="Z393" s="34"/>
    </row>
    <row r="394" spans="20:26" x14ac:dyDescent="0.25">
      <c r="T394" s="32"/>
      <c r="U394" s="33"/>
      <c r="V394" s="33"/>
      <c r="W394" s="33"/>
      <c r="X394" s="33"/>
      <c r="Y394" s="33"/>
      <c r="Z394" s="34"/>
    </row>
    <row r="395" spans="20:26" x14ac:dyDescent="0.25">
      <c r="T395" s="32"/>
      <c r="U395" s="33"/>
      <c r="V395" s="33"/>
      <c r="W395" s="33"/>
      <c r="X395" s="33"/>
      <c r="Y395" s="33"/>
      <c r="Z395" s="34"/>
    </row>
    <row r="396" spans="20:26" x14ac:dyDescent="0.25">
      <c r="T396" s="32"/>
      <c r="U396" s="33"/>
      <c r="V396" s="33"/>
      <c r="W396" s="33"/>
      <c r="X396" s="33"/>
      <c r="Y396" s="33"/>
      <c r="Z396" s="34"/>
    </row>
    <row r="397" spans="20:26" x14ac:dyDescent="0.25">
      <c r="T397" s="32"/>
      <c r="U397" s="33"/>
      <c r="V397" s="33"/>
      <c r="W397" s="33"/>
      <c r="X397" s="33"/>
      <c r="Y397" s="33"/>
      <c r="Z397" s="34"/>
    </row>
    <row r="398" spans="20:26" x14ac:dyDescent="0.25">
      <c r="T398" s="32"/>
      <c r="U398" s="33"/>
      <c r="V398" s="33"/>
      <c r="W398" s="33"/>
      <c r="X398" s="33"/>
      <c r="Y398" s="33"/>
      <c r="Z398" s="34"/>
    </row>
    <row r="399" spans="20:26" x14ac:dyDescent="0.25">
      <c r="T399" s="32"/>
      <c r="U399" s="33"/>
      <c r="V399" s="33"/>
      <c r="W399" s="33"/>
      <c r="X399" s="33"/>
      <c r="Y399" s="33"/>
      <c r="Z399" s="34"/>
    </row>
    <row r="400" spans="20:26" x14ac:dyDescent="0.25">
      <c r="T400" s="32"/>
      <c r="U400" s="33"/>
      <c r="V400" s="33"/>
      <c r="W400" s="33"/>
      <c r="X400" s="33"/>
      <c r="Y400" s="33"/>
      <c r="Z400" s="34"/>
    </row>
    <row r="401" spans="20:26" x14ac:dyDescent="0.25">
      <c r="T401" s="32"/>
      <c r="U401" s="33"/>
      <c r="V401" s="33"/>
      <c r="W401" s="33"/>
      <c r="X401" s="33"/>
      <c r="Y401" s="33"/>
      <c r="Z401" s="34"/>
    </row>
    <row r="402" spans="20:26" x14ac:dyDescent="0.25">
      <c r="T402" s="32"/>
      <c r="U402" s="33"/>
      <c r="V402" s="33"/>
      <c r="W402" s="33"/>
      <c r="X402" s="33"/>
      <c r="Y402" s="33"/>
      <c r="Z402" s="34"/>
    </row>
    <row r="403" spans="20:26" x14ac:dyDescent="0.25">
      <c r="T403" s="32"/>
      <c r="U403" s="33"/>
      <c r="V403" s="33"/>
      <c r="W403" s="33"/>
      <c r="X403" s="33"/>
      <c r="Y403" s="33"/>
      <c r="Z403" s="34"/>
    </row>
    <row r="404" spans="20:26" x14ac:dyDescent="0.25">
      <c r="T404" s="32"/>
      <c r="U404" s="33"/>
      <c r="V404" s="33"/>
      <c r="W404" s="33"/>
      <c r="X404" s="33"/>
      <c r="Y404" s="33"/>
      <c r="Z404" s="34"/>
    </row>
    <row r="405" spans="20:26" x14ac:dyDescent="0.25">
      <c r="T405" s="32"/>
      <c r="U405" s="33"/>
      <c r="V405" s="33"/>
      <c r="W405" s="33"/>
      <c r="X405" s="33"/>
      <c r="Y405" s="33"/>
      <c r="Z405" s="34"/>
    </row>
    <row r="406" spans="20:26" x14ac:dyDescent="0.25">
      <c r="T406" s="32"/>
      <c r="U406" s="33"/>
      <c r="V406" s="33"/>
      <c r="W406" s="33"/>
      <c r="X406" s="33"/>
      <c r="Y406" s="33"/>
      <c r="Z406" s="34"/>
    </row>
    <row r="407" spans="20:26" x14ac:dyDescent="0.25">
      <c r="T407" s="32"/>
      <c r="U407" s="33"/>
      <c r="V407" s="33"/>
      <c r="W407" s="33"/>
      <c r="X407" s="33"/>
      <c r="Y407" s="33"/>
      <c r="Z407" s="34"/>
    </row>
    <row r="408" spans="20:26" x14ac:dyDescent="0.25">
      <c r="T408" s="32"/>
      <c r="U408" s="33"/>
      <c r="V408" s="33"/>
      <c r="W408" s="33"/>
      <c r="X408" s="33"/>
      <c r="Y408" s="33"/>
      <c r="Z408" s="34"/>
    </row>
    <row r="409" spans="20:26" x14ac:dyDescent="0.25">
      <c r="T409" s="32"/>
      <c r="U409" s="33"/>
      <c r="V409" s="33"/>
      <c r="W409" s="33"/>
      <c r="X409" s="33"/>
      <c r="Y409" s="33"/>
      <c r="Z409" s="34"/>
    </row>
    <row r="410" spans="20:26" x14ac:dyDescent="0.25">
      <c r="T410" s="32"/>
      <c r="U410" s="33"/>
      <c r="V410" s="33"/>
      <c r="W410" s="33"/>
      <c r="X410" s="33"/>
      <c r="Y410" s="33"/>
      <c r="Z410" s="34"/>
    </row>
    <row r="411" spans="20:26" x14ac:dyDescent="0.25">
      <c r="T411" s="32"/>
      <c r="U411" s="33"/>
      <c r="V411" s="33"/>
      <c r="W411" s="33"/>
      <c r="X411" s="33"/>
      <c r="Y411" s="33"/>
      <c r="Z411" s="34"/>
    </row>
    <row r="412" spans="20:26" x14ac:dyDescent="0.25">
      <c r="T412" s="32"/>
      <c r="U412" s="33"/>
      <c r="V412" s="33"/>
      <c r="W412" s="33"/>
      <c r="X412" s="33"/>
      <c r="Y412" s="33"/>
      <c r="Z412" s="34"/>
    </row>
    <row r="413" spans="20:26" x14ac:dyDescent="0.25">
      <c r="T413" s="32"/>
      <c r="U413" s="33"/>
      <c r="V413" s="33"/>
      <c r="W413" s="33"/>
      <c r="X413" s="33"/>
      <c r="Y413" s="33"/>
      <c r="Z413" s="34"/>
    </row>
    <row r="414" spans="20:26" x14ac:dyDescent="0.25">
      <c r="T414" s="32"/>
      <c r="U414" s="33"/>
      <c r="V414" s="33"/>
      <c r="W414" s="33"/>
      <c r="X414" s="33"/>
      <c r="Y414" s="33"/>
      <c r="Z414" s="34"/>
    </row>
    <row r="415" spans="20:26" x14ac:dyDescent="0.25">
      <c r="T415" s="32"/>
      <c r="U415" s="33"/>
      <c r="V415" s="33"/>
      <c r="W415" s="33"/>
      <c r="X415" s="33"/>
      <c r="Y415" s="33"/>
      <c r="Z415" s="34"/>
    </row>
    <row r="416" spans="20:26" x14ac:dyDescent="0.25">
      <c r="T416" s="32"/>
      <c r="U416" s="33"/>
      <c r="V416" s="33"/>
      <c r="W416" s="33"/>
      <c r="X416" s="33"/>
      <c r="Y416" s="33"/>
      <c r="Z416" s="34"/>
    </row>
    <row r="417" spans="20:26" x14ac:dyDescent="0.25">
      <c r="T417" s="32"/>
      <c r="U417" s="33"/>
      <c r="V417" s="33"/>
      <c r="W417" s="33"/>
      <c r="X417" s="33"/>
      <c r="Y417" s="33"/>
      <c r="Z417" s="34"/>
    </row>
    <row r="418" spans="20:26" x14ac:dyDescent="0.25">
      <c r="T418" s="32"/>
      <c r="U418" s="33"/>
      <c r="V418" s="33"/>
      <c r="W418" s="33"/>
      <c r="X418" s="33"/>
      <c r="Y418" s="33"/>
      <c r="Z418" s="34"/>
    </row>
    <row r="419" spans="20:26" x14ac:dyDescent="0.25">
      <c r="T419" s="32"/>
      <c r="U419" s="33"/>
      <c r="V419" s="33"/>
      <c r="W419" s="33"/>
      <c r="X419" s="33"/>
      <c r="Y419" s="33"/>
      <c r="Z419" s="34"/>
    </row>
    <row r="420" spans="20:26" x14ac:dyDescent="0.25">
      <c r="T420" s="32"/>
      <c r="U420" s="33"/>
      <c r="V420" s="33"/>
      <c r="W420" s="33"/>
      <c r="X420" s="33"/>
      <c r="Y420" s="33"/>
      <c r="Z420" s="34"/>
    </row>
    <row r="421" spans="20:26" x14ac:dyDescent="0.25">
      <c r="T421" s="32"/>
      <c r="U421" s="33"/>
      <c r="V421" s="33"/>
      <c r="W421" s="33"/>
      <c r="X421" s="33"/>
      <c r="Y421" s="33"/>
      <c r="Z421" s="34"/>
    </row>
    <row r="422" spans="20:26" x14ac:dyDescent="0.25">
      <c r="T422" s="32"/>
      <c r="U422" s="33"/>
      <c r="V422" s="33"/>
      <c r="W422" s="33"/>
      <c r="X422" s="33"/>
      <c r="Y422" s="33"/>
      <c r="Z422" s="34"/>
    </row>
    <row r="423" spans="20:26" x14ac:dyDescent="0.25">
      <c r="T423" s="32"/>
      <c r="U423" s="33"/>
      <c r="V423" s="33"/>
      <c r="W423" s="33"/>
      <c r="X423" s="33"/>
      <c r="Y423" s="33"/>
      <c r="Z423" s="34"/>
    </row>
    <row r="424" spans="20:26" x14ac:dyDescent="0.25">
      <c r="T424" s="32"/>
      <c r="U424" s="33"/>
      <c r="V424" s="33"/>
      <c r="W424" s="33"/>
      <c r="X424" s="33"/>
      <c r="Y424" s="33"/>
      <c r="Z424" s="34"/>
    </row>
    <row r="425" spans="20:26" x14ac:dyDescent="0.25">
      <c r="T425" s="32"/>
      <c r="U425" s="33"/>
      <c r="V425" s="33"/>
      <c r="W425" s="33"/>
      <c r="X425" s="33"/>
      <c r="Y425" s="33"/>
      <c r="Z425" s="34"/>
    </row>
    <row r="426" spans="20:26" x14ac:dyDescent="0.25">
      <c r="T426" s="32"/>
      <c r="U426" s="33"/>
      <c r="V426" s="33"/>
      <c r="W426" s="33"/>
      <c r="X426" s="33"/>
      <c r="Y426" s="33"/>
      <c r="Z426" s="34"/>
    </row>
    <row r="427" spans="20:26" x14ac:dyDescent="0.25">
      <c r="T427" s="32"/>
      <c r="U427" s="33"/>
      <c r="V427" s="33"/>
      <c r="W427" s="33"/>
      <c r="X427" s="33"/>
      <c r="Y427" s="33"/>
      <c r="Z427" s="34"/>
    </row>
    <row r="428" spans="20:26" x14ac:dyDescent="0.25">
      <c r="T428" s="32"/>
      <c r="U428" s="33"/>
      <c r="V428" s="33"/>
      <c r="W428" s="33"/>
      <c r="X428" s="33"/>
      <c r="Y428" s="33"/>
      <c r="Z428" s="34"/>
    </row>
    <row r="429" spans="20:26" x14ac:dyDescent="0.25">
      <c r="T429" s="32"/>
      <c r="U429" s="33"/>
      <c r="V429" s="33"/>
      <c r="W429" s="33"/>
      <c r="X429" s="33"/>
      <c r="Y429" s="33"/>
      <c r="Z429" s="34"/>
    </row>
    <row r="430" spans="20:26" x14ac:dyDescent="0.25">
      <c r="T430" s="32"/>
      <c r="U430" s="33"/>
      <c r="V430" s="33"/>
      <c r="W430" s="33"/>
      <c r="X430" s="33"/>
      <c r="Y430" s="33"/>
      <c r="Z430" s="34"/>
    </row>
    <row r="431" spans="20:26" x14ac:dyDescent="0.25">
      <c r="T431" s="32"/>
      <c r="U431" s="33"/>
      <c r="V431" s="33"/>
      <c r="W431" s="33"/>
      <c r="X431" s="33"/>
      <c r="Y431" s="33"/>
      <c r="Z431" s="34"/>
    </row>
    <row r="432" spans="20:26" x14ac:dyDescent="0.25">
      <c r="T432" s="32"/>
      <c r="U432" s="33"/>
      <c r="V432" s="33"/>
      <c r="W432" s="33"/>
      <c r="X432" s="33"/>
      <c r="Y432" s="33"/>
      <c r="Z432" s="34"/>
    </row>
    <row r="433" spans="20:26" x14ac:dyDescent="0.25">
      <c r="T433" s="32"/>
      <c r="U433" s="33"/>
      <c r="V433" s="33"/>
      <c r="W433" s="33"/>
      <c r="X433" s="33"/>
      <c r="Y433" s="33"/>
      <c r="Z433" s="34"/>
    </row>
    <row r="434" spans="20:26" x14ac:dyDescent="0.25">
      <c r="T434" s="32"/>
      <c r="U434" s="33"/>
      <c r="V434" s="33"/>
      <c r="W434" s="33"/>
      <c r="X434" s="33"/>
      <c r="Y434" s="33"/>
      <c r="Z434" s="34"/>
    </row>
    <row r="435" spans="20:26" x14ac:dyDescent="0.25">
      <c r="T435" s="32"/>
      <c r="U435" s="33"/>
      <c r="V435" s="33"/>
      <c r="W435" s="33"/>
      <c r="X435" s="33"/>
      <c r="Y435" s="33"/>
      <c r="Z435" s="34"/>
    </row>
    <row r="436" spans="20:26" x14ac:dyDescent="0.25">
      <c r="T436" s="32"/>
      <c r="U436" s="33"/>
      <c r="V436" s="33"/>
      <c r="W436" s="33"/>
      <c r="X436" s="33"/>
      <c r="Y436" s="33"/>
      <c r="Z436" s="34"/>
    </row>
    <row r="437" spans="20:26" x14ac:dyDescent="0.25">
      <c r="T437" s="32"/>
      <c r="U437" s="33"/>
      <c r="V437" s="33"/>
      <c r="W437" s="33"/>
      <c r="X437" s="33"/>
      <c r="Y437" s="33"/>
      <c r="Z437" s="34"/>
    </row>
    <row r="438" spans="20:26" x14ac:dyDescent="0.25">
      <c r="T438" s="32"/>
      <c r="U438" s="33"/>
      <c r="V438" s="33"/>
      <c r="W438" s="33"/>
      <c r="X438" s="33"/>
      <c r="Y438" s="33"/>
      <c r="Z438" s="34"/>
    </row>
    <row r="439" spans="20:26" x14ac:dyDescent="0.25">
      <c r="T439" s="32"/>
      <c r="U439" s="33"/>
      <c r="V439" s="33"/>
      <c r="W439" s="33"/>
      <c r="X439" s="33"/>
      <c r="Y439" s="33"/>
      <c r="Z439" s="34"/>
    </row>
    <row r="440" spans="20:26" x14ac:dyDescent="0.25">
      <c r="T440" s="32"/>
      <c r="U440" s="33"/>
      <c r="V440" s="33"/>
      <c r="W440" s="33"/>
      <c r="X440" s="33"/>
      <c r="Y440" s="33"/>
      <c r="Z440" s="34"/>
    </row>
    <row r="441" spans="20:26" x14ac:dyDescent="0.25">
      <c r="T441" s="32"/>
      <c r="U441" s="33"/>
      <c r="V441" s="33"/>
      <c r="W441" s="33"/>
      <c r="X441" s="33"/>
      <c r="Y441" s="33"/>
      <c r="Z441" s="34"/>
    </row>
    <row r="442" spans="20:26" x14ac:dyDescent="0.25">
      <c r="T442" s="32"/>
      <c r="U442" s="33"/>
      <c r="V442" s="33"/>
      <c r="W442" s="33"/>
      <c r="X442" s="33"/>
      <c r="Y442" s="33"/>
      <c r="Z442" s="34"/>
    </row>
    <row r="443" spans="20:26" x14ac:dyDescent="0.25">
      <c r="T443" s="32"/>
      <c r="U443" s="33"/>
      <c r="V443" s="33"/>
      <c r="W443" s="33"/>
      <c r="X443" s="33"/>
      <c r="Y443" s="33"/>
      <c r="Z443" s="34"/>
    </row>
    <row r="444" spans="20:26" x14ac:dyDescent="0.25">
      <c r="T444" s="32"/>
      <c r="U444" s="33"/>
      <c r="V444" s="33"/>
      <c r="W444" s="33"/>
      <c r="X444" s="33"/>
      <c r="Y444" s="33"/>
      <c r="Z444" s="34"/>
    </row>
    <row r="445" spans="20:26" x14ac:dyDescent="0.25">
      <c r="T445" s="32"/>
      <c r="U445" s="33"/>
      <c r="V445" s="33"/>
      <c r="W445" s="33"/>
      <c r="X445" s="33"/>
      <c r="Y445" s="33"/>
      <c r="Z445" s="34"/>
    </row>
    <row r="446" spans="20:26" x14ac:dyDescent="0.25">
      <c r="T446" s="32"/>
      <c r="U446" s="33"/>
      <c r="V446" s="33"/>
      <c r="W446" s="33"/>
      <c r="X446" s="33"/>
      <c r="Y446" s="33"/>
      <c r="Z446" s="34"/>
    </row>
    <row r="447" spans="20:26" x14ac:dyDescent="0.25">
      <c r="T447" s="32"/>
      <c r="U447" s="33"/>
      <c r="V447" s="33"/>
      <c r="W447" s="33"/>
      <c r="X447" s="33"/>
      <c r="Y447" s="33"/>
      <c r="Z447" s="34"/>
    </row>
    <row r="448" spans="20:26" x14ac:dyDescent="0.25">
      <c r="T448" s="32"/>
      <c r="U448" s="33"/>
      <c r="V448" s="33"/>
      <c r="W448" s="33"/>
      <c r="X448" s="33"/>
      <c r="Y448" s="33"/>
      <c r="Z448" s="34"/>
    </row>
    <row r="449" spans="20:26" x14ac:dyDescent="0.25">
      <c r="T449" s="32"/>
      <c r="U449" s="33"/>
      <c r="V449" s="33"/>
      <c r="W449" s="33"/>
      <c r="X449" s="33"/>
      <c r="Y449" s="33"/>
      <c r="Z449" s="34"/>
    </row>
    <row r="450" spans="20:26" x14ac:dyDescent="0.25">
      <c r="T450" s="32"/>
      <c r="U450" s="33"/>
      <c r="V450" s="33"/>
      <c r="W450" s="33"/>
      <c r="X450" s="33"/>
      <c r="Y450" s="33"/>
      <c r="Z450" s="34"/>
    </row>
    <row r="451" spans="20:26" x14ac:dyDescent="0.25">
      <c r="T451" s="32"/>
      <c r="U451" s="33"/>
      <c r="V451" s="33"/>
      <c r="W451" s="33"/>
      <c r="X451" s="33"/>
      <c r="Y451" s="33"/>
      <c r="Z451" s="34"/>
    </row>
    <row r="452" spans="20:26" x14ac:dyDescent="0.25">
      <c r="T452" s="32"/>
      <c r="U452" s="33"/>
      <c r="V452" s="33"/>
      <c r="W452" s="33"/>
      <c r="X452" s="33"/>
      <c r="Y452" s="33"/>
      <c r="Z452" s="34"/>
    </row>
    <row r="453" spans="20:26" x14ac:dyDescent="0.25">
      <c r="T453" s="32"/>
      <c r="U453" s="33"/>
      <c r="V453" s="33"/>
      <c r="W453" s="33"/>
      <c r="X453" s="33"/>
      <c r="Y453" s="33"/>
      <c r="Z453" s="34"/>
    </row>
    <row r="454" spans="20:26" x14ac:dyDescent="0.25">
      <c r="T454" s="32"/>
      <c r="U454" s="33"/>
      <c r="V454" s="33"/>
      <c r="W454" s="33"/>
      <c r="X454" s="33"/>
      <c r="Y454" s="33"/>
      <c r="Z454" s="34"/>
    </row>
    <row r="455" spans="20:26" x14ac:dyDescent="0.25">
      <c r="T455" s="32"/>
      <c r="U455" s="33"/>
      <c r="V455" s="33"/>
      <c r="W455" s="33"/>
      <c r="X455" s="33"/>
      <c r="Y455" s="33"/>
      <c r="Z455" s="34"/>
    </row>
    <row r="456" spans="20:26" x14ac:dyDescent="0.25">
      <c r="T456" s="32"/>
      <c r="U456" s="33"/>
      <c r="V456" s="33"/>
      <c r="W456" s="33"/>
      <c r="X456" s="33"/>
      <c r="Y456" s="33"/>
      <c r="Z456" s="34"/>
    </row>
    <row r="457" spans="20:26" x14ac:dyDescent="0.25">
      <c r="T457" s="32"/>
      <c r="U457" s="33"/>
      <c r="V457" s="33"/>
      <c r="W457" s="33"/>
      <c r="X457" s="33"/>
      <c r="Y457" s="33"/>
      <c r="Z457" s="34"/>
    </row>
    <row r="458" spans="20:26" x14ac:dyDescent="0.25">
      <c r="T458" s="32"/>
      <c r="U458" s="33"/>
      <c r="V458" s="33"/>
      <c r="W458" s="33"/>
      <c r="X458" s="33"/>
      <c r="Y458" s="33"/>
      <c r="Z458" s="34"/>
    </row>
    <row r="459" spans="20:26" x14ac:dyDescent="0.25">
      <c r="T459" s="32"/>
      <c r="U459" s="33"/>
      <c r="V459" s="33"/>
      <c r="W459" s="33"/>
      <c r="X459" s="33"/>
      <c r="Y459" s="33"/>
      <c r="Z459" s="34"/>
    </row>
    <row r="460" spans="20:26" x14ac:dyDescent="0.25">
      <c r="T460" s="32"/>
      <c r="U460" s="33"/>
      <c r="V460" s="33"/>
      <c r="W460" s="33"/>
      <c r="X460" s="33"/>
      <c r="Y460" s="33"/>
      <c r="Z460" s="34"/>
    </row>
    <row r="461" spans="20:26" x14ac:dyDescent="0.25">
      <c r="T461" s="32"/>
      <c r="U461" s="33"/>
      <c r="V461" s="33"/>
      <c r="W461" s="33"/>
      <c r="X461" s="33"/>
      <c r="Y461" s="33"/>
      <c r="Z461" s="34"/>
    </row>
    <row r="462" spans="20:26" x14ac:dyDescent="0.25">
      <c r="T462" s="32"/>
      <c r="U462" s="33"/>
      <c r="V462" s="33"/>
      <c r="W462" s="33"/>
      <c r="X462" s="33"/>
      <c r="Y462" s="33"/>
      <c r="Z462" s="34"/>
    </row>
    <row r="463" spans="20:26" x14ac:dyDescent="0.25">
      <c r="T463" s="32"/>
      <c r="U463" s="33"/>
      <c r="V463" s="33"/>
      <c r="W463" s="33"/>
      <c r="X463" s="33"/>
      <c r="Y463" s="33"/>
      <c r="Z463" s="34"/>
    </row>
    <row r="464" spans="20:26" x14ac:dyDescent="0.25">
      <c r="T464" s="32"/>
      <c r="U464" s="33"/>
      <c r="V464" s="33"/>
      <c r="W464" s="33"/>
      <c r="X464" s="33"/>
      <c r="Y464" s="33"/>
      <c r="Z464" s="34"/>
    </row>
    <row r="465" spans="20:26" x14ac:dyDescent="0.25">
      <c r="T465" s="32"/>
      <c r="U465" s="33"/>
      <c r="V465" s="33"/>
      <c r="W465" s="33"/>
      <c r="X465" s="33"/>
      <c r="Y465" s="33"/>
      <c r="Z465" s="34"/>
    </row>
    <row r="466" spans="20:26" x14ac:dyDescent="0.25">
      <c r="T466" s="32"/>
      <c r="U466" s="33"/>
      <c r="V466" s="33"/>
      <c r="W466" s="33"/>
      <c r="X466" s="33"/>
      <c r="Y466" s="33"/>
      <c r="Z466" s="34"/>
    </row>
    <row r="467" spans="20:26" x14ac:dyDescent="0.25">
      <c r="T467" s="32"/>
      <c r="U467" s="33"/>
      <c r="V467" s="33"/>
      <c r="W467" s="33"/>
      <c r="X467" s="33"/>
      <c r="Y467" s="33"/>
      <c r="Z467" s="34"/>
    </row>
    <row r="468" spans="20:26" x14ac:dyDescent="0.25">
      <c r="T468" s="32"/>
      <c r="U468" s="33"/>
      <c r="V468" s="33"/>
      <c r="W468" s="33"/>
      <c r="X468" s="33"/>
      <c r="Y468" s="33"/>
      <c r="Z468" s="34"/>
    </row>
    <row r="469" spans="20:26" x14ac:dyDescent="0.25">
      <c r="T469" s="32"/>
      <c r="U469" s="33"/>
      <c r="V469" s="33"/>
      <c r="W469" s="33"/>
      <c r="X469" s="33"/>
      <c r="Y469" s="33"/>
      <c r="Z469" s="34"/>
    </row>
    <row r="470" spans="20:26" x14ac:dyDescent="0.25">
      <c r="T470" s="32"/>
      <c r="U470" s="33"/>
      <c r="V470" s="33"/>
      <c r="W470" s="33"/>
      <c r="X470" s="33"/>
      <c r="Y470" s="33"/>
      <c r="Z470" s="34"/>
    </row>
    <row r="471" spans="20:26" x14ac:dyDescent="0.25">
      <c r="T471" s="32"/>
      <c r="U471" s="33"/>
      <c r="V471" s="33"/>
      <c r="W471" s="33"/>
      <c r="X471" s="33"/>
      <c r="Y471" s="33"/>
      <c r="Z471" s="34"/>
    </row>
    <row r="472" spans="20:26" x14ac:dyDescent="0.25">
      <c r="T472" s="32"/>
      <c r="U472" s="33"/>
      <c r="V472" s="33"/>
      <c r="W472" s="33"/>
      <c r="X472" s="33"/>
      <c r="Y472" s="33"/>
      <c r="Z472" s="34"/>
    </row>
    <row r="473" spans="20:26" x14ac:dyDescent="0.25">
      <c r="T473" s="32"/>
      <c r="U473" s="33"/>
      <c r="V473" s="33"/>
      <c r="W473" s="33"/>
      <c r="X473" s="33"/>
      <c r="Y473" s="33"/>
      <c r="Z473" s="34"/>
    </row>
    <row r="474" spans="20:26" x14ac:dyDescent="0.25">
      <c r="T474" s="32"/>
      <c r="U474" s="33"/>
      <c r="V474" s="33"/>
      <c r="W474" s="33"/>
      <c r="X474" s="33"/>
      <c r="Y474" s="33"/>
      <c r="Z474" s="34"/>
    </row>
    <row r="475" spans="20:26" x14ac:dyDescent="0.25">
      <c r="T475" s="32"/>
      <c r="U475" s="33"/>
      <c r="V475" s="33"/>
      <c r="W475" s="33"/>
      <c r="X475" s="33"/>
      <c r="Y475" s="33"/>
      <c r="Z475" s="34"/>
    </row>
    <row r="476" spans="20:26" x14ac:dyDescent="0.25">
      <c r="T476" s="32"/>
      <c r="U476" s="33"/>
      <c r="V476" s="33"/>
      <c r="W476" s="33"/>
      <c r="X476" s="33"/>
      <c r="Y476" s="33"/>
      <c r="Z476" s="34"/>
    </row>
    <row r="477" spans="20:26" x14ac:dyDescent="0.25">
      <c r="T477" s="32"/>
      <c r="U477" s="33"/>
      <c r="V477" s="33"/>
      <c r="W477" s="33"/>
      <c r="X477" s="33"/>
      <c r="Y477" s="33"/>
      <c r="Z477" s="34"/>
    </row>
    <row r="478" spans="20:26" x14ac:dyDescent="0.25">
      <c r="T478" s="32"/>
      <c r="U478" s="33"/>
      <c r="V478" s="33"/>
      <c r="W478" s="33"/>
      <c r="X478" s="33"/>
      <c r="Y478" s="33"/>
      <c r="Z478" s="34"/>
    </row>
    <row r="479" spans="20:26" x14ac:dyDescent="0.25">
      <c r="T479" s="32"/>
      <c r="U479" s="33"/>
      <c r="V479" s="33"/>
      <c r="W479" s="33"/>
      <c r="X479" s="33"/>
      <c r="Y479" s="33"/>
      <c r="Z479" s="34"/>
    </row>
    <row r="480" spans="20:26" x14ac:dyDescent="0.25">
      <c r="T480" s="32"/>
      <c r="U480" s="33"/>
      <c r="V480" s="33"/>
      <c r="W480" s="33"/>
      <c r="X480" s="33"/>
      <c r="Y480" s="33"/>
      <c r="Z480" s="34"/>
    </row>
    <row r="481" spans="20:26" x14ac:dyDescent="0.25">
      <c r="T481" s="32"/>
      <c r="U481" s="33"/>
      <c r="V481" s="33"/>
      <c r="W481" s="33"/>
      <c r="X481" s="33"/>
      <c r="Y481" s="33"/>
      <c r="Z481" s="34"/>
    </row>
    <row r="482" spans="20:26" x14ac:dyDescent="0.25">
      <c r="T482" s="32"/>
      <c r="U482" s="33"/>
      <c r="V482" s="33"/>
      <c r="W482" s="33"/>
      <c r="X482" s="33"/>
      <c r="Y482" s="33"/>
      <c r="Z482" s="34"/>
    </row>
    <row r="483" spans="20:26" x14ac:dyDescent="0.25">
      <c r="T483" s="32"/>
      <c r="U483" s="33"/>
      <c r="V483" s="33"/>
      <c r="W483" s="33"/>
      <c r="X483" s="33"/>
      <c r="Y483" s="33"/>
      <c r="Z483" s="34"/>
    </row>
    <row r="484" spans="20:26" x14ac:dyDescent="0.25">
      <c r="T484" s="32"/>
      <c r="U484" s="33"/>
      <c r="V484" s="33"/>
      <c r="W484" s="33"/>
      <c r="X484" s="33"/>
      <c r="Y484" s="33"/>
      <c r="Z484" s="34"/>
    </row>
    <row r="485" spans="20:26" x14ac:dyDescent="0.25">
      <c r="T485" s="32"/>
      <c r="U485" s="33"/>
      <c r="V485" s="33"/>
      <c r="W485" s="33"/>
      <c r="X485" s="33"/>
      <c r="Y485" s="33"/>
      <c r="Z485" s="34"/>
    </row>
    <row r="486" spans="20:26" x14ac:dyDescent="0.25">
      <c r="T486" s="32"/>
      <c r="U486" s="33"/>
      <c r="V486" s="33"/>
      <c r="W486" s="33"/>
      <c r="X486" s="33"/>
      <c r="Y486" s="33"/>
      <c r="Z486" s="34"/>
    </row>
    <row r="487" spans="20:26" x14ac:dyDescent="0.25">
      <c r="T487" s="32"/>
      <c r="U487" s="33"/>
      <c r="V487" s="33"/>
      <c r="W487" s="33"/>
      <c r="X487" s="33"/>
      <c r="Y487" s="33"/>
      <c r="Z487" s="34"/>
    </row>
    <row r="488" spans="20:26" x14ac:dyDescent="0.25">
      <c r="T488" s="32"/>
      <c r="U488" s="33"/>
      <c r="V488" s="33"/>
      <c r="W488" s="33"/>
      <c r="X488" s="33"/>
      <c r="Y488" s="33"/>
      <c r="Z488" s="34"/>
    </row>
    <row r="489" spans="20:26" x14ac:dyDescent="0.25">
      <c r="T489" s="32"/>
      <c r="U489" s="33"/>
      <c r="V489" s="33"/>
      <c r="W489" s="33"/>
      <c r="X489" s="33"/>
      <c r="Y489" s="33"/>
      <c r="Z489" s="34"/>
    </row>
    <row r="490" spans="20:26" x14ac:dyDescent="0.25">
      <c r="T490" s="32"/>
      <c r="U490" s="33"/>
      <c r="V490" s="33"/>
      <c r="W490" s="33"/>
      <c r="X490" s="33"/>
      <c r="Y490" s="33"/>
      <c r="Z490" s="34"/>
    </row>
    <row r="491" spans="20:26" x14ac:dyDescent="0.25">
      <c r="T491" s="32"/>
      <c r="U491" s="33"/>
      <c r="V491" s="33"/>
      <c r="W491" s="33"/>
      <c r="X491" s="33"/>
      <c r="Y491" s="33"/>
      <c r="Z491" s="34"/>
    </row>
    <row r="492" spans="20:26" x14ac:dyDescent="0.25">
      <c r="T492" s="32"/>
      <c r="U492" s="33"/>
      <c r="V492" s="33"/>
      <c r="W492" s="33"/>
      <c r="X492" s="33"/>
      <c r="Y492" s="33"/>
      <c r="Z492" s="34"/>
    </row>
    <row r="493" spans="20:26" x14ac:dyDescent="0.25">
      <c r="T493" s="32"/>
      <c r="U493" s="33"/>
      <c r="V493" s="33"/>
      <c r="W493" s="33"/>
      <c r="X493" s="33"/>
      <c r="Y493" s="33"/>
      <c r="Z493" s="34"/>
    </row>
    <row r="494" spans="20:26" x14ac:dyDescent="0.25">
      <c r="T494" s="32"/>
      <c r="U494" s="33"/>
      <c r="V494" s="33"/>
      <c r="W494" s="33"/>
      <c r="X494" s="33"/>
      <c r="Y494" s="33"/>
      <c r="Z494" s="34"/>
    </row>
    <row r="495" spans="20:26" x14ac:dyDescent="0.25">
      <c r="T495" s="32"/>
      <c r="U495" s="33"/>
      <c r="V495" s="33"/>
      <c r="W495" s="33"/>
      <c r="X495" s="33"/>
      <c r="Y495" s="33"/>
      <c r="Z495" s="34"/>
    </row>
    <row r="496" spans="20:26" x14ac:dyDescent="0.25">
      <c r="T496" s="32"/>
      <c r="U496" s="33"/>
      <c r="V496" s="33"/>
      <c r="W496" s="33"/>
      <c r="X496" s="33"/>
      <c r="Y496" s="33"/>
      <c r="Z496" s="34"/>
    </row>
    <row r="497" spans="20:26" x14ac:dyDescent="0.25">
      <c r="T497" s="32"/>
      <c r="U497" s="33"/>
      <c r="V497" s="33"/>
      <c r="W497" s="33"/>
      <c r="X497" s="33"/>
      <c r="Y497" s="33"/>
      <c r="Z497" s="34"/>
    </row>
    <row r="498" spans="20:26" x14ac:dyDescent="0.25">
      <c r="T498" s="32"/>
      <c r="U498" s="33"/>
      <c r="V498" s="33"/>
      <c r="W498" s="33"/>
      <c r="X498" s="33"/>
      <c r="Y498" s="33"/>
      <c r="Z498" s="34"/>
    </row>
    <row r="499" spans="20:26" x14ac:dyDescent="0.25">
      <c r="T499" s="32"/>
      <c r="U499" s="33"/>
      <c r="V499" s="33"/>
      <c r="W499" s="33"/>
      <c r="X499" s="33"/>
      <c r="Y499" s="33"/>
      <c r="Z499" s="34"/>
    </row>
    <row r="500" spans="20:26" x14ac:dyDescent="0.25">
      <c r="T500" s="32"/>
      <c r="U500" s="33"/>
      <c r="V500" s="33"/>
      <c r="W500" s="33"/>
      <c r="X500" s="33"/>
      <c r="Y500" s="33"/>
      <c r="Z500" s="34"/>
    </row>
  </sheetData>
  <mergeCells count="6">
    <mergeCell ref="T10:Z10"/>
    <mergeCell ref="D7:I7"/>
    <mergeCell ref="B10:F10"/>
    <mergeCell ref="G10:J10"/>
    <mergeCell ref="K10:N10"/>
    <mergeCell ref="O10:R10"/>
  </mergeCells>
  <pageMargins left="0.7" right="0.7" top="0.75" bottom="0.75" header="0.3" footer="0.3"/>
  <pageSetup paperSize="9"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39" r:id="rId4" name="chk_Match">
          <controlPr defaultSize="0" autoLine="0" r:id="rId5">
            <anchor moveWithCells="1">
              <from>
                <xdr:col>18</xdr:col>
                <xdr:colOff>600075</xdr:colOff>
                <xdr:row>6</xdr:row>
                <xdr:rowOff>152400</xdr:rowOff>
              </from>
              <to>
                <xdr:col>22</xdr:col>
                <xdr:colOff>333375</xdr:colOff>
                <xdr:row>7</xdr:row>
                <xdr:rowOff>180975</xdr:rowOff>
              </to>
            </anchor>
          </controlPr>
        </control>
      </mc:Choice>
      <mc:Fallback>
        <control shapeId="1039" r:id="rId4" name="chk_Match"/>
      </mc:Fallback>
    </mc:AlternateContent>
    <mc:AlternateContent xmlns:mc="http://schemas.openxmlformats.org/markup-compatibility/2006">
      <mc:Choice Requires="x14">
        <control shapeId="1032" r:id="rId6" name="lVDrift">
          <controlPr defaultSize="0" autoLine="0" autoPict="0" r:id="rId7">
            <anchor moveWithCells="1">
              <from>
                <xdr:col>10</xdr:col>
                <xdr:colOff>200025</xdr:colOff>
                <xdr:row>12</xdr:row>
                <xdr:rowOff>114300</xdr:rowOff>
              </from>
              <to>
                <xdr:col>13</xdr:col>
                <xdr:colOff>381000</xdr:colOff>
                <xdr:row>74</xdr:row>
                <xdr:rowOff>180975</xdr:rowOff>
              </to>
            </anchor>
          </controlPr>
        </control>
      </mc:Choice>
      <mc:Fallback>
        <control shapeId="1032" r:id="rId6" name="lVDrift"/>
      </mc:Fallback>
    </mc:AlternateContent>
    <mc:AlternateContent xmlns:mc="http://schemas.openxmlformats.org/markup-compatibility/2006">
      <mc:Choice Requires="x14">
        <control shapeId="1027" r:id="rId8" name="lvProjects">
          <controlPr defaultSize="0" autoLine="0" autoPict="0" r:id="rId9">
            <anchor moveWithCells="1">
              <from>
                <xdr:col>1</xdr:col>
                <xdr:colOff>247650</xdr:colOff>
                <xdr:row>12</xdr:row>
                <xdr:rowOff>133350</xdr:rowOff>
              </from>
              <to>
                <xdr:col>5</xdr:col>
                <xdr:colOff>933450</xdr:colOff>
                <xdr:row>74</xdr:row>
                <xdr:rowOff>142875</xdr:rowOff>
              </to>
            </anchor>
          </controlPr>
        </control>
      </mc:Choice>
      <mc:Fallback>
        <control shapeId="1027" r:id="rId8" name="lvProjects"/>
      </mc:Fallback>
    </mc:AlternateContent>
    <mc:AlternateContent xmlns:mc="http://schemas.openxmlformats.org/markup-compatibility/2006">
      <mc:Choice Requires="x14">
        <control shapeId="1034" r:id="rId10" name="lvNozzle">
          <controlPr defaultSize="0" autoLine="0" autoPict="0" r:id="rId11">
            <anchor moveWithCells="1">
              <from>
                <xdr:col>6</xdr:col>
                <xdr:colOff>190500</xdr:colOff>
                <xdr:row>12</xdr:row>
                <xdr:rowOff>114300</xdr:rowOff>
              </from>
              <to>
                <xdr:col>9</xdr:col>
                <xdr:colOff>190500</xdr:colOff>
                <xdr:row>74</xdr:row>
                <xdr:rowOff>161925</xdr:rowOff>
              </to>
            </anchor>
          </controlPr>
        </control>
      </mc:Choice>
      <mc:Fallback>
        <control shapeId="1034" r:id="rId10" name="lvNozzle"/>
      </mc:Fallback>
    </mc:AlternateContent>
    <mc:AlternateContent xmlns:mc="http://schemas.openxmlformats.org/markup-compatibility/2006">
      <mc:Choice Requires="x14">
        <control shapeId="1035" r:id="rId12" name="txtNozzle">
          <controlPr defaultSize="0" autoLine="0" r:id="rId13">
            <anchor moveWithCells="1">
              <from>
                <xdr:col>6</xdr:col>
                <xdr:colOff>219075</xdr:colOff>
                <xdr:row>10</xdr:row>
                <xdr:rowOff>180975</xdr:rowOff>
              </from>
              <to>
                <xdr:col>7</xdr:col>
                <xdr:colOff>180975</xdr:colOff>
                <xdr:row>12</xdr:row>
                <xdr:rowOff>76200</xdr:rowOff>
              </to>
            </anchor>
          </controlPr>
        </control>
      </mc:Choice>
      <mc:Fallback>
        <control shapeId="1035" r:id="rId12" name="txtNozzle"/>
      </mc:Fallback>
    </mc:AlternateContent>
    <mc:AlternateContent xmlns:mc="http://schemas.openxmlformats.org/markup-compatibility/2006">
      <mc:Choice Requires="x14">
        <control shapeId="1037" r:id="rId14" name="lvVFS">
          <controlPr defaultSize="0" autoLine="0" autoPict="0" r:id="rId15">
            <anchor moveWithCells="1">
              <from>
                <xdr:col>14</xdr:col>
                <xdr:colOff>161925</xdr:colOff>
                <xdr:row>12</xdr:row>
                <xdr:rowOff>66675</xdr:rowOff>
              </from>
              <to>
                <xdr:col>17</xdr:col>
                <xdr:colOff>66675</xdr:colOff>
                <xdr:row>74</xdr:row>
                <xdr:rowOff>123825</xdr:rowOff>
              </to>
            </anchor>
          </controlPr>
        </control>
      </mc:Choice>
      <mc:Fallback>
        <control shapeId="1037" r:id="rId14" name="lvVFS"/>
      </mc:Fallback>
    </mc:AlternateContent>
    <mc:AlternateContent xmlns:mc="http://schemas.openxmlformats.org/markup-compatibility/2006">
      <mc:Choice Requires="x14">
        <control shapeId="1025" r:id="rId16" name="Button 1">
          <controlPr defaultSize="0" print="0" autoFill="0" autoPict="0" macro="[0]!SWANlocate">
            <anchor moveWithCells="1" sizeWithCells="1">
              <from>
                <xdr:col>9</xdr:col>
                <xdr:colOff>190500</xdr:colOff>
                <xdr:row>5</xdr:row>
                <xdr:rowOff>152400</xdr:rowOff>
              </from>
              <to>
                <xdr:col>11</xdr:col>
                <xdr:colOff>95250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7" name="Button 4">
          <controlPr defaultSize="0" print="0" autoFill="0" autoPict="0" macro="[0]!AddProjects">
            <anchor moveWithCells="1" sizeWithCells="1">
              <from>
                <xdr:col>1</xdr:col>
                <xdr:colOff>209550</xdr:colOff>
                <xdr:row>11</xdr:row>
                <xdr:rowOff>47625</xdr:rowOff>
              </from>
              <to>
                <xdr:col>4</xdr:col>
                <xdr:colOff>609600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8" name="Button 5">
          <controlPr defaultSize="0" print="0" autoFill="0" autoPict="0" macro="[0]!ListOptions">
            <anchor moveWithCells="1" sizeWithCells="1">
              <from>
                <xdr:col>10</xdr:col>
                <xdr:colOff>238125</xdr:colOff>
                <xdr:row>10</xdr:row>
                <xdr:rowOff>171450</xdr:rowOff>
              </from>
              <to>
                <xdr:col>13</xdr:col>
                <xdr:colOff>47625</xdr:colOff>
                <xdr:row>12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9" name="Button 9">
          <controlPr defaultSize="0" print="0" autoFill="0" autoPict="0" macro="[0]!LIstMit">
            <anchor moveWithCells="1" sizeWithCells="1">
              <from>
                <xdr:col>19</xdr:col>
                <xdr:colOff>104775</xdr:colOff>
                <xdr:row>10</xdr:row>
                <xdr:rowOff>85725</xdr:rowOff>
              </from>
              <to>
                <xdr:col>22</xdr:col>
                <xdr:colOff>85725</xdr:colOff>
                <xdr:row>11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20" name="Button 12">
          <controlPr defaultSize="0" print="0" autoFill="0" autoPict="0" macro="[0]!ClearNozzle">
            <anchor moveWithCells="1" sizeWithCells="1">
              <from>
                <xdr:col>7</xdr:col>
                <xdr:colOff>257175</xdr:colOff>
                <xdr:row>11</xdr:row>
                <xdr:rowOff>28575</xdr:rowOff>
              </from>
              <to>
                <xdr:col>9</xdr:col>
                <xdr:colOff>123825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1" name="Button 17">
          <controlPr defaultSize="0" print="0" autoFill="0" autoPict="0" macro="[0]!Clear_Mit_List">
            <anchor moveWithCells="1" sizeWithCells="1">
              <from>
                <xdr:col>22</xdr:col>
                <xdr:colOff>152400</xdr:colOff>
                <xdr:row>10</xdr:row>
                <xdr:rowOff>66675</xdr:rowOff>
              </from>
              <to>
                <xdr:col>25</xdr:col>
                <xdr:colOff>447675</xdr:colOff>
                <xdr:row>11</xdr:row>
                <xdr:rowOff>104775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54612-5D16-46D3-B20B-67717CFAB422}">
  <sheetPr codeName="Sheet2"/>
  <dimension ref="A1:AM71"/>
  <sheetViews>
    <sheetView workbookViewId="0">
      <selection activeCell="B2" sqref="B2:B35"/>
    </sheetView>
  </sheetViews>
  <sheetFormatPr defaultRowHeight="15" x14ac:dyDescent="0.25"/>
  <cols>
    <col min="18" max="18" width="28.5703125" bestFit="1" customWidth="1"/>
    <col min="24" max="24" width="28.5703125" bestFit="1" customWidth="1"/>
  </cols>
  <sheetData>
    <row r="1" spans="2:39" x14ac:dyDescent="0.25">
      <c r="B1" t="s">
        <v>149</v>
      </c>
      <c r="F1" t="s">
        <v>150</v>
      </c>
    </row>
    <row r="2" spans="2:39" x14ac:dyDescent="0.25">
      <c r="B2" s="1">
        <v>0.75</v>
      </c>
      <c r="F2" s="1">
        <v>0.75</v>
      </c>
      <c r="G2" s="1">
        <v>1</v>
      </c>
      <c r="H2" s="1">
        <v>1.5</v>
      </c>
      <c r="I2" s="1">
        <v>2</v>
      </c>
      <c r="J2" s="1">
        <v>2.5</v>
      </c>
      <c r="K2" s="1">
        <v>3</v>
      </c>
      <c r="L2" s="1">
        <v>4</v>
      </c>
      <c r="M2" s="1">
        <v>5</v>
      </c>
      <c r="N2" s="1">
        <v>6</v>
      </c>
      <c r="O2" s="1">
        <v>7</v>
      </c>
      <c r="P2" s="1">
        <v>8</v>
      </c>
      <c r="Q2" s="1">
        <v>9</v>
      </c>
      <c r="R2" s="1">
        <v>10</v>
      </c>
      <c r="S2" s="1">
        <v>12</v>
      </c>
      <c r="T2" s="1">
        <v>14</v>
      </c>
      <c r="U2" s="1">
        <v>15</v>
      </c>
      <c r="V2" s="1">
        <v>16</v>
      </c>
      <c r="W2" s="1">
        <v>18</v>
      </c>
      <c r="X2" s="1">
        <v>20</v>
      </c>
      <c r="Y2" s="1">
        <v>25</v>
      </c>
      <c r="Z2" s="1">
        <v>30</v>
      </c>
      <c r="AA2" s="1">
        <v>40</v>
      </c>
      <c r="AB2" s="1">
        <v>45</v>
      </c>
      <c r="AC2" s="1">
        <v>50</v>
      </c>
      <c r="AD2" s="1">
        <v>55</v>
      </c>
      <c r="AE2" s="1">
        <v>60</v>
      </c>
      <c r="AF2" s="1">
        <v>65</v>
      </c>
      <c r="AG2" s="1">
        <v>70</v>
      </c>
      <c r="AH2" s="1">
        <v>75</v>
      </c>
      <c r="AI2" s="1">
        <v>80</v>
      </c>
      <c r="AJ2" s="1">
        <v>85</v>
      </c>
      <c r="AK2" s="1">
        <v>90</v>
      </c>
      <c r="AL2" s="1">
        <v>95</v>
      </c>
      <c r="AM2" s="1">
        <v>100</v>
      </c>
    </row>
    <row r="3" spans="2:39" x14ac:dyDescent="0.25">
      <c r="B3" s="1">
        <v>1</v>
      </c>
      <c r="R3" s="3" t="s">
        <v>99</v>
      </c>
      <c r="X3" s="3" t="s">
        <v>125</v>
      </c>
    </row>
    <row r="4" spans="2:39" x14ac:dyDescent="0.25">
      <c r="B4" s="1">
        <v>1.5</v>
      </c>
      <c r="R4" s="3" t="s">
        <v>100</v>
      </c>
      <c r="X4" s="3" t="s">
        <v>126</v>
      </c>
    </row>
    <row r="5" spans="2:39" x14ac:dyDescent="0.25">
      <c r="B5" s="1">
        <v>2</v>
      </c>
      <c r="R5" s="3" t="s">
        <v>101</v>
      </c>
      <c r="X5" s="3" t="s">
        <v>127</v>
      </c>
    </row>
    <row r="6" spans="2:39" x14ac:dyDescent="0.25">
      <c r="B6" s="1">
        <v>2.5</v>
      </c>
      <c r="R6" s="3" t="s">
        <v>102</v>
      </c>
      <c r="X6" s="3" t="s">
        <v>128</v>
      </c>
    </row>
    <row r="7" spans="2:39" x14ac:dyDescent="0.25">
      <c r="B7" s="1">
        <v>3</v>
      </c>
      <c r="R7" s="3" t="s">
        <v>103</v>
      </c>
      <c r="X7" s="3" t="s">
        <v>129</v>
      </c>
    </row>
    <row r="8" spans="2:39" x14ac:dyDescent="0.25">
      <c r="B8" s="1">
        <v>4</v>
      </c>
      <c r="R8" s="3" t="s">
        <v>104</v>
      </c>
      <c r="X8" s="3" t="s">
        <v>130</v>
      </c>
    </row>
    <row r="9" spans="2:39" x14ac:dyDescent="0.25">
      <c r="B9" s="1">
        <v>5</v>
      </c>
      <c r="R9" s="3" t="s">
        <v>105</v>
      </c>
      <c r="X9" s="3" t="s">
        <v>131</v>
      </c>
    </row>
    <row r="10" spans="2:39" x14ac:dyDescent="0.25">
      <c r="B10" s="1">
        <v>6</v>
      </c>
      <c r="R10" s="3" t="s">
        <v>106</v>
      </c>
      <c r="X10" s="3" t="s">
        <v>132</v>
      </c>
    </row>
    <row r="11" spans="2:39" x14ac:dyDescent="0.25">
      <c r="B11" s="1">
        <v>7</v>
      </c>
      <c r="R11" s="3" t="s">
        <v>107</v>
      </c>
      <c r="X11" s="3" t="s">
        <v>133</v>
      </c>
    </row>
    <row r="12" spans="2:39" x14ac:dyDescent="0.25">
      <c r="B12" s="1">
        <v>8</v>
      </c>
      <c r="R12" s="3" t="s">
        <v>108</v>
      </c>
      <c r="X12" s="3" t="s">
        <v>134</v>
      </c>
    </row>
    <row r="13" spans="2:39" x14ac:dyDescent="0.25">
      <c r="B13" s="1">
        <v>9</v>
      </c>
      <c r="R13" s="3" t="s">
        <v>109</v>
      </c>
      <c r="X13" s="3" t="s">
        <v>135</v>
      </c>
    </row>
    <row r="14" spans="2:39" x14ac:dyDescent="0.25">
      <c r="B14" s="1">
        <v>10</v>
      </c>
      <c r="R14" s="3" t="s">
        <v>110</v>
      </c>
      <c r="X14" s="3" t="s">
        <v>136</v>
      </c>
    </row>
    <row r="15" spans="2:39" x14ac:dyDescent="0.25">
      <c r="B15" s="1">
        <v>12</v>
      </c>
      <c r="R15" s="3" t="s">
        <v>111</v>
      </c>
      <c r="X15" s="3" t="s">
        <v>137</v>
      </c>
    </row>
    <row r="16" spans="2:39" x14ac:dyDescent="0.25">
      <c r="B16" s="1">
        <v>14</v>
      </c>
      <c r="R16" s="3" t="s">
        <v>112</v>
      </c>
      <c r="X16" s="3" t="s">
        <v>138</v>
      </c>
    </row>
    <row r="17" spans="2:24" x14ac:dyDescent="0.25">
      <c r="B17" s="1">
        <v>15</v>
      </c>
      <c r="R17" s="3" t="s">
        <v>113</v>
      </c>
      <c r="X17" s="3" t="s">
        <v>139</v>
      </c>
    </row>
    <row r="18" spans="2:24" x14ac:dyDescent="0.25">
      <c r="B18" s="1">
        <v>16</v>
      </c>
      <c r="R18" s="3" t="s">
        <v>114</v>
      </c>
      <c r="X18" s="3" t="s">
        <v>140</v>
      </c>
    </row>
    <row r="19" spans="2:24" x14ac:dyDescent="0.25">
      <c r="B19" s="1">
        <v>18</v>
      </c>
      <c r="R19" s="3" t="s">
        <v>115</v>
      </c>
      <c r="X19" s="3" t="s">
        <v>141</v>
      </c>
    </row>
    <row r="20" spans="2:24" x14ac:dyDescent="0.25">
      <c r="B20" s="1">
        <v>20</v>
      </c>
      <c r="R20" s="3" t="s">
        <v>116</v>
      </c>
      <c r="X20" s="3" t="s">
        <v>142</v>
      </c>
    </row>
    <row r="21" spans="2:24" x14ac:dyDescent="0.25">
      <c r="B21" s="1">
        <v>25</v>
      </c>
      <c r="R21" s="3" t="s">
        <v>117</v>
      </c>
      <c r="X21" s="3" t="s">
        <v>143</v>
      </c>
    </row>
    <row r="22" spans="2:24" x14ac:dyDescent="0.25">
      <c r="B22" s="1">
        <v>30</v>
      </c>
      <c r="R22" s="3" t="s">
        <v>118</v>
      </c>
      <c r="X22" s="3" t="s">
        <v>144</v>
      </c>
    </row>
    <row r="23" spans="2:24" x14ac:dyDescent="0.25">
      <c r="B23" s="1">
        <v>40</v>
      </c>
      <c r="R23" s="3" t="s">
        <v>119</v>
      </c>
      <c r="X23" s="3" t="s">
        <v>145</v>
      </c>
    </row>
    <row r="24" spans="2:24" x14ac:dyDescent="0.25">
      <c r="B24" s="1">
        <v>45</v>
      </c>
      <c r="R24" s="3" t="s">
        <v>120</v>
      </c>
      <c r="X24" s="3" t="s">
        <v>146</v>
      </c>
    </row>
    <row r="25" spans="2:24" x14ac:dyDescent="0.25">
      <c r="B25" s="1">
        <v>50</v>
      </c>
      <c r="R25" s="3" t="s">
        <v>121</v>
      </c>
      <c r="X25" s="3" t="s">
        <v>147</v>
      </c>
    </row>
    <row r="26" spans="2:24" x14ac:dyDescent="0.25">
      <c r="B26" s="1">
        <v>55</v>
      </c>
      <c r="R26" s="3" t="s">
        <v>122</v>
      </c>
      <c r="X26" s="3" t="s">
        <v>148</v>
      </c>
    </row>
    <row r="27" spans="2:24" x14ac:dyDescent="0.25">
      <c r="B27" s="1">
        <v>60</v>
      </c>
    </row>
    <row r="28" spans="2:24" x14ac:dyDescent="0.25">
      <c r="B28" s="1">
        <v>65</v>
      </c>
    </row>
    <row r="29" spans="2:24" x14ac:dyDescent="0.25">
      <c r="B29" s="1">
        <v>70</v>
      </c>
    </row>
    <row r="30" spans="2:24" x14ac:dyDescent="0.25">
      <c r="B30" s="1">
        <v>75</v>
      </c>
    </row>
    <row r="31" spans="2:24" x14ac:dyDescent="0.25">
      <c r="B31" s="1">
        <v>80</v>
      </c>
    </row>
    <row r="32" spans="2:24" x14ac:dyDescent="0.25">
      <c r="B32" s="1">
        <v>85</v>
      </c>
    </row>
    <row r="33" spans="1:3" x14ac:dyDescent="0.25">
      <c r="B33" s="1">
        <v>90</v>
      </c>
    </row>
    <row r="34" spans="1:3" x14ac:dyDescent="0.25">
      <c r="B34" s="1">
        <v>95</v>
      </c>
    </row>
    <row r="35" spans="1:3" x14ac:dyDescent="0.25">
      <c r="B35" s="1">
        <v>100</v>
      </c>
    </row>
    <row r="47" spans="1:3" x14ac:dyDescent="0.25">
      <c r="A47" t="s">
        <v>123</v>
      </c>
      <c r="C47" t="s">
        <v>124</v>
      </c>
    </row>
    <row r="48" spans="1:3" x14ac:dyDescent="0.25">
      <c r="A48">
        <v>25</v>
      </c>
      <c r="C48" s="3">
        <f>INDEX($F3:$AM3,MATCH($A$48,$F$2:$AM$2,0))</f>
        <v>0</v>
      </c>
    </row>
    <row r="49" spans="3:3" x14ac:dyDescent="0.25">
      <c r="C49" s="3">
        <f t="shared" ref="C49:C71" si="0">INDEX($F4:$AM4,MATCH($A$48,$F$2:$AM$2,0))</f>
        <v>0</v>
      </c>
    </row>
    <row r="50" spans="3:3" x14ac:dyDescent="0.25">
      <c r="C50" s="3">
        <f t="shared" si="0"/>
        <v>0</v>
      </c>
    </row>
    <row r="51" spans="3:3" x14ac:dyDescent="0.25">
      <c r="C51" s="3">
        <f t="shared" si="0"/>
        <v>0</v>
      </c>
    </row>
    <row r="52" spans="3:3" x14ac:dyDescent="0.25">
      <c r="C52" s="3">
        <f t="shared" si="0"/>
        <v>0</v>
      </c>
    </row>
    <row r="53" spans="3:3" x14ac:dyDescent="0.25">
      <c r="C53" s="3">
        <f t="shared" si="0"/>
        <v>0</v>
      </c>
    </row>
    <row r="54" spans="3:3" x14ac:dyDescent="0.25">
      <c r="C54" s="3">
        <f t="shared" si="0"/>
        <v>0</v>
      </c>
    </row>
    <row r="55" spans="3:3" x14ac:dyDescent="0.25">
      <c r="C55" s="3">
        <f t="shared" si="0"/>
        <v>0</v>
      </c>
    </row>
    <row r="56" spans="3:3" x14ac:dyDescent="0.25">
      <c r="C56" s="3">
        <f t="shared" si="0"/>
        <v>0</v>
      </c>
    </row>
    <row r="57" spans="3:3" x14ac:dyDescent="0.25">
      <c r="C57" s="3">
        <f t="shared" si="0"/>
        <v>0</v>
      </c>
    </row>
    <row r="58" spans="3:3" x14ac:dyDescent="0.25">
      <c r="C58" s="3">
        <f t="shared" si="0"/>
        <v>0</v>
      </c>
    </row>
    <row r="59" spans="3:3" x14ac:dyDescent="0.25">
      <c r="C59" s="3">
        <f t="shared" si="0"/>
        <v>0</v>
      </c>
    </row>
    <row r="60" spans="3:3" x14ac:dyDescent="0.25">
      <c r="C60" s="3">
        <f t="shared" si="0"/>
        <v>0</v>
      </c>
    </row>
    <row r="61" spans="3:3" x14ac:dyDescent="0.25">
      <c r="C61" s="3">
        <f t="shared" si="0"/>
        <v>0</v>
      </c>
    </row>
    <row r="62" spans="3:3" x14ac:dyDescent="0.25">
      <c r="C62" s="3">
        <f t="shared" si="0"/>
        <v>0</v>
      </c>
    </row>
    <row r="63" spans="3:3" x14ac:dyDescent="0.25">
      <c r="C63" s="3">
        <f t="shared" si="0"/>
        <v>0</v>
      </c>
    </row>
    <row r="64" spans="3:3" x14ac:dyDescent="0.25">
      <c r="C64" s="3">
        <f t="shared" si="0"/>
        <v>0</v>
      </c>
    </row>
    <row r="65" spans="3:3" x14ac:dyDescent="0.25">
      <c r="C65" s="3">
        <f t="shared" si="0"/>
        <v>0</v>
      </c>
    </row>
    <row r="66" spans="3:3" x14ac:dyDescent="0.25">
      <c r="C66" s="3">
        <f t="shared" si="0"/>
        <v>0</v>
      </c>
    </row>
    <row r="67" spans="3:3" x14ac:dyDescent="0.25">
      <c r="C67" s="3">
        <f t="shared" si="0"/>
        <v>0</v>
      </c>
    </row>
    <row r="68" spans="3:3" x14ac:dyDescent="0.25">
      <c r="C68" s="3">
        <f t="shared" si="0"/>
        <v>0</v>
      </c>
    </row>
    <row r="69" spans="3:3" x14ac:dyDescent="0.25">
      <c r="C69" s="3">
        <f t="shared" si="0"/>
        <v>0</v>
      </c>
    </row>
    <row r="70" spans="3:3" x14ac:dyDescent="0.25">
      <c r="C70" s="3">
        <f t="shared" si="0"/>
        <v>0</v>
      </c>
    </row>
    <row r="71" spans="3:3" x14ac:dyDescent="0.25">
      <c r="C71" s="3">
        <f t="shared" si="0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A549-0EB1-489B-B8F6-7C3CB7B89FF1}">
  <sheetPr codeName="Sheet3"/>
  <dimension ref="B3:F38"/>
  <sheetViews>
    <sheetView workbookViewId="0">
      <selection activeCell="C5" sqref="C5:C38"/>
    </sheetView>
  </sheetViews>
  <sheetFormatPr defaultRowHeight="15" x14ac:dyDescent="0.25"/>
  <sheetData>
    <row r="3" spans="2:6" x14ac:dyDescent="0.25">
      <c r="B3" t="s">
        <v>2</v>
      </c>
      <c r="C3">
        <v>0.6</v>
      </c>
      <c r="D3">
        <v>0.6</v>
      </c>
      <c r="E3">
        <v>0.85</v>
      </c>
      <c r="F3">
        <v>0.85</v>
      </c>
    </row>
    <row r="4" spans="2:6" x14ac:dyDescent="0.25">
      <c r="B4" t="s">
        <v>3</v>
      </c>
      <c r="C4">
        <v>0.8</v>
      </c>
      <c r="D4">
        <v>0.8</v>
      </c>
      <c r="E4">
        <v>0.95</v>
      </c>
      <c r="F4">
        <v>0.95</v>
      </c>
    </row>
    <row r="5" spans="2:6" x14ac:dyDescent="0.25">
      <c r="B5" t="str">
        <f t="shared" ref="B5:B38" si="0">D5&amp;"m_VFS"</f>
        <v>0.75m_VFS</v>
      </c>
      <c r="C5" t="s">
        <v>2074</v>
      </c>
      <c r="D5" s="1">
        <v>0.75</v>
      </c>
    </row>
    <row r="6" spans="2:6" x14ac:dyDescent="0.25">
      <c r="B6" t="str">
        <f t="shared" si="0"/>
        <v>1m_VFS</v>
      </c>
      <c r="C6" t="s">
        <v>2074</v>
      </c>
      <c r="D6" s="1">
        <v>1</v>
      </c>
    </row>
    <row r="7" spans="2:6" x14ac:dyDescent="0.25">
      <c r="B7" t="str">
        <f t="shared" si="0"/>
        <v>1.5m_VFS</v>
      </c>
      <c r="C7" t="s">
        <v>2074</v>
      </c>
      <c r="D7" s="1">
        <v>1.5</v>
      </c>
    </row>
    <row r="8" spans="2:6" x14ac:dyDescent="0.25">
      <c r="B8" t="str">
        <f t="shared" si="0"/>
        <v>2m_VFS</v>
      </c>
      <c r="C8" t="s">
        <v>2074</v>
      </c>
      <c r="D8" s="1">
        <v>2</v>
      </c>
    </row>
    <row r="9" spans="2:6" x14ac:dyDescent="0.25">
      <c r="B9" t="str">
        <f t="shared" si="0"/>
        <v>2.5m_VFS</v>
      </c>
      <c r="C9" t="s">
        <v>2074</v>
      </c>
      <c r="D9" s="1">
        <v>2.5</v>
      </c>
    </row>
    <row r="10" spans="2:6" x14ac:dyDescent="0.25">
      <c r="B10" t="str">
        <f t="shared" si="0"/>
        <v>3m_VFS</v>
      </c>
      <c r="C10" t="s">
        <v>2074</v>
      </c>
      <c r="D10" s="1">
        <v>3</v>
      </c>
    </row>
    <row r="11" spans="2:6" x14ac:dyDescent="0.25">
      <c r="B11" t="str">
        <f t="shared" si="0"/>
        <v>4m_VFS</v>
      </c>
      <c r="C11" t="s">
        <v>2074</v>
      </c>
      <c r="D11" s="1">
        <v>4</v>
      </c>
    </row>
    <row r="12" spans="2:6" x14ac:dyDescent="0.25">
      <c r="B12" t="str">
        <f t="shared" si="0"/>
        <v>5m_VFS</v>
      </c>
      <c r="C12" t="s">
        <v>2074</v>
      </c>
      <c r="D12" s="1">
        <v>5</v>
      </c>
    </row>
    <row r="13" spans="2:6" x14ac:dyDescent="0.25">
      <c r="B13" t="str">
        <f t="shared" si="0"/>
        <v>6m_VFS</v>
      </c>
      <c r="C13" t="s">
        <v>2074</v>
      </c>
      <c r="D13" s="1">
        <v>6</v>
      </c>
    </row>
    <row r="14" spans="2:6" x14ac:dyDescent="0.25">
      <c r="B14" t="str">
        <f t="shared" si="0"/>
        <v>7m_VFS</v>
      </c>
      <c r="C14" t="s">
        <v>2074</v>
      </c>
      <c r="D14" s="1">
        <v>7</v>
      </c>
    </row>
    <row r="15" spans="2:6" x14ac:dyDescent="0.25">
      <c r="B15" t="str">
        <f t="shared" si="0"/>
        <v>8m_VFS</v>
      </c>
      <c r="C15" t="s">
        <v>2074</v>
      </c>
      <c r="D15" s="1">
        <v>8</v>
      </c>
    </row>
    <row r="16" spans="2:6" x14ac:dyDescent="0.25">
      <c r="B16" t="str">
        <f t="shared" si="0"/>
        <v>9m_VFS</v>
      </c>
      <c r="C16" t="s">
        <v>2074</v>
      </c>
      <c r="D16" s="1">
        <v>9</v>
      </c>
    </row>
    <row r="17" spans="2:4" x14ac:dyDescent="0.25">
      <c r="B17" t="str">
        <f t="shared" si="0"/>
        <v>10m_VFS</v>
      </c>
      <c r="C17" t="s">
        <v>2074</v>
      </c>
      <c r="D17" s="1">
        <v>10</v>
      </c>
    </row>
    <row r="18" spans="2:4" x14ac:dyDescent="0.25">
      <c r="B18" t="str">
        <f t="shared" si="0"/>
        <v>12m_VFS</v>
      </c>
      <c r="C18" t="s">
        <v>2074</v>
      </c>
      <c r="D18" s="1">
        <v>12</v>
      </c>
    </row>
    <row r="19" spans="2:4" x14ac:dyDescent="0.25">
      <c r="B19" t="str">
        <f t="shared" si="0"/>
        <v>14m_VFS</v>
      </c>
      <c r="C19" t="s">
        <v>2074</v>
      </c>
      <c r="D19" s="1">
        <v>14</v>
      </c>
    </row>
    <row r="20" spans="2:4" x14ac:dyDescent="0.25">
      <c r="B20" t="str">
        <f t="shared" si="0"/>
        <v>15m_VFS</v>
      </c>
      <c r="C20" t="s">
        <v>2074</v>
      </c>
      <c r="D20" s="1">
        <v>15</v>
      </c>
    </row>
    <row r="21" spans="2:4" x14ac:dyDescent="0.25">
      <c r="B21" t="str">
        <f t="shared" si="0"/>
        <v>16m_VFS</v>
      </c>
      <c r="C21" t="s">
        <v>2074</v>
      </c>
      <c r="D21" s="1">
        <v>16</v>
      </c>
    </row>
    <row r="22" spans="2:4" x14ac:dyDescent="0.25">
      <c r="B22" t="str">
        <f t="shared" si="0"/>
        <v>18m_VFS</v>
      </c>
      <c r="C22" t="s">
        <v>2074</v>
      </c>
      <c r="D22" s="1">
        <v>18</v>
      </c>
    </row>
    <row r="23" spans="2:4" x14ac:dyDescent="0.25">
      <c r="B23" t="str">
        <f t="shared" si="0"/>
        <v>20m_VFS</v>
      </c>
      <c r="C23" t="s">
        <v>2074</v>
      </c>
      <c r="D23" s="1">
        <v>20</v>
      </c>
    </row>
    <row r="24" spans="2:4" x14ac:dyDescent="0.25">
      <c r="B24" t="str">
        <f t="shared" si="0"/>
        <v>25m_VFS</v>
      </c>
      <c r="C24" t="s">
        <v>2074</v>
      </c>
      <c r="D24" s="1">
        <v>25</v>
      </c>
    </row>
    <row r="25" spans="2:4" x14ac:dyDescent="0.25">
      <c r="B25" t="str">
        <f t="shared" si="0"/>
        <v>30m_VFS</v>
      </c>
      <c r="C25" t="s">
        <v>2074</v>
      </c>
      <c r="D25" s="1">
        <v>30</v>
      </c>
    </row>
    <row r="26" spans="2:4" x14ac:dyDescent="0.25">
      <c r="B26" t="str">
        <f t="shared" si="0"/>
        <v>40m_VFS</v>
      </c>
      <c r="C26" t="s">
        <v>2074</v>
      </c>
      <c r="D26" s="1">
        <v>40</v>
      </c>
    </row>
    <row r="27" spans="2:4" x14ac:dyDescent="0.25">
      <c r="B27" t="str">
        <f t="shared" si="0"/>
        <v>45m_VFS</v>
      </c>
      <c r="C27" t="s">
        <v>2074</v>
      </c>
      <c r="D27" s="1">
        <v>45</v>
      </c>
    </row>
    <row r="28" spans="2:4" x14ac:dyDescent="0.25">
      <c r="B28" t="str">
        <f t="shared" si="0"/>
        <v>50m_VFS</v>
      </c>
      <c r="C28" t="s">
        <v>2074</v>
      </c>
      <c r="D28" s="1">
        <v>50</v>
      </c>
    </row>
    <row r="29" spans="2:4" x14ac:dyDescent="0.25">
      <c r="B29" t="str">
        <f t="shared" si="0"/>
        <v>55m_VFS</v>
      </c>
      <c r="C29" t="s">
        <v>2074</v>
      </c>
      <c r="D29" s="1">
        <v>55</v>
      </c>
    </row>
    <row r="30" spans="2:4" x14ac:dyDescent="0.25">
      <c r="B30" t="str">
        <f t="shared" si="0"/>
        <v>60m_VFS</v>
      </c>
      <c r="C30" t="s">
        <v>2074</v>
      </c>
      <c r="D30" s="1">
        <v>60</v>
      </c>
    </row>
    <row r="31" spans="2:4" x14ac:dyDescent="0.25">
      <c r="B31" t="str">
        <f t="shared" si="0"/>
        <v>65m_VFS</v>
      </c>
      <c r="C31" t="s">
        <v>2074</v>
      </c>
      <c r="D31" s="1">
        <v>65</v>
      </c>
    </row>
    <row r="32" spans="2:4" x14ac:dyDescent="0.25">
      <c r="B32" t="str">
        <f t="shared" si="0"/>
        <v>70m_VFS</v>
      </c>
      <c r="C32" t="s">
        <v>2074</v>
      </c>
      <c r="D32" s="1">
        <v>70</v>
      </c>
    </row>
    <row r="33" spans="2:4" x14ac:dyDescent="0.25">
      <c r="B33" t="str">
        <f t="shared" si="0"/>
        <v>75m_VFS</v>
      </c>
      <c r="C33" t="s">
        <v>2074</v>
      </c>
      <c r="D33" s="1">
        <v>75</v>
      </c>
    </row>
    <row r="34" spans="2:4" x14ac:dyDescent="0.25">
      <c r="B34" t="str">
        <f t="shared" si="0"/>
        <v>80m_VFS</v>
      </c>
      <c r="C34" t="s">
        <v>2074</v>
      </c>
      <c r="D34" s="1">
        <v>80</v>
      </c>
    </row>
    <row r="35" spans="2:4" x14ac:dyDescent="0.25">
      <c r="B35" t="str">
        <f t="shared" si="0"/>
        <v>85m_VFS</v>
      </c>
      <c r="C35" t="s">
        <v>2074</v>
      </c>
      <c r="D35" s="1">
        <v>85</v>
      </c>
    </row>
    <row r="36" spans="2:4" x14ac:dyDescent="0.25">
      <c r="B36" t="str">
        <f t="shared" si="0"/>
        <v>90m_VFS</v>
      </c>
      <c r="C36" t="s">
        <v>2074</v>
      </c>
      <c r="D36" s="1">
        <v>90</v>
      </c>
    </row>
    <row r="37" spans="2:4" x14ac:dyDescent="0.25">
      <c r="B37" t="str">
        <f t="shared" si="0"/>
        <v>95m_VFS</v>
      </c>
      <c r="C37" t="s">
        <v>2074</v>
      </c>
      <c r="D37" s="1">
        <v>95</v>
      </c>
    </row>
    <row r="38" spans="2:4" x14ac:dyDescent="0.25">
      <c r="B38" t="str">
        <f t="shared" si="0"/>
        <v>100m_VFS</v>
      </c>
      <c r="C38" t="s">
        <v>2074</v>
      </c>
      <c r="D38" s="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AB500-D76B-4D2D-BBF4-63EA745F0DD9}">
  <sheetPr codeName="Sheet4"/>
  <dimension ref="B1:AE2284"/>
  <sheetViews>
    <sheetView zoomScaleNormal="100" workbookViewId="0">
      <selection activeCell="A27" sqref="A27"/>
    </sheetView>
  </sheetViews>
  <sheetFormatPr defaultRowHeight="15" x14ac:dyDescent="0.25"/>
  <cols>
    <col min="1" max="1" width="9.140625" style="8"/>
    <col min="2" max="2" width="58.28515625" style="8" customWidth="1"/>
    <col min="3" max="3" width="3" style="8" customWidth="1"/>
    <col min="4" max="4" width="19.5703125" style="8" customWidth="1"/>
    <col min="5" max="5" width="18.5703125" style="8" bestFit="1" customWidth="1"/>
    <col min="6" max="6" width="3.42578125" style="8" customWidth="1"/>
    <col min="7" max="7" width="16.7109375" style="8" bestFit="1" customWidth="1"/>
    <col min="8" max="8" width="20.85546875" style="8" bestFit="1" customWidth="1"/>
    <col min="9" max="9" width="18" style="8" bestFit="1" customWidth="1"/>
    <col min="10" max="10" width="20.42578125" style="8" bestFit="1" customWidth="1"/>
    <col min="11" max="11" width="9.140625" style="8"/>
    <col min="12" max="12" width="57.42578125" style="8" bestFit="1" customWidth="1"/>
    <col min="13" max="13" width="30.85546875" style="8" customWidth="1"/>
    <col min="14" max="14" width="8.85546875" style="8" bestFit="1" customWidth="1"/>
    <col min="15" max="15" width="10.42578125" style="8" bestFit="1" customWidth="1"/>
    <col min="16" max="16" width="10.5703125" style="8" bestFit="1" customWidth="1"/>
    <col min="17" max="17" width="10.42578125" style="8" bestFit="1" customWidth="1"/>
    <col min="18" max="18" width="10.5703125" style="8" bestFit="1" customWidth="1"/>
    <col min="19" max="19" width="8.7109375" style="8" bestFit="1" customWidth="1"/>
    <col min="20" max="23" width="10.42578125" style="8" bestFit="1" customWidth="1"/>
    <col min="24" max="27" width="9.140625" style="8"/>
    <col min="28" max="28" width="11.42578125" style="8" bestFit="1" customWidth="1"/>
    <col min="29" max="29" width="9" style="8" bestFit="1" customWidth="1"/>
    <col min="30" max="31" width="6.5703125" style="8" bestFit="1" customWidth="1"/>
    <col min="32" max="16384" width="9.140625" style="8"/>
  </cols>
  <sheetData>
    <row r="1" spans="2:31" s="4" customFormat="1" ht="48.75" customHeight="1" x14ac:dyDescent="0.25"/>
    <row r="2" spans="2:31" s="21" customFormat="1" ht="4.5" customHeight="1" x14ac:dyDescent="0.25"/>
    <row r="3" spans="2:31" s="19" customFormat="1" ht="4.5" customHeight="1" x14ac:dyDescent="0.25"/>
    <row r="4" spans="2:31" s="22" customFormat="1" ht="4.5" customHeight="1" x14ac:dyDescent="0.25"/>
    <row r="5" spans="2:31" s="6" customFormat="1" ht="36" x14ac:dyDescent="0.55000000000000004">
      <c r="B5" s="5" t="s">
        <v>152</v>
      </c>
    </row>
    <row r="6" spans="2:31" ht="23.25" x14ac:dyDescent="0.35">
      <c r="B6" s="7" t="s">
        <v>16</v>
      </c>
    </row>
    <row r="7" spans="2:31" x14ac:dyDescent="0.25">
      <c r="B7" s="9" t="s">
        <v>96</v>
      </c>
      <c r="C7" s="20">
        <v>8</v>
      </c>
    </row>
    <row r="8" spans="2:31" ht="17.25" customHeight="1" x14ac:dyDescent="0.25">
      <c r="B8" s="8" t="s">
        <v>2073</v>
      </c>
    </row>
    <row r="9" spans="2:31" ht="27" customHeight="1" x14ac:dyDescent="0.25"/>
    <row r="10" spans="2:31" x14ac:dyDescent="0.25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</row>
    <row r="11" spans="2:31" s="11" customFormat="1" x14ac:dyDescent="0.25">
      <c r="B11" s="12" t="s">
        <v>7</v>
      </c>
      <c r="C11" s="13"/>
      <c r="D11" s="371" t="s">
        <v>9</v>
      </c>
      <c r="E11" s="371"/>
      <c r="F11" s="371"/>
      <c r="G11" s="371" t="s">
        <v>10</v>
      </c>
      <c r="H11" s="371"/>
      <c r="I11" s="371"/>
      <c r="J11" s="371"/>
      <c r="L11" s="15" t="s">
        <v>89</v>
      </c>
      <c r="M11" s="15" t="s">
        <v>63</v>
      </c>
      <c r="N11" s="372" t="s">
        <v>93</v>
      </c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15" t="s">
        <v>90</v>
      </c>
      <c r="AC11" s="15" t="s">
        <v>92</v>
      </c>
      <c r="AD11" s="15" t="s">
        <v>91</v>
      </c>
      <c r="AE11" s="15" t="s">
        <v>219</v>
      </c>
    </row>
    <row r="12" spans="2:31" s="11" customFormat="1" x14ac:dyDescent="0.25">
      <c r="B12" s="14"/>
      <c r="C12" s="13"/>
      <c r="D12" s="13" t="s">
        <v>15</v>
      </c>
      <c r="E12" s="13" t="s">
        <v>8</v>
      </c>
      <c r="F12" s="13"/>
      <c r="G12" s="13" t="s">
        <v>11</v>
      </c>
      <c r="H12" s="13" t="s">
        <v>12</v>
      </c>
      <c r="I12" s="13" t="s">
        <v>13</v>
      </c>
      <c r="J12" s="13" t="s">
        <v>14</v>
      </c>
      <c r="L12" s="18"/>
      <c r="M12" s="18"/>
      <c r="N12" s="16">
        <v>1</v>
      </c>
      <c r="O12" s="17">
        <v>2</v>
      </c>
      <c r="P12" s="17">
        <v>3</v>
      </c>
      <c r="Q12" s="17">
        <v>4</v>
      </c>
      <c r="R12" s="17">
        <v>5</v>
      </c>
      <c r="S12" s="17">
        <v>6</v>
      </c>
      <c r="T12" s="17">
        <v>7</v>
      </c>
      <c r="U12" s="17">
        <v>8</v>
      </c>
      <c r="V12" s="17">
        <v>9</v>
      </c>
      <c r="W12" s="17">
        <v>10</v>
      </c>
      <c r="X12" s="17">
        <v>11</v>
      </c>
      <c r="Y12" s="17">
        <v>12</v>
      </c>
      <c r="Z12" s="17">
        <v>13</v>
      </c>
      <c r="AA12" s="17">
        <v>14</v>
      </c>
      <c r="AB12" s="18"/>
      <c r="AC12" s="18"/>
      <c r="AD12" s="18"/>
      <c r="AE12" s="18" t="s">
        <v>220</v>
      </c>
    </row>
    <row r="13" spans="2:31" x14ac:dyDescent="0.25">
      <c r="B13" s="2"/>
      <c r="C13" s="19"/>
      <c r="D13" s="2"/>
      <c r="E13" s="2"/>
      <c r="F13" s="19"/>
      <c r="G13" s="2"/>
      <c r="H13" s="2"/>
      <c r="I13" s="2"/>
      <c r="J13" s="2"/>
      <c r="L13" s="20"/>
      <c r="M13" s="35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</row>
    <row r="14" spans="2:31" x14ac:dyDescent="0.25">
      <c r="B14" s="2"/>
      <c r="C14" s="19"/>
      <c r="D14" s="2"/>
      <c r="E14" s="2"/>
      <c r="F14" s="19"/>
      <c r="G14" s="2"/>
      <c r="H14" s="2"/>
      <c r="I14" s="2"/>
      <c r="J14" s="2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</row>
    <row r="15" spans="2:31" x14ac:dyDescent="0.25">
      <c r="B15" s="2"/>
      <c r="C15" s="19"/>
      <c r="D15" s="2"/>
      <c r="E15" s="2"/>
      <c r="F15" s="19"/>
      <c r="G15" s="2"/>
      <c r="H15" s="2"/>
      <c r="I15" s="2"/>
      <c r="J15" s="2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</row>
    <row r="16" spans="2:31" x14ac:dyDescent="0.25">
      <c r="B16" s="2"/>
      <c r="C16" s="19"/>
      <c r="D16" s="2"/>
      <c r="E16" s="2"/>
      <c r="F16" s="19"/>
      <c r="G16" s="2"/>
      <c r="H16" s="2"/>
      <c r="I16" s="2"/>
      <c r="J16" s="2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</row>
    <row r="17" spans="2:31" x14ac:dyDescent="0.25">
      <c r="B17" s="2"/>
      <c r="C17" s="19"/>
      <c r="D17" s="2"/>
      <c r="E17" s="2"/>
      <c r="F17" s="19"/>
      <c r="G17" s="2"/>
      <c r="H17" s="2"/>
      <c r="I17" s="2"/>
      <c r="J17" s="2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</row>
    <row r="18" spans="2:31" x14ac:dyDescent="0.25">
      <c r="B18" s="2"/>
      <c r="C18" s="19"/>
      <c r="D18" s="2"/>
      <c r="E18" s="2"/>
      <c r="F18" s="19"/>
      <c r="G18" s="2"/>
      <c r="H18" s="2"/>
      <c r="I18" s="2"/>
      <c r="J18" s="2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</row>
    <row r="19" spans="2:31" x14ac:dyDescent="0.25">
      <c r="B19" s="2"/>
      <c r="C19" s="19"/>
      <c r="D19" s="2"/>
      <c r="E19" s="2"/>
      <c r="F19" s="19"/>
      <c r="G19" s="2"/>
      <c r="H19" s="2"/>
      <c r="I19" s="2"/>
      <c r="J19" s="2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</row>
    <row r="20" spans="2:31" x14ac:dyDescent="0.25">
      <c r="B20" s="2"/>
      <c r="C20" s="19"/>
      <c r="D20" s="2"/>
      <c r="E20" s="2"/>
      <c r="F20" s="19"/>
      <c r="G20" s="2"/>
      <c r="H20" s="2"/>
      <c r="I20" s="2"/>
      <c r="J20" s="2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</row>
    <row r="21" spans="2:31" x14ac:dyDescent="0.25">
      <c r="B21" s="2"/>
      <c r="C21" s="19"/>
      <c r="D21" s="2"/>
      <c r="E21" s="2"/>
      <c r="F21" s="19"/>
      <c r="G21" s="2"/>
      <c r="H21" s="2"/>
      <c r="I21" s="2"/>
      <c r="J21" s="2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</row>
    <row r="22" spans="2:31" x14ac:dyDescent="0.25">
      <c r="B22" s="2"/>
      <c r="C22" s="19"/>
      <c r="D22" s="2"/>
      <c r="E22" s="2"/>
      <c r="F22" s="19"/>
      <c r="G22" s="2"/>
      <c r="H22" s="2"/>
      <c r="I22" s="2"/>
      <c r="J22" s="2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</row>
    <row r="23" spans="2:31" x14ac:dyDescent="0.25">
      <c r="B23" s="2"/>
      <c r="C23" s="19"/>
      <c r="D23" s="2"/>
      <c r="E23" s="2"/>
      <c r="F23" s="19"/>
      <c r="G23" s="2"/>
      <c r="H23" s="2"/>
      <c r="I23" s="2"/>
      <c r="J23" s="2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</row>
    <row r="24" spans="2:31" x14ac:dyDescent="0.25">
      <c r="B24" s="2"/>
      <c r="C24" s="19"/>
      <c r="D24" s="2"/>
      <c r="E24" s="2"/>
      <c r="F24" s="19"/>
      <c r="G24" s="2"/>
      <c r="H24" s="2"/>
      <c r="I24" s="2"/>
      <c r="J24" s="2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</row>
    <row r="25" spans="2:31" x14ac:dyDescent="0.25">
      <c r="B25" s="2"/>
      <c r="C25" s="19"/>
      <c r="D25" s="2"/>
      <c r="E25" s="2"/>
      <c r="F25" s="19"/>
      <c r="G25" s="2"/>
      <c r="H25" s="2"/>
      <c r="I25" s="2"/>
      <c r="J25" s="2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</row>
    <row r="26" spans="2:31" x14ac:dyDescent="0.25">
      <c r="B26" s="2"/>
      <c r="C26" s="19"/>
      <c r="D26" s="2"/>
      <c r="E26" s="2"/>
      <c r="F26" s="19"/>
      <c r="G26" s="2"/>
      <c r="H26" s="2"/>
      <c r="I26" s="2"/>
      <c r="J26" s="2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</row>
    <row r="27" spans="2:31" x14ac:dyDescent="0.25">
      <c r="B27" s="2"/>
      <c r="C27" s="19"/>
      <c r="D27" s="2"/>
      <c r="E27" s="2"/>
      <c r="F27" s="19"/>
      <c r="G27" s="2"/>
      <c r="H27" s="2"/>
      <c r="I27" s="2"/>
      <c r="J27" s="2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</row>
    <row r="28" spans="2:31" x14ac:dyDescent="0.25">
      <c r="B28" s="2"/>
      <c r="C28" s="19"/>
      <c r="D28" s="2"/>
      <c r="E28" s="2"/>
      <c r="F28" s="19"/>
      <c r="G28" s="2"/>
      <c r="H28" s="2"/>
      <c r="I28" s="2"/>
      <c r="J28" s="2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</row>
    <row r="29" spans="2:31" x14ac:dyDescent="0.25">
      <c r="B29" s="2"/>
      <c r="C29" s="19"/>
      <c r="D29" s="2"/>
      <c r="E29" s="2"/>
      <c r="F29" s="19"/>
      <c r="G29" s="2"/>
      <c r="H29" s="2"/>
      <c r="I29" s="2"/>
      <c r="J29" s="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</row>
    <row r="30" spans="2:31" x14ac:dyDescent="0.25">
      <c r="B30" s="2"/>
      <c r="C30" s="19"/>
      <c r="D30" s="2"/>
      <c r="E30" s="2"/>
      <c r="F30" s="19"/>
      <c r="G30" s="2"/>
      <c r="H30" s="2"/>
      <c r="I30" s="2"/>
      <c r="J30" s="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</row>
    <row r="31" spans="2:31" x14ac:dyDescent="0.25">
      <c r="B31" s="2"/>
      <c r="C31" s="19"/>
      <c r="D31" s="2"/>
      <c r="E31" s="2"/>
      <c r="F31" s="19"/>
      <c r="G31" s="2"/>
      <c r="H31" s="2"/>
      <c r="I31" s="2"/>
      <c r="J31" s="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</row>
    <row r="32" spans="2:31" x14ac:dyDescent="0.25">
      <c r="B32" s="2"/>
      <c r="C32" s="19"/>
      <c r="D32" s="2"/>
      <c r="E32" s="2"/>
      <c r="F32" s="19"/>
      <c r="G32" s="2"/>
      <c r="H32" s="2"/>
      <c r="I32" s="2"/>
      <c r="J32" s="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</row>
    <row r="33" spans="2:31" x14ac:dyDescent="0.25">
      <c r="B33" s="2"/>
      <c r="C33" s="19"/>
      <c r="D33" s="2"/>
      <c r="E33" s="2"/>
      <c r="F33" s="19"/>
      <c r="G33" s="2"/>
      <c r="H33" s="2"/>
      <c r="I33" s="2"/>
      <c r="J33" s="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</row>
    <row r="34" spans="2:31" x14ac:dyDescent="0.25">
      <c r="B34" s="2"/>
      <c r="C34" s="19"/>
      <c r="D34" s="2"/>
      <c r="E34" s="2"/>
      <c r="F34" s="19"/>
      <c r="G34" s="2"/>
      <c r="H34" s="2"/>
      <c r="I34" s="2"/>
      <c r="J34" s="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</row>
    <row r="35" spans="2:31" x14ac:dyDescent="0.25">
      <c r="B35" s="2"/>
      <c r="C35" s="19"/>
      <c r="D35" s="2"/>
      <c r="E35" s="2"/>
      <c r="F35" s="19"/>
      <c r="G35" s="2"/>
      <c r="H35" s="2"/>
      <c r="I35" s="2"/>
      <c r="J35" s="2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</row>
    <row r="36" spans="2:31" x14ac:dyDescent="0.25">
      <c r="B36" s="2"/>
      <c r="C36" s="19"/>
      <c r="D36" s="2"/>
      <c r="E36" s="2"/>
      <c r="F36" s="19"/>
      <c r="G36" s="2"/>
      <c r="H36" s="2"/>
      <c r="I36" s="2"/>
      <c r="J36" s="2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</row>
    <row r="37" spans="2:31" x14ac:dyDescent="0.25">
      <c r="B37" s="2"/>
      <c r="C37" s="19"/>
      <c r="D37" s="2"/>
      <c r="E37" s="2"/>
      <c r="F37" s="19"/>
      <c r="G37" s="2"/>
      <c r="H37" s="2"/>
      <c r="I37" s="2"/>
      <c r="J37" s="2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</row>
    <row r="38" spans="2:31" x14ac:dyDescent="0.25">
      <c r="B38" s="2"/>
      <c r="C38" s="19"/>
      <c r="D38" s="2"/>
      <c r="E38" s="2"/>
      <c r="F38" s="19"/>
      <c r="G38" s="2"/>
      <c r="H38" s="2"/>
      <c r="I38" s="2"/>
      <c r="J38" s="2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</row>
    <row r="39" spans="2:31" x14ac:dyDescent="0.25">
      <c r="B39" s="2"/>
      <c r="C39" s="19"/>
      <c r="D39" s="2"/>
      <c r="E39" s="2"/>
      <c r="F39" s="19"/>
      <c r="G39" s="2"/>
      <c r="H39" s="2"/>
      <c r="I39" s="2"/>
      <c r="J39" s="2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</row>
    <row r="40" spans="2:31" x14ac:dyDescent="0.25">
      <c r="B40" s="2"/>
      <c r="C40" s="19"/>
      <c r="D40" s="2"/>
      <c r="E40" s="2"/>
      <c r="F40" s="19"/>
      <c r="G40" s="2"/>
      <c r="H40" s="2"/>
      <c r="I40" s="2"/>
      <c r="J40" s="2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</row>
    <row r="41" spans="2:31" x14ac:dyDescent="0.25">
      <c r="B41" s="2"/>
      <c r="C41" s="19"/>
      <c r="D41" s="2"/>
      <c r="E41" s="2"/>
      <c r="F41" s="19"/>
      <c r="G41" s="2"/>
      <c r="H41" s="2"/>
      <c r="I41" s="2"/>
      <c r="J41" s="2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</row>
    <row r="42" spans="2:31" x14ac:dyDescent="0.25">
      <c r="B42" s="2"/>
      <c r="C42" s="19"/>
      <c r="D42" s="2"/>
      <c r="E42" s="2"/>
      <c r="F42" s="19"/>
      <c r="G42" s="2"/>
      <c r="H42" s="2"/>
      <c r="I42" s="2"/>
      <c r="J42" s="2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</row>
    <row r="43" spans="2:31" x14ac:dyDescent="0.25">
      <c r="B43" s="2"/>
      <c r="C43" s="19"/>
      <c r="D43" s="2"/>
      <c r="E43" s="2"/>
      <c r="F43" s="19"/>
      <c r="G43" s="2"/>
      <c r="H43" s="2"/>
      <c r="I43" s="2"/>
      <c r="J43" s="2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</row>
    <row r="44" spans="2:31" x14ac:dyDescent="0.25">
      <c r="B44" s="2"/>
      <c r="C44" s="19"/>
      <c r="D44" s="2"/>
      <c r="E44" s="2"/>
      <c r="F44" s="19"/>
      <c r="G44" s="2"/>
      <c r="H44" s="2"/>
      <c r="I44" s="2"/>
      <c r="J44" s="2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</row>
    <row r="45" spans="2:31" x14ac:dyDescent="0.25">
      <c r="B45" s="2"/>
      <c r="C45" s="19"/>
      <c r="D45" s="2"/>
      <c r="E45" s="2"/>
      <c r="F45" s="19"/>
      <c r="G45" s="2"/>
      <c r="H45" s="2"/>
      <c r="I45" s="2"/>
      <c r="J45" s="2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</row>
    <row r="46" spans="2:31" x14ac:dyDescent="0.25">
      <c r="B46" s="2"/>
      <c r="C46" s="19"/>
      <c r="D46" s="2"/>
      <c r="E46" s="2"/>
      <c r="F46" s="19"/>
      <c r="G46" s="2"/>
      <c r="H46" s="2"/>
      <c r="I46" s="2"/>
      <c r="J46" s="2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</row>
    <row r="47" spans="2:31" x14ac:dyDescent="0.25">
      <c r="B47" s="2"/>
      <c r="C47" s="19"/>
      <c r="D47" s="2"/>
      <c r="E47" s="2"/>
      <c r="F47" s="19"/>
      <c r="G47" s="2"/>
      <c r="H47" s="2"/>
      <c r="I47" s="2"/>
      <c r="J47" s="2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</row>
    <row r="48" spans="2:31" x14ac:dyDescent="0.25">
      <c r="B48" s="2"/>
      <c r="C48" s="19"/>
      <c r="D48" s="2"/>
      <c r="E48" s="2"/>
      <c r="F48" s="19"/>
      <c r="G48" s="2"/>
      <c r="H48" s="2"/>
      <c r="I48" s="2"/>
      <c r="J48" s="2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</row>
    <row r="49" spans="2:31" x14ac:dyDescent="0.25">
      <c r="B49" s="2"/>
      <c r="C49" s="19"/>
      <c r="D49" s="2"/>
      <c r="E49" s="2"/>
      <c r="F49" s="19"/>
      <c r="G49" s="2"/>
      <c r="H49" s="2"/>
      <c r="I49" s="2"/>
      <c r="J49" s="2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</row>
    <row r="50" spans="2:31" x14ac:dyDescent="0.25">
      <c r="B50" s="2"/>
      <c r="C50" s="19"/>
      <c r="D50" s="2"/>
      <c r="E50" s="2"/>
      <c r="F50" s="19"/>
      <c r="G50" s="2"/>
      <c r="H50" s="2"/>
      <c r="I50" s="2"/>
      <c r="J50" s="2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</row>
    <row r="51" spans="2:31" x14ac:dyDescent="0.25">
      <c r="B51" s="2"/>
      <c r="C51" s="19"/>
      <c r="D51" s="2"/>
      <c r="E51" s="2"/>
      <c r="F51" s="19"/>
      <c r="G51" s="2"/>
      <c r="H51" s="2"/>
      <c r="I51" s="2"/>
      <c r="J51" s="2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</row>
    <row r="52" spans="2:31" x14ac:dyDescent="0.25">
      <c r="B52" s="2"/>
      <c r="C52" s="19"/>
      <c r="D52" s="2"/>
      <c r="E52" s="2"/>
      <c r="F52" s="19"/>
      <c r="G52" s="2"/>
      <c r="H52" s="2"/>
      <c r="I52" s="2"/>
      <c r="J52" s="2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</row>
    <row r="53" spans="2:31" x14ac:dyDescent="0.25">
      <c r="B53" s="2"/>
      <c r="C53" s="19"/>
      <c r="D53" s="2"/>
      <c r="E53" s="2"/>
      <c r="F53" s="19"/>
      <c r="G53" s="2"/>
      <c r="H53" s="2"/>
      <c r="I53" s="2"/>
      <c r="J53" s="2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</row>
    <row r="54" spans="2:31" x14ac:dyDescent="0.25">
      <c r="B54" s="2"/>
      <c r="C54" s="19"/>
      <c r="D54" s="2"/>
      <c r="E54" s="2"/>
      <c r="F54" s="19"/>
      <c r="G54" s="2"/>
      <c r="H54" s="2"/>
      <c r="I54" s="2"/>
      <c r="J54" s="2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</row>
    <row r="55" spans="2:31" x14ac:dyDescent="0.25">
      <c r="B55" s="2"/>
      <c r="C55" s="19"/>
      <c r="D55" s="2"/>
      <c r="E55" s="2"/>
      <c r="F55" s="19"/>
      <c r="G55" s="2"/>
      <c r="H55" s="2"/>
      <c r="I55" s="2"/>
      <c r="J55" s="2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</row>
    <row r="56" spans="2:31" x14ac:dyDescent="0.25">
      <c r="B56" s="2"/>
      <c r="C56" s="19"/>
      <c r="D56" s="2"/>
      <c r="E56" s="2"/>
      <c r="F56" s="19"/>
      <c r="G56" s="2"/>
      <c r="H56" s="2"/>
      <c r="I56" s="2"/>
      <c r="J56" s="2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</row>
    <row r="57" spans="2:31" x14ac:dyDescent="0.25">
      <c r="B57" s="2"/>
      <c r="C57" s="19"/>
      <c r="D57" s="2"/>
      <c r="E57" s="2"/>
      <c r="F57" s="19"/>
      <c r="G57" s="2"/>
      <c r="H57" s="2"/>
      <c r="I57" s="2"/>
      <c r="J57" s="2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</row>
    <row r="58" spans="2:31" x14ac:dyDescent="0.25">
      <c r="B58" s="2"/>
      <c r="C58" s="19"/>
      <c r="D58" s="2"/>
      <c r="E58" s="2"/>
      <c r="F58" s="19"/>
      <c r="G58" s="2"/>
      <c r="H58" s="2"/>
      <c r="I58" s="2"/>
      <c r="J58" s="2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</row>
    <row r="59" spans="2:31" x14ac:dyDescent="0.25">
      <c r="B59" s="2"/>
      <c r="C59" s="19"/>
      <c r="D59" s="2"/>
      <c r="E59" s="2"/>
      <c r="F59" s="19"/>
      <c r="G59" s="2"/>
      <c r="H59" s="2"/>
      <c r="I59" s="2"/>
      <c r="J59" s="2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</row>
    <row r="60" spans="2:31" x14ac:dyDescent="0.25">
      <c r="B60" s="2"/>
      <c r="C60" s="19"/>
      <c r="D60" s="2"/>
      <c r="E60" s="2"/>
      <c r="F60" s="19"/>
      <c r="G60" s="2"/>
      <c r="H60" s="2"/>
      <c r="I60" s="2"/>
      <c r="J60" s="2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</row>
    <row r="61" spans="2:31" x14ac:dyDescent="0.25">
      <c r="B61" s="2"/>
      <c r="C61" s="19"/>
      <c r="D61" s="2"/>
      <c r="E61" s="2"/>
      <c r="F61" s="19"/>
      <c r="G61" s="2"/>
      <c r="H61" s="2"/>
      <c r="I61" s="2"/>
      <c r="J61" s="2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</row>
    <row r="62" spans="2:31" x14ac:dyDescent="0.25">
      <c r="B62" s="2"/>
      <c r="C62" s="19"/>
      <c r="D62" s="2"/>
      <c r="E62" s="2"/>
      <c r="F62" s="19"/>
      <c r="G62" s="2"/>
      <c r="H62" s="2"/>
      <c r="I62" s="2"/>
      <c r="J62" s="2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</row>
    <row r="63" spans="2:31" x14ac:dyDescent="0.25">
      <c r="B63" s="2"/>
      <c r="C63" s="19"/>
      <c r="D63" s="2"/>
      <c r="E63" s="2"/>
      <c r="F63" s="19"/>
      <c r="G63" s="2"/>
      <c r="H63" s="2"/>
      <c r="I63" s="2"/>
      <c r="J63" s="2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</row>
    <row r="64" spans="2:31" x14ac:dyDescent="0.25">
      <c r="B64" s="2"/>
      <c r="C64" s="19"/>
      <c r="D64" s="2"/>
      <c r="E64" s="2"/>
      <c r="F64" s="19"/>
      <c r="G64" s="2"/>
      <c r="H64" s="2"/>
      <c r="I64" s="2"/>
      <c r="J64" s="2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</row>
    <row r="65" spans="2:31" x14ac:dyDescent="0.25">
      <c r="B65" s="2"/>
      <c r="C65" s="19"/>
      <c r="D65" s="2"/>
      <c r="E65" s="2"/>
      <c r="F65" s="19"/>
      <c r="G65" s="2"/>
      <c r="H65" s="2"/>
      <c r="I65" s="2"/>
      <c r="J65" s="2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</row>
    <row r="66" spans="2:31" x14ac:dyDescent="0.25">
      <c r="B66" s="2"/>
      <c r="C66" s="19"/>
      <c r="D66" s="2"/>
      <c r="E66" s="2"/>
      <c r="F66" s="19"/>
      <c r="G66" s="2"/>
      <c r="H66" s="2"/>
      <c r="I66" s="2"/>
      <c r="J66" s="2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</row>
    <row r="67" spans="2:31" x14ac:dyDescent="0.25">
      <c r="B67" s="2"/>
      <c r="C67" s="19"/>
      <c r="D67" s="2"/>
      <c r="E67" s="2"/>
      <c r="F67" s="19"/>
      <c r="G67" s="2"/>
      <c r="H67" s="2"/>
      <c r="I67" s="2"/>
      <c r="J67" s="2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</row>
    <row r="68" spans="2:31" x14ac:dyDescent="0.25">
      <c r="B68" s="2"/>
      <c r="C68" s="19"/>
      <c r="D68" s="2"/>
      <c r="E68" s="2"/>
      <c r="F68" s="19"/>
      <c r="G68" s="2"/>
      <c r="H68" s="2"/>
      <c r="I68" s="2"/>
      <c r="J68" s="2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</row>
    <row r="69" spans="2:31" x14ac:dyDescent="0.25">
      <c r="B69" s="2"/>
      <c r="C69" s="19"/>
      <c r="D69" s="2"/>
      <c r="E69" s="2"/>
      <c r="F69" s="19"/>
      <c r="G69" s="2"/>
      <c r="H69" s="2"/>
      <c r="I69" s="2"/>
      <c r="J69" s="2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</row>
    <row r="70" spans="2:31" x14ac:dyDescent="0.25">
      <c r="B70" s="2"/>
      <c r="C70" s="19"/>
      <c r="D70" s="2"/>
      <c r="E70" s="2"/>
      <c r="F70" s="19"/>
      <c r="G70" s="2"/>
      <c r="H70" s="2"/>
      <c r="I70" s="2"/>
      <c r="J70" s="2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</row>
    <row r="71" spans="2:31" x14ac:dyDescent="0.25">
      <c r="B71" s="2"/>
      <c r="C71" s="19"/>
      <c r="D71" s="2"/>
      <c r="E71" s="2"/>
      <c r="F71" s="19"/>
      <c r="G71" s="2"/>
      <c r="H71" s="2"/>
      <c r="I71" s="2"/>
      <c r="J71" s="2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</row>
    <row r="72" spans="2:31" x14ac:dyDescent="0.25">
      <c r="B72" s="2"/>
      <c r="C72" s="19"/>
      <c r="D72" s="2"/>
      <c r="E72" s="2"/>
      <c r="F72" s="19"/>
      <c r="G72" s="2"/>
      <c r="H72" s="2"/>
      <c r="I72" s="2"/>
      <c r="J72" s="2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</row>
    <row r="73" spans="2:31" x14ac:dyDescent="0.25">
      <c r="B73" s="2"/>
      <c r="C73" s="19"/>
      <c r="D73" s="2"/>
      <c r="E73" s="2"/>
      <c r="F73" s="19"/>
      <c r="G73" s="2"/>
      <c r="H73" s="2"/>
      <c r="I73" s="2"/>
      <c r="J73" s="2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</row>
    <row r="74" spans="2:31" x14ac:dyDescent="0.25">
      <c r="B74" s="2"/>
      <c r="C74" s="19"/>
      <c r="D74" s="2"/>
      <c r="E74" s="2"/>
      <c r="F74" s="19"/>
      <c r="G74" s="2"/>
      <c r="H74" s="2"/>
      <c r="I74" s="2"/>
      <c r="J74" s="2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</row>
    <row r="75" spans="2:31" x14ac:dyDescent="0.25">
      <c r="B75" s="2"/>
      <c r="C75" s="19"/>
      <c r="D75" s="2"/>
      <c r="E75" s="2"/>
      <c r="F75" s="19"/>
      <c r="G75" s="2"/>
      <c r="H75" s="2"/>
      <c r="I75" s="2"/>
      <c r="J75" s="2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</row>
    <row r="76" spans="2:31" x14ac:dyDescent="0.25">
      <c r="B76" s="2"/>
      <c r="C76" s="19"/>
      <c r="D76" s="2"/>
      <c r="E76" s="2"/>
      <c r="F76" s="19"/>
      <c r="G76" s="2"/>
      <c r="H76" s="2"/>
      <c r="I76" s="2"/>
      <c r="J76" s="2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</row>
    <row r="77" spans="2:31" x14ac:dyDescent="0.25">
      <c r="B77" s="2"/>
      <c r="C77" s="19"/>
      <c r="D77" s="2"/>
      <c r="E77" s="2"/>
      <c r="F77" s="19"/>
      <c r="G77" s="2"/>
      <c r="H77" s="2"/>
      <c r="I77" s="2"/>
      <c r="J77" s="2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</row>
    <row r="78" spans="2:31" x14ac:dyDescent="0.25">
      <c r="B78" s="2"/>
      <c r="C78" s="19"/>
      <c r="D78" s="2"/>
      <c r="E78" s="2"/>
      <c r="F78" s="19"/>
      <c r="G78" s="2"/>
      <c r="H78" s="2"/>
      <c r="I78" s="2"/>
      <c r="J78" s="2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</row>
    <row r="79" spans="2:31" x14ac:dyDescent="0.25">
      <c r="B79" s="2"/>
      <c r="C79" s="19"/>
      <c r="D79" s="2"/>
      <c r="E79" s="2"/>
      <c r="F79" s="19"/>
      <c r="G79" s="2"/>
      <c r="H79" s="2"/>
      <c r="I79" s="2"/>
      <c r="J79" s="2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</row>
    <row r="80" spans="2:31" x14ac:dyDescent="0.25">
      <c r="B80" s="2"/>
      <c r="C80" s="19"/>
      <c r="D80" s="2"/>
      <c r="E80" s="2"/>
      <c r="F80" s="19"/>
      <c r="G80" s="2"/>
      <c r="H80" s="2"/>
      <c r="I80" s="2"/>
      <c r="J80" s="2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</row>
    <row r="81" spans="2:31" x14ac:dyDescent="0.25">
      <c r="B81" s="2"/>
      <c r="C81" s="19"/>
      <c r="D81" s="2"/>
      <c r="E81" s="2"/>
      <c r="F81" s="19"/>
      <c r="G81" s="2"/>
      <c r="H81" s="2"/>
      <c r="I81" s="2"/>
      <c r="J81" s="2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</row>
    <row r="82" spans="2:31" x14ac:dyDescent="0.25">
      <c r="B82" s="2"/>
      <c r="C82" s="19"/>
      <c r="D82" s="2"/>
      <c r="E82" s="2"/>
      <c r="F82" s="19"/>
      <c r="G82" s="2"/>
      <c r="H82" s="2"/>
      <c r="I82" s="2"/>
      <c r="J82" s="2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</row>
    <row r="83" spans="2:31" x14ac:dyDescent="0.25">
      <c r="B83" s="2"/>
      <c r="C83" s="19"/>
      <c r="D83" s="2"/>
      <c r="E83" s="2"/>
      <c r="F83" s="19"/>
      <c r="G83" s="2"/>
      <c r="H83" s="2"/>
      <c r="I83" s="2"/>
      <c r="J83" s="2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</row>
    <row r="84" spans="2:31" x14ac:dyDescent="0.25">
      <c r="B84" s="2"/>
      <c r="C84" s="19"/>
      <c r="D84" s="2"/>
      <c r="E84" s="2"/>
      <c r="F84" s="19"/>
      <c r="G84" s="2"/>
      <c r="H84" s="2"/>
      <c r="I84" s="2"/>
      <c r="J84" s="2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</row>
    <row r="85" spans="2:31" x14ac:dyDescent="0.25">
      <c r="B85" s="2"/>
      <c r="C85" s="19"/>
      <c r="D85" s="2"/>
      <c r="E85" s="2"/>
      <c r="F85" s="19"/>
      <c r="G85" s="2"/>
      <c r="H85" s="2"/>
      <c r="I85" s="2"/>
      <c r="J85" s="2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</row>
    <row r="86" spans="2:31" x14ac:dyDescent="0.25">
      <c r="B86" s="2"/>
      <c r="C86" s="19"/>
      <c r="D86" s="2"/>
      <c r="E86" s="2"/>
      <c r="F86" s="19"/>
      <c r="G86" s="2"/>
      <c r="H86" s="2"/>
      <c r="I86" s="2"/>
      <c r="J86" s="2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</row>
    <row r="87" spans="2:31" x14ac:dyDescent="0.25">
      <c r="B87" s="2"/>
      <c r="C87" s="19"/>
      <c r="D87" s="2"/>
      <c r="E87" s="2"/>
      <c r="F87" s="19"/>
      <c r="G87" s="2"/>
      <c r="H87" s="2"/>
      <c r="I87" s="2"/>
      <c r="J87" s="2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</row>
    <row r="88" spans="2:31" x14ac:dyDescent="0.25">
      <c r="B88" s="2"/>
      <c r="C88" s="19"/>
      <c r="D88" s="2"/>
      <c r="E88" s="2"/>
      <c r="F88" s="19"/>
      <c r="G88" s="2"/>
      <c r="H88" s="2"/>
      <c r="I88" s="2"/>
      <c r="J88" s="2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</row>
    <row r="89" spans="2:31" x14ac:dyDescent="0.25">
      <c r="B89" s="2"/>
      <c r="C89" s="19"/>
      <c r="D89" s="2"/>
      <c r="E89" s="2"/>
      <c r="F89" s="19"/>
      <c r="G89" s="2"/>
      <c r="H89" s="2"/>
      <c r="I89" s="2"/>
      <c r="J89" s="2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</row>
    <row r="90" spans="2:31" x14ac:dyDescent="0.25">
      <c r="B90" s="2"/>
      <c r="C90" s="19"/>
      <c r="D90" s="2"/>
      <c r="E90" s="2"/>
      <c r="F90" s="19"/>
      <c r="G90" s="2"/>
      <c r="H90" s="2"/>
      <c r="I90" s="2"/>
      <c r="J90" s="2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</row>
    <row r="91" spans="2:31" x14ac:dyDescent="0.25">
      <c r="B91" s="2"/>
      <c r="C91" s="19"/>
      <c r="D91" s="2"/>
      <c r="E91" s="2"/>
      <c r="F91" s="19"/>
      <c r="G91" s="2"/>
      <c r="H91" s="2"/>
      <c r="I91" s="2"/>
      <c r="J91" s="2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</row>
    <row r="92" spans="2:31" x14ac:dyDescent="0.25">
      <c r="B92" s="2"/>
      <c r="C92" s="19"/>
      <c r="D92" s="2"/>
      <c r="E92" s="2"/>
      <c r="F92" s="19"/>
      <c r="G92" s="2"/>
      <c r="H92" s="2"/>
      <c r="I92" s="2"/>
      <c r="J92" s="2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</row>
    <row r="93" spans="2:31" x14ac:dyDescent="0.25">
      <c r="B93" s="2"/>
      <c r="C93" s="19"/>
      <c r="D93" s="2"/>
      <c r="E93" s="2"/>
      <c r="F93" s="19"/>
      <c r="G93" s="2"/>
      <c r="H93" s="2"/>
      <c r="I93" s="2"/>
      <c r="J93" s="2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</row>
    <row r="94" spans="2:31" x14ac:dyDescent="0.25">
      <c r="B94" s="2"/>
      <c r="C94" s="19"/>
      <c r="D94" s="2"/>
      <c r="E94" s="2"/>
      <c r="F94" s="19"/>
      <c r="G94" s="2"/>
      <c r="H94" s="2"/>
      <c r="I94" s="2"/>
      <c r="J94" s="2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</row>
    <row r="95" spans="2:31" x14ac:dyDescent="0.25">
      <c r="B95" s="2"/>
      <c r="C95" s="19"/>
      <c r="D95" s="2"/>
      <c r="E95" s="2"/>
      <c r="F95" s="19"/>
      <c r="G95" s="2"/>
      <c r="H95" s="2"/>
      <c r="I95" s="2"/>
      <c r="J95" s="2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</row>
    <row r="96" spans="2:31" x14ac:dyDescent="0.25">
      <c r="B96" s="2"/>
      <c r="C96" s="19"/>
      <c r="D96" s="2"/>
      <c r="E96" s="2"/>
      <c r="F96" s="19"/>
      <c r="G96" s="2"/>
      <c r="H96" s="2"/>
      <c r="I96" s="2"/>
      <c r="J96" s="2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</row>
    <row r="97" spans="2:31" x14ac:dyDescent="0.25">
      <c r="B97" s="2"/>
      <c r="C97" s="19"/>
      <c r="D97" s="2"/>
      <c r="E97" s="2"/>
      <c r="F97" s="19"/>
      <c r="G97" s="2"/>
      <c r="H97" s="2"/>
      <c r="I97" s="2"/>
      <c r="J97" s="2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</row>
    <row r="98" spans="2:31" x14ac:dyDescent="0.25">
      <c r="B98" s="2"/>
      <c r="C98" s="19"/>
      <c r="D98" s="2"/>
      <c r="E98" s="2"/>
      <c r="F98" s="19"/>
      <c r="G98" s="2"/>
      <c r="H98" s="2"/>
      <c r="I98" s="2"/>
      <c r="J98" s="2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</row>
    <row r="99" spans="2:31" x14ac:dyDescent="0.25">
      <c r="B99" s="2"/>
      <c r="C99" s="19"/>
      <c r="D99" s="2"/>
      <c r="E99" s="2"/>
      <c r="F99" s="19"/>
      <c r="G99" s="2"/>
      <c r="H99" s="2"/>
      <c r="I99" s="2"/>
      <c r="J99" s="2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</row>
    <row r="100" spans="2:31" x14ac:dyDescent="0.25">
      <c r="B100" s="2"/>
      <c r="C100" s="19"/>
      <c r="D100" s="2"/>
      <c r="E100" s="2"/>
      <c r="F100" s="19"/>
      <c r="G100" s="2"/>
      <c r="H100" s="2"/>
      <c r="I100" s="2"/>
      <c r="J100" s="2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</row>
    <row r="101" spans="2:31" x14ac:dyDescent="0.25">
      <c r="B101" s="2"/>
      <c r="C101" s="19"/>
      <c r="D101" s="2"/>
      <c r="E101" s="2"/>
      <c r="F101" s="19"/>
      <c r="G101" s="2"/>
      <c r="H101" s="2"/>
      <c r="I101" s="2"/>
      <c r="J101" s="2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</row>
    <row r="102" spans="2:31" x14ac:dyDescent="0.25">
      <c r="B102" s="2"/>
      <c r="C102" s="19"/>
      <c r="D102" s="2"/>
      <c r="E102" s="2"/>
      <c r="F102" s="19"/>
      <c r="G102" s="2"/>
      <c r="H102" s="2"/>
      <c r="I102" s="2"/>
      <c r="J102" s="2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</row>
    <row r="103" spans="2:31" x14ac:dyDescent="0.25">
      <c r="B103" s="2"/>
      <c r="C103" s="19"/>
      <c r="D103" s="2"/>
      <c r="E103" s="2"/>
      <c r="F103" s="19"/>
      <c r="G103" s="2"/>
      <c r="H103" s="2"/>
      <c r="I103" s="2"/>
      <c r="J103" s="2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</row>
    <row r="104" spans="2:31" x14ac:dyDescent="0.25">
      <c r="B104" s="2"/>
      <c r="C104" s="19"/>
      <c r="D104" s="2"/>
      <c r="E104" s="2"/>
      <c r="F104" s="19"/>
      <c r="G104" s="2"/>
      <c r="H104" s="2"/>
      <c r="I104" s="2"/>
      <c r="J104" s="2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</row>
    <row r="105" spans="2:31" x14ac:dyDescent="0.25">
      <c r="B105" s="2"/>
      <c r="C105" s="19"/>
      <c r="D105" s="2"/>
      <c r="E105" s="2"/>
      <c r="F105" s="19"/>
      <c r="G105" s="2"/>
      <c r="H105" s="2"/>
      <c r="I105" s="2"/>
      <c r="J105" s="2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</row>
    <row r="106" spans="2:31" x14ac:dyDescent="0.25">
      <c r="B106" s="2"/>
      <c r="C106" s="19"/>
      <c r="D106" s="2"/>
      <c r="E106" s="2"/>
      <c r="F106" s="19"/>
      <c r="G106" s="2"/>
      <c r="H106" s="2"/>
      <c r="I106" s="2"/>
      <c r="J106" s="2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</row>
    <row r="107" spans="2:31" x14ac:dyDescent="0.25">
      <c r="B107" s="2"/>
      <c r="C107" s="19"/>
      <c r="D107" s="2"/>
      <c r="E107" s="2"/>
      <c r="F107" s="19"/>
      <c r="G107" s="2"/>
      <c r="H107" s="2"/>
      <c r="I107" s="2"/>
      <c r="J107" s="2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</row>
    <row r="108" spans="2:31" x14ac:dyDescent="0.25">
      <c r="B108" s="2"/>
      <c r="C108" s="19"/>
      <c r="D108" s="2"/>
      <c r="E108" s="2"/>
      <c r="F108" s="19"/>
      <c r="G108" s="2"/>
      <c r="H108" s="2"/>
      <c r="I108" s="2"/>
      <c r="J108" s="2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</row>
    <row r="109" spans="2:31" x14ac:dyDescent="0.25">
      <c r="B109" s="2"/>
      <c r="C109" s="19"/>
      <c r="D109" s="2"/>
      <c r="E109" s="2"/>
      <c r="F109" s="19"/>
      <c r="G109" s="2"/>
      <c r="H109" s="2"/>
      <c r="I109" s="2"/>
      <c r="J109" s="2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</row>
    <row r="110" spans="2:31" x14ac:dyDescent="0.25">
      <c r="B110" s="2"/>
      <c r="C110" s="19"/>
      <c r="D110" s="2"/>
      <c r="E110" s="2"/>
      <c r="F110" s="19"/>
      <c r="G110" s="2"/>
      <c r="H110" s="2"/>
      <c r="I110" s="2"/>
      <c r="J110" s="2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</row>
    <row r="111" spans="2:31" x14ac:dyDescent="0.25">
      <c r="B111" s="2"/>
      <c r="C111" s="19"/>
      <c r="D111" s="2"/>
      <c r="E111" s="2"/>
      <c r="F111" s="19"/>
      <c r="G111" s="2"/>
      <c r="H111" s="2"/>
      <c r="I111" s="2"/>
      <c r="J111" s="2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</row>
    <row r="112" spans="2:31" x14ac:dyDescent="0.25">
      <c r="B112" s="2"/>
      <c r="C112" s="19"/>
      <c r="D112" s="2"/>
      <c r="E112" s="2"/>
      <c r="F112" s="19"/>
      <c r="G112" s="2"/>
      <c r="H112" s="2"/>
      <c r="I112" s="2"/>
      <c r="J112" s="2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</row>
    <row r="113" spans="2:31" x14ac:dyDescent="0.25">
      <c r="B113" s="2"/>
      <c r="C113" s="19"/>
      <c r="D113" s="2"/>
      <c r="E113" s="2"/>
      <c r="F113" s="19"/>
      <c r="G113" s="2"/>
      <c r="H113" s="2"/>
      <c r="I113" s="2"/>
      <c r="J113" s="2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</row>
    <row r="114" spans="2:31" x14ac:dyDescent="0.25">
      <c r="B114" s="2"/>
      <c r="C114" s="19"/>
      <c r="D114" s="2"/>
      <c r="E114" s="2"/>
      <c r="F114" s="19"/>
      <c r="G114" s="2"/>
      <c r="H114" s="2"/>
      <c r="I114" s="2"/>
      <c r="J114" s="2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</row>
    <row r="115" spans="2:31" x14ac:dyDescent="0.25">
      <c r="B115" s="2"/>
      <c r="C115" s="19"/>
      <c r="D115" s="2"/>
      <c r="E115" s="2"/>
      <c r="F115" s="19"/>
      <c r="G115" s="2"/>
      <c r="H115" s="2"/>
      <c r="I115" s="2"/>
      <c r="J115" s="2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</row>
    <row r="116" spans="2:31" x14ac:dyDescent="0.25">
      <c r="B116" s="2"/>
      <c r="C116" s="19"/>
      <c r="D116" s="2"/>
      <c r="E116" s="2"/>
      <c r="F116" s="19"/>
      <c r="G116" s="2"/>
      <c r="H116" s="2"/>
      <c r="I116" s="2"/>
      <c r="J116" s="2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</row>
    <row r="117" spans="2:31" x14ac:dyDescent="0.25">
      <c r="B117" s="2"/>
      <c r="C117" s="19"/>
      <c r="D117" s="2"/>
      <c r="E117" s="2"/>
      <c r="F117" s="19"/>
      <c r="G117" s="2"/>
      <c r="H117" s="2"/>
      <c r="I117" s="2"/>
      <c r="J117" s="2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</row>
    <row r="118" spans="2:31" x14ac:dyDescent="0.25">
      <c r="B118" s="2"/>
      <c r="C118" s="19"/>
      <c r="D118" s="2"/>
      <c r="E118" s="2"/>
      <c r="F118" s="19"/>
      <c r="G118" s="2"/>
      <c r="H118" s="2"/>
      <c r="I118" s="2"/>
      <c r="J118" s="2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</row>
    <row r="119" spans="2:31" x14ac:dyDescent="0.25">
      <c r="B119" s="2"/>
      <c r="C119" s="19"/>
      <c r="D119" s="2"/>
      <c r="E119" s="2"/>
      <c r="F119" s="19"/>
      <c r="G119" s="2"/>
      <c r="H119" s="2"/>
      <c r="I119" s="2"/>
      <c r="J119" s="2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</row>
    <row r="120" spans="2:31" x14ac:dyDescent="0.25">
      <c r="B120" s="2"/>
      <c r="C120" s="19"/>
      <c r="D120" s="2"/>
      <c r="E120" s="2"/>
      <c r="F120" s="19"/>
      <c r="G120" s="2"/>
      <c r="H120" s="2"/>
      <c r="I120" s="2"/>
      <c r="J120" s="2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</row>
    <row r="121" spans="2:31" x14ac:dyDescent="0.25">
      <c r="B121" s="2"/>
      <c r="C121" s="19"/>
      <c r="D121" s="2"/>
      <c r="E121" s="2"/>
      <c r="F121" s="19"/>
      <c r="G121" s="2"/>
      <c r="H121" s="2"/>
      <c r="I121" s="2"/>
      <c r="J121" s="2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</row>
    <row r="122" spans="2:31" x14ac:dyDescent="0.25">
      <c r="B122" s="2"/>
      <c r="C122" s="19"/>
      <c r="D122" s="2"/>
      <c r="E122" s="2"/>
      <c r="F122" s="19"/>
      <c r="G122" s="2"/>
      <c r="H122" s="2"/>
      <c r="I122" s="2"/>
      <c r="J122" s="2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</row>
    <row r="123" spans="2:31" x14ac:dyDescent="0.25">
      <c r="B123" s="2"/>
      <c r="C123" s="19"/>
      <c r="D123" s="2"/>
      <c r="E123" s="2"/>
      <c r="F123" s="19"/>
      <c r="G123" s="2"/>
      <c r="H123" s="2"/>
      <c r="I123" s="2"/>
      <c r="J123" s="2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</row>
    <row r="124" spans="2:31" x14ac:dyDescent="0.25">
      <c r="B124" s="2"/>
      <c r="C124" s="19"/>
      <c r="D124" s="2"/>
      <c r="E124" s="2"/>
      <c r="F124" s="19"/>
      <c r="G124" s="2"/>
      <c r="H124" s="2"/>
      <c r="I124" s="2"/>
      <c r="J124" s="2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</row>
    <row r="125" spans="2:31" x14ac:dyDescent="0.25">
      <c r="B125" s="2"/>
      <c r="C125" s="19"/>
      <c r="D125" s="2"/>
      <c r="E125" s="2"/>
      <c r="F125" s="19"/>
      <c r="G125" s="2"/>
      <c r="H125" s="2"/>
      <c r="I125" s="2"/>
      <c r="J125" s="2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</row>
    <row r="126" spans="2:31" x14ac:dyDescent="0.25">
      <c r="B126" s="2"/>
      <c r="C126" s="19"/>
      <c r="D126" s="2"/>
      <c r="E126" s="2"/>
      <c r="F126" s="19"/>
      <c r="G126" s="2"/>
      <c r="H126" s="2"/>
      <c r="I126" s="2"/>
      <c r="J126" s="2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</row>
    <row r="127" spans="2:31" x14ac:dyDescent="0.25">
      <c r="B127" s="2"/>
      <c r="C127" s="19"/>
      <c r="D127" s="2"/>
      <c r="E127" s="2"/>
      <c r="F127" s="19"/>
      <c r="G127" s="2"/>
      <c r="H127" s="2"/>
      <c r="I127" s="2"/>
      <c r="J127" s="2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</row>
    <row r="128" spans="2:31" x14ac:dyDescent="0.25">
      <c r="B128" s="2"/>
      <c r="C128" s="19"/>
      <c r="D128" s="2"/>
      <c r="E128" s="2"/>
      <c r="F128" s="19"/>
      <c r="G128" s="2"/>
      <c r="H128" s="2"/>
      <c r="I128" s="2"/>
      <c r="J128" s="2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</row>
    <row r="129" spans="2:31" x14ac:dyDescent="0.25">
      <c r="B129" s="2"/>
      <c r="C129" s="19"/>
      <c r="D129" s="2"/>
      <c r="E129" s="2"/>
      <c r="F129" s="19"/>
      <c r="G129" s="2"/>
      <c r="H129" s="2"/>
      <c r="I129" s="2"/>
      <c r="J129" s="2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</row>
    <row r="130" spans="2:31" x14ac:dyDescent="0.25">
      <c r="B130" s="2"/>
      <c r="C130" s="19"/>
      <c r="D130" s="2"/>
      <c r="E130" s="2"/>
      <c r="F130" s="19"/>
      <c r="G130" s="2"/>
      <c r="H130" s="2"/>
      <c r="I130" s="2"/>
      <c r="J130" s="2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</row>
    <row r="131" spans="2:31" x14ac:dyDescent="0.25">
      <c r="B131" s="2"/>
      <c r="C131" s="19"/>
      <c r="D131" s="2"/>
      <c r="E131" s="2"/>
      <c r="F131" s="19"/>
      <c r="G131" s="2"/>
      <c r="H131" s="2"/>
      <c r="I131" s="2"/>
      <c r="J131" s="2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</row>
    <row r="132" spans="2:31" x14ac:dyDescent="0.25">
      <c r="B132" s="2"/>
      <c r="C132" s="19"/>
      <c r="D132" s="2"/>
      <c r="E132" s="2"/>
      <c r="F132" s="19"/>
      <c r="G132" s="2"/>
      <c r="H132" s="2"/>
      <c r="I132" s="2"/>
      <c r="J132" s="2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</row>
    <row r="133" spans="2:31" x14ac:dyDescent="0.25">
      <c r="B133" s="2"/>
      <c r="C133" s="19"/>
      <c r="D133" s="2"/>
      <c r="E133" s="2"/>
      <c r="F133" s="19"/>
      <c r="G133" s="2"/>
      <c r="H133" s="2"/>
      <c r="I133" s="2"/>
      <c r="J133" s="2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</row>
    <row r="134" spans="2:31" x14ac:dyDescent="0.25">
      <c r="B134" s="2"/>
      <c r="C134" s="19"/>
      <c r="D134" s="2"/>
      <c r="E134" s="2"/>
      <c r="F134" s="19"/>
      <c r="G134" s="2"/>
      <c r="H134" s="2"/>
      <c r="I134" s="2"/>
      <c r="J134" s="2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</row>
    <row r="135" spans="2:31" x14ac:dyDescent="0.25">
      <c r="B135" s="2"/>
      <c r="C135" s="19"/>
      <c r="D135" s="2"/>
      <c r="E135" s="2"/>
      <c r="F135" s="19"/>
      <c r="G135" s="2"/>
      <c r="H135" s="2"/>
      <c r="I135" s="2"/>
      <c r="J135" s="2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</row>
    <row r="136" spans="2:31" x14ac:dyDescent="0.25">
      <c r="B136" s="2"/>
      <c r="C136" s="19"/>
      <c r="D136" s="2"/>
      <c r="E136" s="2"/>
      <c r="F136" s="19"/>
      <c r="G136" s="2"/>
      <c r="H136" s="2"/>
      <c r="I136" s="2"/>
      <c r="J136" s="2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</row>
    <row r="137" spans="2:31" x14ac:dyDescent="0.25">
      <c r="B137" s="2"/>
      <c r="C137" s="19"/>
      <c r="D137" s="2"/>
      <c r="E137" s="2"/>
      <c r="F137" s="19"/>
      <c r="G137" s="2"/>
      <c r="H137" s="2"/>
      <c r="I137" s="2"/>
      <c r="J137" s="2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</row>
    <row r="138" spans="2:31" x14ac:dyDescent="0.25">
      <c r="B138" s="2"/>
      <c r="C138" s="19"/>
      <c r="D138" s="2"/>
      <c r="E138" s="2"/>
      <c r="F138" s="19"/>
      <c r="G138" s="2"/>
      <c r="H138" s="2"/>
      <c r="I138" s="2"/>
      <c r="J138" s="2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</row>
    <row r="139" spans="2:31" x14ac:dyDescent="0.25">
      <c r="B139" s="2"/>
      <c r="C139" s="19"/>
      <c r="D139" s="2"/>
      <c r="E139" s="2"/>
      <c r="F139" s="19"/>
      <c r="G139" s="2"/>
      <c r="H139" s="2"/>
      <c r="I139" s="2"/>
      <c r="J139" s="2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</row>
    <row r="140" spans="2:31" x14ac:dyDescent="0.25">
      <c r="B140" s="2"/>
      <c r="C140" s="19"/>
      <c r="D140" s="2"/>
      <c r="E140" s="2"/>
      <c r="F140" s="19"/>
      <c r="G140" s="2"/>
      <c r="H140" s="2"/>
      <c r="I140" s="2"/>
      <c r="J140" s="2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</row>
    <row r="141" spans="2:31" x14ac:dyDescent="0.25">
      <c r="B141" s="2"/>
      <c r="C141" s="19"/>
      <c r="D141" s="2"/>
      <c r="E141" s="2"/>
      <c r="F141" s="19"/>
      <c r="G141" s="2"/>
      <c r="H141" s="2"/>
      <c r="I141" s="2"/>
      <c r="J141" s="2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</row>
    <row r="142" spans="2:31" x14ac:dyDescent="0.25">
      <c r="B142" s="2"/>
      <c r="C142" s="19"/>
      <c r="D142" s="2"/>
      <c r="E142" s="2"/>
      <c r="F142" s="19"/>
      <c r="G142" s="2"/>
      <c r="H142" s="2"/>
      <c r="I142" s="2"/>
      <c r="J142" s="2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</row>
    <row r="143" spans="2:31" x14ac:dyDescent="0.25">
      <c r="B143" s="2"/>
      <c r="C143" s="19"/>
      <c r="D143" s="2"/>
      <c r="E143" s="2"/>
      <c r="F143" s="19"/>
      <c r="G143" s="2"/>
      <c r="H143" s="2"/>
      <c r="I143" s="2"/>
      <c r="J143" s="2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</row>
    <row r="144" spans="2:31" x14ac:dyDescent="0.25">
      <c r="B144" s="2"/>
      <c r="C144" s="19"/>
      <c r="D144" s="2"/>
      <c r="E144" s="2"/>
      <c r="F144" s="19"/>
      <c r="G144" s="2"/>
      <c r="H144" s="2"/>
      <c r="I144" s="2"/>
      <c r="J144" s="2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</row>
    <row r="145" spans="2:31" x14ac:dyDescent="0.25">
      <c r="B145" s="2"/>
      <c r="C145" s="19"/>
      <c r="D145" s="2"/>
      <c r="E145" s="2"/>
      <c r="F145" s="19"/>
      <c r="G145" s="2"/>
      <c r="H145" s="2"/>
      <c r="I145" s="2"/>
      <c r="J145" s="2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</row>
    <row r="146" spans="2:31" x14ac:dyDescent="0.25">
      <c r="B146" s="2"/>
      <c r="C146" s="19"/>
      <c r="D146" s="2"/>
      <c r="E146" s="2"/>
      <c r="F146" s="19"/>
      <c r="G146" s="2"/>
      <c r="H146" s="2"/>
      <c r="I146" s="2"/>
      <c r="J146" s="2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</row>
    <row r="147" spans="2:31" x14ac:dyDescent="0.25">
      <c r="B147" s="2"/>
      <c r="C147" s="19"/>
      <c r="D147" s="2"/>
      <c r="E147" s="2"/>
      <c r="F147" s="19"/>
      <c r="G147" s="2"/>
      <c r="H147" s="2"/>
      <c r="I147" s="2"/>
      <c r="J147" s="2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</row>
    <row r="148" spans="2:31" x14ac:dyDescent="0.25">
      <c r="B148" s="2"/>
      <c r="C148" s="19"/>
      <c r="D148" s="2"/>
      <c r="E148" s="2"/>
      <c r="F148" s="19"/>
      <c r="G148" s="2"/>
      <c r="H148" s="2"/>
      <c r="I148" s="2"/>
      <c r="J148" s="2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</row>
    <row r="149" spans="2:31" x14ac:dyDescent="0.25">
      <c r="B149" s="2"/>
      <c r="C149" s="19"/>
      <c r="D149" s="2"/>
      <c r="E149" s="2"/>
      <c r="F149" s="19"/>
      <c r="G149" s="2"/>
      <c r="H149" s="2"/>
      <c r="I149" s="2"/>
      <c r="J149" s="2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</row>
    <row r="150" spans="2:31" x14ac:dyDescent="0.25">
      <c r="B150" s="2"/>
      <c r="C150" s="19"/>
      <c r="D150" s="2"/>
      <c r="E150" s="2"/>
      <c r="F150" s="19"/>
      <c r="G150" s="2"/>
      <c r="H150" s="2"/>
      <c r="I150" s="2"/>
      <c r="J150" s="2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</row>
    <row r="151" spans="2:31" x14ac:dyDescent="0.25">
      <c r="B151" s="2"/>
      <c r="C151" s="19"/>
      <c r="D151" s="2"/>
      <c r="E151" s="2"/>
      <c r="F151" s="19"/>
      <c r="G151" s="2"/>
      <c r="H151" s="2"/>
      <c r="I151" s="2"/>
      <c r="J151" s="2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</row>
    <row r="152" spans="2:31" x14ac:dyDescent="0.25">
      <c r="B152" s="2"/>
      <c r="C152" s="19"/>
      <c r="D152" s="2"/>
      <c r="E152" s="2"/>
      <c r="F152" s="19"/>
      <c r="G152" s="2"/>
      <c r="H152" s="2"/>
      <c r="I152" s="2"/>
      <c r="J152" s="2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</row>
    <row r="153" spans="2:31" x14ac:dyDescent="0.25">
      <c r="B153" s="2"/>
      <c r="C153" s="19"/>
      <c r="D153" s="2"/>
      <c r="E153" s="2"/>
      <c r="F153" s="19"/>
      <c r="G153" s="2"/>
      <c r="H153" s="2"/>
      <c r="I153" s="2"/>
      <c r="J153" s="2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</row>
    <row r="154" spans="2:31" x14ac:dyDescent="0.25">
      <c r="B154" s="2"/>
      <c r="C154" s="19"/>
      <c r="D154" s="2"/>
      <c r="E154" s="2"/>
      <c r="F154" s="19"/>
      <c r="G154" s="2"/>
      <c r="H154" s="2"/>
      <c r="I154" s="2"/>
      <c r="J154" s="2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</row>
    <row r="155" spans="2:31" x14ac:dyDescent="0.25">
      <c r="B155" s="2"/>
      <c r="C155" s="19"/>
      <c r="D155" s="2"/>
      <c r="E155" s="2"/>
      <c r="F155" s="19"/>
      <c r="G155" s="2"/>
      <c r="H155" s="2"/>
      <c r="I155" s="2"/>
      <c r="J155" s="2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</row>
    <row r="156" spans="2:31" x14ac:dyDescent="0.25">
      <c r="B156" s="2"/>
      <c r="C156" s="19"/>
      <c r="D156" s="2"/>
      <c r="E156" s="2"/>
      <c r="F156" s="19"/>
      <c r="G156" s="2"/>
      <c r="H156" s="2"/>
      <c r="I156" s="2"/>
      <c r="J156" s="2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</row>
    <row r="157" spans="2:31" x14ac:dyDescent="0.25">
      <c r="B157" s="2"/>
      <c r="C157" s="19"/>
      <c r="D157" s="2"/>
      <c r="E157" s="2"/>
      <c r="F157" s="19"/>
      <c r="G157" s="2"/>
      <c r="H157" s="2"/>
      <c r="I157" s="2"/>
      <c r="J157" s="2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</row>
    <row r="158" spans="2:31" x14ac:dyDescent="0.25">
      <c r="B158" s="2"/>
      <c r="C158" s="19"/>
      <c r="D158" s="2"/>
      <c r="E158" s="2"/>
      <c r="F158" s="19"/>
      <c r="G158" s="2"/>
      <c r="H158" s="2"/>
      <c r="I158" s="2"/>
      <c r="J158" s="2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</row>
    <row r="159" spans="2:31" x14ac:dyDescent="0.25">
      <c r="B159" s="2"/>
      <c r="C159" s="19"/>
      <c r="D159" s="2"/>
      <c r="E159" s="2"/>
      <c r="F159" s="19"/>
      <c r="G159" s="2"/>
      <c r="H159" s="2"/>
      <c r="I159" s="2"/>
      <c r="J159" s="2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</row>
    <row r="160" spans="2:31" x14ac:dyDescent="0.25">
      <c r="B160" s="2"/>
      <c r="C160" s="19"/>
      <c r="D160" s="2"/>
      <c r="E160" s="2"/>
      <c r="F160" s="19"/>
      <c r="G160" s="2"/>
      <c r="H160" s="2"/>
      <c r="I160" s="2"/>
      <c r="J160" s="2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</row>
    <row r="161" spans="2:31" x14ac:dyDescent="0.25">
      <c r="B161" s="2"/>
      <c r="C161" s="19"/>
      <c r="D161" s="2"/>
      <c r="E161" s="2"/>
      <c r="F161" s="19"/>
      <c r="G161" s="2"/>
      <c r="H161" s="2"/>
      <c r="I161" s="2"/>
      <c r="J161" s="2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</row>
    <row r="162" spans="2:31" x14ac:dyDescent="0.25">
      <c r="B162" s="2"/>
      <c r="C162" s="19"/>
      <c r="D162" s="2"/>
      <c r="E162" s="2"/>
      <c r="F162" s="19"/>
      <c r="G162" s="2"/>
      <c r="H162" s="2"/>
      <c r="I162" s="2"/>
      <c r="J162" s="2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</row>
    <row r="163" spans="2:31" x14ac:dyDescent="0.25">
      <c r="B163" s="2"/>
      <c r="C163" s="19"/>
      <c r="D163" s="2"/>
      <c r="E163" s="2"/>
      <c r="F163" s="19"/>
      <c r="G163" s="2"/>
      <c r="H163" s="2"/>
      <c r="I163" s="2"/>
      <c r="J163" s="2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</row>
    <row r="164" spans="2:31" x14ac:dyDescent="0.25">
      <c r="B164" s="2"/>
      <c r="C164" s="19"/>
      <c r="D164" s="2"/>
      <c r="E164" s="2"/>
      <c r="F164" s="19"/>
      <c r="G164" s="2"/>
      <c r="H164" s="2"/>
      <c r="I164" s="2"/>
      <c r="J164" s="2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</row>
    <row r="165" spans="2:31" x14ac:dyDescent="0.25">
      <c r="B165" s="2"/>
      <c r="C165" s="19"/>
      <c r="D165" s="2"/>
      <c r="E165" s="2"/>
      <c r="F165" s="19"/>
      <c r="G165" s="2"/>
      <c r="H165" s="2"/>
      <c r="I165" s="2"/>
      <c r="J165" s="2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</row>
    <row r="166" spans="2:31" x14ac:dyDescent="0.25">
      <c r="B166" s="2"/>
      <c r="C166" s="19"/>
      <c r="D166" s="2"/>
      <c r="E166" s="2"/>
      <c r="F166" s="19"/>
      <c r="G166" s="2"/>
      <c r="H166" s="2"/>
      <c r="I166" s="2"/>
      <c r="J166" s="2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</row>
    <row r="167" spans="2:31" x14ac:dyDescent="0.25">
      <c r="B167" s="2"/>
      <c r="C167" s="19"/>
      <c r="D167" s="2"/>
      <c r="E167" s="2"/>
      <c r="F167" s="19"/>
      <c r="G167" s="2"/>
      <c r="H167" s="2"/>
      <c r="I167" s="2"/>
      <c r="J167" s="2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</row>
    <row r="168" spans="2:31" x14ac:dyDescent="0.25">
      <c r="B168" s="2"/>
      <c r="C168" s="19"/>
      <c r="D168" s="2"/>
      <c r="E168" s="2"/>
      <c r="F168" s="19"/>
      <c r="G168" s="2"/>
      <c r="H168" s="2"/>
      <c r="I168" s="2"/>
      <c r="J168" s="2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</row>
    <row r="169" spans="2:31" x14ac:dyDescent="0.25">
      <c r="B169" s="2"/>
      <c r="C169" s="19"/>
      <c r="D169" s="2"/>
      <c r="E169" s="2"/>
      <c r="F169" s="19"/>
      <c r="G169" s="2"/>
      <c r="H169" s="2"/>
      <c r="I169" s="2"/>
      <c r="J169" s="2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</row>
    <row r="170" spans="2:31" x14ac:dyDescent="0.25">
      <c r="B170" s="2"/>
      <c r="C170" s="19"/>
      <c r="D170" s="2"/>
      <c r="E170" s="2"/>
      <c r="F170" s="19"/>
      <c r="G170" s="2"/>
      <c r="H170" s="2"/>
      <c r="I170" s="2"/>
      <c r="J170" s="2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</row>
    <row r="171" spans="2:31" x14ac:dyDescent="0.25">
      <c r="B171" s="2"/>
      <c r="C171" s="19"/>
      <c r="D171" s="2"/>
      <c r="E171" s="2"/>
      <c r="F171" s="19"/>
      <c r="G171" s="2"/>
      <c r="H171" s="2"/>
      <c r="I171" s="2"/>
      <c r="J171" s="2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</row>
    <row r="172" spans="2:31" x14ac:dyDescent="0.25">
      <c r="B172" s="2"/>
      <c r="C172" s="19"/>
      <c r="D172" s="2"/>
      <c r="E172" s="2"/>
      <c r="F172" s="19"/>
      <c r="G172" s="2"/>
      <c r="H172" s="2"/>
      <c r="I172" s="2"/>
      <c r="J172" s="2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</row>
    <row r="173" spans="2:31" x14ac:dyDescent="0.25">
      <c r="B173" s="2"/>
      <c r="C173" s="19"/>
      <c r="D173" s="2"/>
      <c r="E173" s="2"/>
      <c r="F173" s="19"/>
      <c r="G173" s="2"/>
      <c r="H173" s="2"/>
      <c r="I173" s="2"/>
      <c r="J173" s="2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</row>
    <row r="174" spans="2:31" x14ac:dyDescent="0.25">
      <c r="B174" s="2"/>
      <c r="C174" s="19"/>
      <c r="D174" s="2"/>
      <c r="E174" s="2"/>
      <c r="F174" s="19"/>
      <c r="G174" s="2"/>
      <c r="H174" s="2"/>
      <c r="I174" s="2"/>
      <c r="J174" s="2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</row>
    <row r="175" spans="2:31" x14ac:dyDescent="0.25">
      <c r="B175" s="2"/>
      <c r="C175" s="19"/>
      <c r="D175" s="2"/>
      <c r="E175" s="2"/>
      <c r="F175" s="19"/>
      <c r="G175" s="2"/>
      <c r="H175" s="2"/>
      <c r="I175" s="2"/>
      <c r="J175" s="2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</row>
    <row r="176" spans="2:31" x14ac:dyDescent="0.25">
      <c r="B176" s="2"/>
      <c r="C176" s="19"/>
      <c r="D176" s="2"/>
      <c r="E176" s="2"/>
      <c r="F176" s="19"/>
      <c r="G176" s="2"/>
      <c r="H176" s="2"/>
      <c r="I176" s="2"/>
      <c r="J176" s="2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</row>
    <row r="177" spans="2:31" x14ac:dyDescent="0.25">
      <c r="B177" s="2"/>
      <c r="C177" s="19"/>
      <c r="D177" s="2"/>
      <c r="E177" s="2"/>
      <c r="F177" s="19"/>
      <c r="G177" s="2"/>
      <c r="H177" s="2"/>
      <c r="I177" s="2"/>
      <c r="J177" s="2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</row>
    <row r="178" spans="2:31" x14ac:dyDescent="0.25">
      <c r="B178" s="2"/>
      <c r="C178" s="19"/>
      <c r="D178" s="2"/>
      <c r="E178" s="2"/>
      <c r="F178" s="19"/>
      <c r="G178" s="2"/>
      <c r="H178" s="2"/>
      <c r="I178" s="2"/>
      <c r="J178" s="2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</row>
    <row r="179" spans="2:31" x14ac:dyDescent="0.25">
      <c r="B179" s="2"/>
      <c r="C179" s="19"/>
      <c r="D179" s="2"/>
      <c r="E179" s="2"/>
      <c r="F179" s="19"/>
      <c r="G179" s="2"/>
      <c r="H179" s="2"/>
      <c r="I179" s="2"/>
      <c r="J179" s="2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</row>
    <row r="180" spans="2:31" x14ac:dyDescent="0.25">
      <c r="B180" s="2"/>
      <c r="C180" s="19"/>
      <c r="D180" s="2"/>
      <c r="E180" s="2"/>
      <c r="F180" s="19"/>
      <c r="G180" s="2"/>
      <c r="H180" s="2"/>
      <c r="I180" s="2"/>
      <c r="J180" s="2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</row>
    <row r="181" spans="2:31" x14ac:dyDescent="0.25">
      <c r="B181" s="2"/>
      <c r="C181" s="19"/>
      <c r="D181" s="2"/>
      <c r="E181" s="2"/>
      <c r="F181" s="19"/>
      <c r="G181" s="2"/>
      <c r="H181" s="2"/>
      <c r="I181" s="2"/>
      <c r="J181" s="2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</row>
    <row r="182" spans="2:31" x14ac:dyDescent="0.25">
      <c r="B182" s="2"/>
      <c r="C182" s="19"/>
      <c r="D182" s="2"/>
      <c r="E182" s="2"/>
      <c r="F182" s="19"/>
      <c r="G182" s="2"/>
      <c r="H182" s="2"/>
      <c r="I182" s="2"/>
      <c r="J182" s="2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</row>
    <row r="183" spans="2:31" x14ac:dyDescent="0.25">
      <c r="B183" s="2"/>
      <c r="C183" s="19"/>
      <c r="D183" s="2"/>
      <c r="E183" s="2"/>
      <c r="F183" s="19"/>
      <c r="G183" s="2"/>
      <c r="H183" s="2"/>
      <c r="I183" s="2"/>
      <c r="J183" s="2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</row>
    <row r="184" spans="2:31" x14ac:dyDescent="0.25">
      <c r="B184" s="2"/>
      <c r="C184" s="19"/>
      <c r="D184" s="2"/>
      <c r="E184" s="2"/>
      <c r="F184" s="19"/>
      <c r="G184" s="2"/>
      <c r="H184" s="2"/>
      <c r="I184" s="2"/>
      <c r="J184" s="2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</row>
    <row r="185" spans="2:31" x14ac:dyDescent="0.25">
      <c r="B185" s="2"/>
      <c r="C185" s="19"/>
      <c r="D185" s="2"/>
      <c r="E185" s="2"/>
      <c r="F185" s="19"/>
      <c r="G185" s="2"/>
      <c r="H185" s="2"/>
      <c r="I185" s="2"/>
      <c r="J185" s="2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</row>
    <row r="186" spans="2:31" x14ac:dyDescent="0.25">
      <c r="B186" s="2"/>
      <c r="C186" s="19"/>
      <c r="D186" s="2"/>
      <c r="E186" s="2"/>
      <c r="F186" s="19"/>
      <c r="G186" s="2"/>
      <c r="H186" s="2"/>
      <c r="I186" s="2"/>
      <c r="J186" s="2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</row>
    <row r="187" spans="2:31" x14ac:dyDescent="0.25">
      <c r="B187" s="2"/>
      <c r="C187" s="19"/>
      <c r="D187" s="2"/>
      <c r="E187" s="2"/>
      <c r="F187" s="19"/>
      <c r="G187" s="2"/>
      <c r="H187" s="2"/>
      <c r="I187" s="2"/>
      <c r="J187" s="2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</row>
    <row r="188" spans="2:31" x14ac:dyDescent="0.25">
      <c r="B188" s="2"/>
      <c r="C188" s="19"/>
      <c r="D188" s="2"/>
      <c r="E188" s="2"/>
      <c r="F188" s="19"/>
      <c r="G188" s="2"/>
      <c r="H188" s="2"/>
      <c r="I188" s="2"/>
      <c r="J188" s="2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</row>
    <row r="189" spans="2:31" x14ac:dyDescent="0.25">
      <c r="B189" s="2"/>
      <c r="C189" s="19"/>
      <c r="D189" s="2"/>
      <c r="E189" s="2"/>
      <c r="F189" s="19"/>
      <c r="G189" s="2"/>
      <c r="H189" s="2"/>
      <c r="I189" s="2"/>
      <c r="J189" s="2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</row>
    <row r="190" spans="2:31" x14ac:dyDescent="0.25">
      <c r="B190" s="2"/>
      <c r="C190" s="19"/>
      <c r="D190" s="2"/>
      <c r="E190" s="2"/>
      <c r="F190" s="19"/>
      <c r="G190" s="2"/>
      <c r="H190" s="2"/>
      <c r="I190" s="2"/>
      <c r="J190" s="2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</row>
    <row r="191" spans="2:31" x14ac:dyDescent="0.25">
      <c r="B191" s="2"/>
      <c r="C191" s="19"/>
      <c r="D191" s="2"/>
      <c r="E191" s="2"/>
      <c r="F191" s="19"/>
      <c r="G191" s="2"/>
      <c r="H191" s="2"/>
      <c r="I191" s="2"/>
      <c r="J191" s="2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</row>
    <row r="192" spans="2:31" x14ac:dyDescent="0.25">
      <c r="B192" s="2"/>
      <c r="C192" s="19"/>
      <c r="D192" s="2"/>
      <c r="E192" s="2"/>
      <c r="F192" s="19"/>
      <c r="G192" s="2"/>
      <c r="H192" s="2"/>
      <c r="I192" s="2"/>
      <c r="J192" s="2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</row>
    <row r="193" spans="2:31" x14ac:dyDescent="0.25">
      <c r="B193" s="2"/>
      <c r="C193" s="19"/>
      <c r="D193" s="2"/>
      <c r="E193" s="2"/>
      <c r="F193" s="19"/>
      <c r="G193" s="2"/>
      <c r="H193" s="2"/>
      <c r="I193" s="2"/>
      <c r="J193" s="2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</row>
    <row r="194" spans="2:31" x14ac:dyDescent="0.25">
      <c r="B194" s="2"/>
      <c r="C194" s="19"/>
      <c r="D194" s="2"/>
      <c r="E194" s="2"/>
      <c r="F194" s="19"/>
      <c r="G194" s="2"/>
      <c r="H194" s="2"/>
      <c r="I194" s="2"/>
      <c r="J194" s="2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</row>
    <row r="195" spans="2:31" x14ac:dyDescent="0.25">
      <c r="B195" s="2"/>
      <c r="C195" s="19"/>
      <c r="D195" s="2"/>
      <c r="E195" s="2"/>
      <c r="F195" s="19"/>
      <c r="G195" s="2"/>
      <c r="H195" s="2"/>
      <c r="I195" s="2"/>
      <c r="J195" s="2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</row>
    <row r="196" spans="2:31" x14ac:dyDescent="0.25">
      <c r="B196" s="2"/>
      <c r="C196" s="19"/>
      <c r="D196" s="2"/>
      <c r="E196" s="2"/>
      <c r="F196" s="19"/>
      <c r="G196" s="2"/>
      <c r="H196" s="2"/>
      <c r="I196" s="2"/>
      <c r="J196" s="2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</row>
    <row r="197" spans="2:31" x14ac:dyDescent="0.25">
      <c r="B197" s="2"/>
      <c r="C197" s="19"/>
      <c r="D197" s="2"/>
      <c r="E197" s="2"/>
      <c r="F197" s="19"/>
      <c r="G197" s="2"/>
      <c r="H197" s="2"/>
      <c r="I197" s="2"/>
      <c r="J197" s="2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</row>
    <row r="198" spans="2:31" x14ac:dyDescent="0.25">
      <c r="B198" s="2"/>
      <c r="C198" s="19"/>
      <c r="D198" s="2"/>
      <c r="E198" s="2"/>
      <c r="F198" s="19"/>
      <c r="G198" s="2"/>
      <c r="H198" s="2"/>
      <c r="I198" s="2"/>
      <c r="J198" s="2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</row>
    <row r="199" spans="2:31" x14ac:dyDescent="0.25">
      <c r="B199" s="2"/>
      <c r="C199" s="19"/>
      <c r="D199" s="2"/>
      <c r="E199" s="2"/>
      <c r="F199" s="19"/>
      <c r="G199" s="2"/>
      <c r="H199" s="2"/>
      <c r="I199" s="2"/>
      <c r="J199" s="2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</row>
    <row r="200" spans="2:31" x14ac:dyDescent="0.25">
      <c r="B200" s="2"/>
      <c r="C200" s="19"/>
      <c r="D200" s="2"/>
      <c r="E200" s="2"/>
      <c r="F200" s="19"/>
      <c r="G200" s="2"/>
      <c r="H200" s="2"/>
      <c r="I200" s="2"/>
      <c r="J200" s="2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</row>
    <row r="201" spans="2:31" x14ac:dyDescent="0.25">
      <c r="B201" s="2"/>
      <c r="C201" s="19"/>
      <c r="D201" s="2"/>
      <c r="E201" s="2"/>
      <c r="F201" s="19"/>
      <c r="G201" s="2"/>
      <c r="H201" s="2"/>
      <c r="I201" s="2"/>
      <c r="J201" s="2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</row>
    <row r="202" spans="2:31" x14ac:dyDescent="0.25">
      <c r="B202" s="2"/>
      <c r="C202" s="19"/>
      <c r="D202" s="2"/>
      <c r="E202" s="2"/>
      <c r="F202" s="19"/>
      <c r="G202" s="2"/>
      <c r="H202" s="2"/>
      <c r="I202" s="2"/>
      <c r="J202" s="2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</row>
    <row r="203" spans="2:31" x14ac:dyDescent="0.25">
      <c r="B203" s="2"/>
      <c r="C203" s="19"/>
      <c r="D203" s="2"/>
      <c r="E203" s="2"/>
      <c r="F203" s="19"/>
      <c r="G203" s="2"/>
      <c r="H203" s="2"/>
      <c r="I203" s="2"/>
      <c r="J203" s="2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</row>
    <row r="204" spans="2:31" x14ac:dyDescent="0.25">
      <c r="B204" s="2"/>
      <c r="C204" s="19"/>
      <c r="D204" s="2"/>
      <c r="E204" s="2"/>
      <c r="F204" s="19"/>
      <c r="G204" s="2"/>
      <c r="H204" s="2"/>
      <c r="I204" s="2"/>
      <c r="J204" s="2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</row>
    <row r="205" spans="2:31" x14ac:dyDescent="0.25">
      <c r="B205" s="2"/>
      <c r="C205" s="19"/>
      <c r="D205" s="2"/>
      <c r="E205" s="2"/>
      <c r="F205" s="19"/>
      <c r="G205" s="2"/>
      <c r="H205" s="2"/>
      <c r="I205" s="2"/>
      <c r="J205" s="2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</row>
    <row r="206" spans="2:31" x14ac:dyDescent="0.25">
      <c r="B206" s="2"/>
      <c r="C206" s="19"/>
      <c r="D206" s="2"/>
      <c r="E206" s="2"/>
      <c r="F206" s="19"/>
      <c r="G206" s="2"/>
      <c r="H206" s="2"/>
      <c r="I206" s="2"/>
      <c r="J206" s="2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</row>
    <row r="207" spans="2:31" x14ac:dyDescent="0.25">
      <c r="B207" s="2"/>
      <c r="C207" s="19"/>
      <c r="D207" s="2"/>
      <c r="E207" s="2"/>
      <c r="F207" s="19"/>
      <c r="G207" s="2"/>
      <c r="H207" s="2"/>
      <c r="I207" s="2"/>
      <c r="J207" s="2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</row>
    <row r="208" spans="2:31" x14ac:dyDescent="0.25">
      <c r="B208" s="2"/>
      <c r="C208" s="19"/>
      <c r="D208" s="2"/>
      <c r="E208" s="2"/>
      <c r="F208" s="19"/>
      <c r="G208" s="2"/>
      <c r="H208" s="2"/>
      <c r="I208" s="2"/>
      <c r="J208" s="2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</row>
    <row r="209" spans="2:31" x14ac:dyDescent="0.25">
      <c r="B209" s="2"/>
      <c r="C209" s="19"/>
      <c r="D209" s="2"/>
      <c r="E209" s="2"/>
      <c r="F209" s="19"/>
      <c r="G209" s="2"/>
      <c r="H209" s="2"/>
      <c r="I209" s="2"/>
      <c r="J209" s="2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</row>
    <row r="210" spans="2:31" x14ac:dyDescent="0.25">
      <c r="B210" s="2"/>
      <c r="C210" s="19"/>
      <c r="D210" s="2"/>
      <c r="E210" s="2"/>
      <c r="F210" s="19"/>
      <c r="G210" s="2"/>
      <c r="H210" s="2"/>
      <c r="I210" s="2"/>
      <c r="J210" s="2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</row>
    <row r="211" spans="2:31" x14ac:dyDescent="0.25">
      <c r="B211" s="2"/>
      <c r="C211" s="19"/>
      <c r="D211" s="2"/>
      <c r="E211" s="2"/>
      <c r="F211" s="19"/>
      <c r="G211" s="2"/>
      <c r="H211" s="2"/>
      <c r="I211" s="2"/>
      <c r="J211" s="2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</row>
    <row r="212" spans="2:31" x14ac:dyDescent="0.25">
      <c r="B212" s="2"/>
      <c r="C212" s="19"/>
      <c r="D212" s="2"/>
      <c r="E212" s="2"/>
      <c r="F212" s="19"/>
      <c r="G212" s="2"/>
      <c r="H212" s="2"/>
      <c r="I212" s="2"/>
      <c r="J212" s="2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</row>
    <row r="213" spans="2:31" x14ac:dyDescent="0.25">
      <c r="B213" s="2"/>
      <c r="C213" s="19"/>
      <c r="D213" s="2"/>
      <c r="E213" s="2"/>
      <c r="F213" s="19"/>
      <c r="G213" s="2"/>
      <c r="H213" s="2"/>
      <c r="I213" s="2"/>
      <c r="J213" s="2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</row>
    <row r="214" spans="2:31" x14ac:dyDescent="0.25">
      <c r="B214" s="2"/>
      <c r="C214" s="19"/>
      <c r="D214" s="2"/>
      <c r="E214" s="2"/>
      <c r="F214" s="19"/>
      <c r="G214" s="2"/>
      <c r="H214" s="2"/>
      <c r="I214" s="2"/>
      <c r="J214" s="2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</row>
    <row r="215" spans="2:31" x14ac:dyDescent="0.25">
      <c r="B215" s="2"/>
      <c r="C215" s="19"/>
      <c r="D215" s="2"/>
      <c r="E215" s="2"/>
      <c r="F215" s="19"/>
      <c r="G215" s="2"/>
      <c r="H215" s="2"/>
      <c r="I215" s="2"/>
      <c r="J215" s="2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</row>
    <row r="216" spans="2:31" x14ac:dyDescent="0.25">
      <c r="B216" s="2"/>
      <c r="C216" s="19"/>
      <c r="D216" s="2"/>
      <c r="E216" s="2"/>
      <c r="F216" s="19"/>
      <c r="G216" s="2"/>
      <c r="H216" s="2"/>
      <c r="I216" s="2"/>
      <c r="J216" s="2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</row>
    <row r="217" spans="2:31" x14ac:dyDescent="0.25">
      <c r="B217" s="2"/>
      <c r="C217" s="19"/>
      <c r="D217" s="2"/>
      <c r="E217" s="2"/>
      <c r="F217" s="19"/>
      <c r="G217" s="2"/>
      <c r="H217" s="2"/>
      <c r="I217" s="2"/>
      <c r="J217" s="2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</row>
    <row r="218" spans="2:31" x14ac:dyDescent="0.25">
      <c r="B218" s="2"/>
      <c r="C218" s="19"/>
      <c r="D218" s="2"/>
      <c r="E218" s="2"/>
      <c r="F218" s="19"/>
      <c r="G218" s="2"/>
      <c r="H218" s="2"/>
      <c r="I218" s="2"/>
      <c r="J218" s="2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</row>
    <row r="219" spans="2:31" x14ac:dyDescent="0.25">
      <c r="B219" s="2"/>
      <c r="C219" s="19"/>
      <c r="D219" s="2"/>
      <c r="E219" s="2"/>
      <c r="F219" s="19"/>
      <c r="G219" s="2"/>
      <c r="H219" s="2"/>
      <c r="I219" s="2"/>
      <c r="J219" s="2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</row>
    <row r="220" spans="2:31" x14ac:dyDescent="0.25">
      <c r="B220" s="2"/>
      <c r="C220" s="19"/>
      <c r="D220" s="2"/>
      <c r="E220" s="2"/>
      <c r="F220" s="19"/>
      <c r="G220" s="2"/>
      <c r="H220" s="2"/>
      <c r="I220" s="2"/>
      <c r="J220" s="2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</row>
    <row r="221" spans="2:31" x14ac:dyDescent="0.25">
      <c r="B221" s="2"/>
      <c r="C221" s="19"/>
      <c r="D221" s="2"/>
      <c r="E221" s="2"/>
      <c r="F221" s="19"/>
      <c r="G221" s="2"/>
      <c r="H221" s="2"/>
      <c r="I221" s="2"/>
      <c r="J221" s="2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</row>
    <row r="222" spans="2:31" x14ac:dyDescent="0.25">
      <c r="B222" s="2"/>
      <c r="C222" s="19"/>
      <c r="D222" s="2"/>
      <c r="E222" s="2"/>
      <c r="F222" s="19"/>
      <c r="G222" s="2"/>
      <c r="H222" s="2"/>
      <c r="I222" s="2"/>
      <c r="J222" s="2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</row>
    <row r="223" spans="2:31" x14ac:dyDescent="0.25">
      <c r="B223" s="2"/>
      <c r="C223" s="19"/>
      <c r="D223" s="2"/>
      <c r="E223" s="2"/>
      <c r="F223" s="19"/>
      <c r="G223" s="2"/>
      <c r="H223" s="2"/>
      <c r="I223" s="2"/>
      <c r="J223" s="2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</row>
    <row r="224" spans="2:31" x14ac:dyDescent="0.25">
      <c r="B224" s="2"/>
      <c r="C224" s="19"/>
      <c r="D224" s="2"/>
      <c r="E224" s="2"/>
      <c r="F224" s="19"/>
      <c r="G224" s="2"/>
      <c r="H224" s="2"/>
      <c r="I224" s="2"/>
      <c r="J224" s="2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</row>
    <row r="225" spans="2:31" x14ac:dyDescent="0.25">
      <c r="B225" s="2"/>
      <c r="C225" s="19"/>
      <c r="D225" s="2"/>
      <c r="E225" s="2"/>
      <c r="F225" s="19"/>
      <c r="G225" s="2"/>
      <c r="H225" s="2"/>
      <c r="I225" s="2"/>
      <c r="J225" s="2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</row>
    <row r="226" spans="2:31" x14ac:dyDescent="0.25">
      <c r="B226" s="2"/>
      <c r="C226" s="19"/>
      <c r="D226" s="2"/>
      <c r="E226" s="2"/>
      <c r="F226" s="19"/>
      <c r="G226" s="2"/>
      <c r="H226" s="2"/>
      <c r="I226" s="2"/>
      <c r="J226" s="2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</row>
    <row r="227" spans="2:31" x14ac:dyDescent="0.25">
      <c r="B227" s="2"/>
      <c r="C227" s="19"/>
      <c r="D227" s="2"/>
      <c r="E227" s="2"/>
      <c r="F227" s="19"/>
      <c r="G227" s="2"/>
      <c r="H227" s="2"/>
      <c r="I227" s="2"/>
      <c r="J227" s="2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</row>
    <row r="228" spans="2:31" x14ac:dyDescent="0.25">
      <c r="B228" s="2"/>
      <c r="C228" s="19"/>
      <c r="D228" s="2"/>
      <c r="E228" s="2"/>
      <c r="F228" s="19"/>
      <c r="G228" s="2"/>
      <c r="H228" s="2"/>
      <c r="I228" s="2"/>
      <c r="J228" s="2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</row>
    <row r="229" spans="2:31" x14ac:dyDescent="0.25">
      <c r="B229" s="2"/>
      <c r="C229" s="19"/>
      <c r="D229" s="2"/>
      <c r="E229" s="2"/>
      <c r="F229" s="19"/>
      <c r="G229" s="2"/>
      <c r="H229" s="2"/>
      <c r="I229" s="2"/>
      <c r="J229" s="2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</row>
    <row r="230" spans="2:31" x14ac:dyDescent="0.25">
      <c r="B230" s="2"/>
      <c r="C230" s="19"/>
      <c r="D230" s="2"/>
      <c r="E230" s="2"/>
      <c r="F230" s="19"/>
      <c r="G230" s="2"/>
      <c r="H230" s="2"/>
      <c r="I230" s="2"/>
      <c r="J230" s="2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</row>
    <row r="231" spans="2:31" x14ac:dyDescent="0.25">
      <c r="B231" s="2"/>
      <c r="C231" s="19"/>
      <c r="D231" s="2"/>
      <c r="E231" s="2"/>
      <c r="F231" s="19"/>
      <c r="G231" s="2"/>
      <c r="H231" s="2"/>
      <c r="I231" s="2"/>
      <c r="J231" s="2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</row>
    <row r="232" spans="2:31" x14ac:dyDescent="0.25">
      <c r="B232" s="2"/>
      <c r="C232" s="19"/>
      <c r="D232" s="2"/>
      <c r="E232" s="2"/>
      <c r="F232" s="19"/>
      <c r="G232" s="2"/>
      <c r="H232" s="2"/>
      <c r="I232" s="2"/>
      <c r="J232" s="2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</row>
    <row r="233" spans="2:31" x14ac:dyDescent="0.25">
      <c r="B233" s="2"/>
      <c r="C233" s="19"/>
      <c r="D233" s="2"/>
      <c r="E233" s="2"/>
      <c r="F233" s="19"/>
      <c r="G233" s="2"/>
      <c r="H233" s="2"/>
      <c r="I233" s="2"/>
      <c r="J233" s="2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</row>
    <row r="234" spans="2:31" x14ac:dyDescent="0.25">
      <c r="B234" s="2"/>
      <c r="C234" s="19"/>
      <c r="D234" s="2"/>
      <c r="E234" s="2"/>
      <c r="F234" s="19"/>
      <c r="G234" s="2"/>
      <c r="H234" s="2"/>
      <c r="I234" s="2"/>
      <c r="J234" s="2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</row>
    <row r="235" spans="2:31" x14ac:dyDescent="0.25">
      <c r="B235" s="2"/>
      <c r="C235" s="19"/>
      <c r="D235" s="2"/>
      <c r="E235" s="2"/>
      <c r="F235" s="19"/>
      <c r="G235" s="2"/>
      <c r="H235" s="2"/>
      <c r="I235" s="2"/>
      <c r="J235" s="2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</row>
    <row r="236" spans="2:31" x14ac:dyDescent="0.25">
      <c r="B236" s="2"/>
      <c r="C236" s="19"/>
      <c r="D236" s="2"/>
      <c r="E236" s="2"/>
      <c r="F236" s="19"/>
      <c r="G236" s="2"/>
      <c r="H236" s="2"/>
      <c r="I236" s="2"/>
      <c r="J236" s="2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</row>
    <row r="237" spans="2:31" x14ac:dyDescent="0.25">
      <c r="B237" s="2"/>
      <c r="C237" s="19"/>
      <c r="D237" s="2"/>
      <c r="E237" s="2"/>
      <c r="F237" s="19"/>
      <c r="G237" s="2"/>
      <c r="H237" s="2"/>
      <c r="I237" s="2"/>
      <c r="J237" s="2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</row>
    <row r="238" spans="2:31" x14ac:dyDescent="0.25">
      <c r="B238" s="2"/>
      <c r="C238" s="19"/>
      <c r="D238" s="2"/>
      <c r="E238" s="2"/>
      <c r="F238" s="19"/>
      <c r="G238" s="2"/>
      <c r="H238" s="2"/>
      <c r="I238" s="2"/>
      <c r="J238" s="2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</row>
    <row r="239" spans="2:31" x14ac:dyDescent="0.25">
      <c r="B239" s="2"/>
      <c r="C239" s="19"/>
      <c r="D239" s="2"/>
      <c r="E239" s="2"/>
      <c r="F239" s="19"/>
      <c r="G239" s="2"/>
      <c r="H239" s="2"/>
      <c r="I239" s="2"/>
      <c r="J239" s="2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</row>
    <row r="240" spans="2:31" x14ac:dyDescent="0.25">
      <c r="B240" s="2"/>
      <c r="C240" s="19"/>
      <c r="D240" s="2"/>
      <c r="E240" s="2"/>
      <c r="F240" s="19"/>
      <c r="G240" s="2"/>
      <c r="H240" s="2"/>
      <c r="I240" s="2"/>
      <c r="J240" s="2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</row>
    <row r="241" spans="2:31" x14ac:dyDescent="0.25">
      <c r="B241" s="2"/>
      <c r="C241" s="19"/>
      <c r="D241" s="2"/>
      <c r="E241" s="2"/>
      <c r="F241" s="19"/>
      <c r="G241" s="2"/>
      <c r="H241" s="2"/>
      <c r="I241" s="2"/>
      <c r="J241" s="2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</row>
    <row r="242" spans="2:31" x14ac:dyDescent="0.25">
      <c r="B242" s="2"/>
      <c r="C242" s="19"/>
      <c r="D242" s="2"/>
      <c r="E242" s="2"/>
      <c r="F242" s="19"/>
      <c r="G242" s="2"/>
      <c r="H242" s="2"/>
      <c r="I242" s="2"/>
      <c r="J242" s="2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</row>
    <row r="243" spans="2:31" x14ac:dyDescent="0.25">
      <c r="B243" s="2"/>
      <c r="C243" s="19"/>
      <c r="D243" s="2"/>
      <c r="E243" s="2"/>
      <c r="F243" s="19"/>
      <c r="G243" s="2"/>
      <c r="H243" s="2"/>
      <c r="I243" s="2"/>
      <c r="J243" s="2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</row>
    <row r="244" spans="2:31" x14ac:dyDescent="0.25">
      <c r="B244" s="2"/>
      <c r="C244" s="19"/>
      <c r="D244" s="2"/>
      <c r="E244" s="2"/>
      <c r="F244" s="19"/>
      <c r="G244" s="2"/>
      <c r="H244" s="2"/>
      <c r="I244" s="2"/>
      <c r="J244" s="2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</row>
    <row r="245" spans="2:31" x14ac:dyDescent="0.25">
      <c r="B245" s="2"/>
      <c r="C245" s="19"/>
      <c r="D245" s="2"/>
      <c r="E245" s="2"/>
      <c r="F245" s="19"/>
      <c r="G245" s="2"/>
      <c r="H245" s="2"/>
      <c r="I245" s="2"/>
      <c r="J245" s="2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</row>
    <row r="246" spans="2:31" x14ac:dyDescent="0.25">
      <c r="B246" s="2"/>
      <c r="C246" s="19"/>
      <c r="D246" s="2"/>
      <c r="E246" s="2"/>
      <c r="F246" s="19"/>
      <c r="G246" s="2"/>
      <c r="H246" s="2"/>
      <c r="I246" s="2"/>
      <c r="J246" s="2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</row>
    <row r="247" spans="2:31" x14ac:dyDescent="0.25">
      <c r="B247" s="2"/>
      <c r="C247" s="19"/>
      <c r="D247" s="2"/>
      <c r="E247" s="2"/>
      <c r="F247" s="19"/>
      <c r="G247" s="2"/>
      <c r="H247" s="2"/>
      <c r="I247" s="2"/>
      <c r="J247" s="2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</row>
    <row r="248" spans="2:31" x14ac:dyDescent="0.25">
      <c r="B248" s="2"/>
      <c r="C248" s="19"/>
      <c r="D248" s="2"/>
      <c r="E248" s="2"/>
      <c r="F248" s="19"/>
      <c r="G248" s="2"/>
      <c r="H248" s="2"/>
      <c r="I248" s="2"/>
      <c r="J248" s="2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</row>
    <row r="249" spans="2:31" x14ac:dyDescent="0.25">
      <c r="B249" s="2"/>
      <c r="C249" s="19"/>
      <c r="D249" s="2"/>
      <c r="E249" s="2"/>
      <c r="F249" s="19"/>
      <c r="G249" s="2"/>
      <c r="H249" s="2"/>
      <c r="I249" s="2"/>
      <c r="J249" s="2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</row>
    <row r="250" spans="2:31" x14ac:dyDescent="0.25">
      <c r="B250" s="2"/>
      <c r="C250" s="19"/>
      <c r="D250" s="2"/>
      <c r="E250" s="2"/>
      <c r="F250" s="19"/>
      <c r="G250" s="2"/>
      <c r="H250" s="2"/>
      <c r="I250" s="2"/>
      <c r="J250" s="2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</row>
    <row r="251" spans="2:31" x14ac:dyDescent="0.25">
      <c r="B251" s="2"/>
      <c r="C251" s="19"/>
      <c r="D251" s="2"/>
      <c r="E251" s="2"/>
      <c r="F251" s="19"/>
      <c r="G251" s="2"/>
      <c r="H251" s="2"/>
      <c r="I251" s="2"/>
      <c r="J251" s="2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</row>
    <row r="252" spans="2:31" x14ac:dyDescent="0.25">
      <c r="B252" s="2"/>
      <c r="C252" s="19"/>
      <c r="D252" s="2"/>
      <c r="E252" s="2"/>
      <c r="F252" s="19"/>
      <c r="G252" s="2"/>
      <c r="H252" s="2"/>
      <c r="I252" s="2"/>
      <c r="J252" s="2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</row>
    <row r="253" spans="2:31" x14ac:dyDescent="0.25">
      <c r="B253" s="2"/>
      <c r="C253" s="19"/>
      <c r="D253" s="2"/>
      <c r="E253" s="2"/>
      <c r="F253" s="19"/>
      <c r="G253" s="2"/>
      <c r="H253" s="2"/>
      <c r="I253" s="2"/>
      <c r="J253" s="2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</row>
    <row r="254" spans="2:31" x14ac:dyDescent="0.25">
      <c r="B254" s="2"/>
      <c r="C254" s="19"/>
      <c r="D254" s="2"/>
      <c r="E254" s="2"/>
      <c r="F254" s="19"/>
      <c r="G254" s="2"/>
      <c r="H254" s="2"/>
      <c r="I254" s="2"/>
      <c r="J254" s="2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</row>
    <row r="255" spans="2:31" x14ac:dyDescent="0.25">
      <c r="B255" s="2"/>
      <c r="C255" s="19"/>
      <c r="D255" s="2"/>
      <c r="E255" s="2"/>
      <c r="F255" s="19"/>
      <c r="G255" s="2"/>
      <c r="H255" s="2"/>
      <c r="I255" s="2"/>
      <c r="J255" s="2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</row>
    <row r="256" spans="2:31" x14ac:dyDescent="0.25">
      <c r="B256" s="2"/>
      <c r="C256" s="19"/>
      <c r="D256" s="2"/>
      <c r="E256" s="2"/>
      <c r="F256" s="19"/>
      <c r="G256" s="2"/>
      <c r="H256" s="2"/>
      <c r="I256" s="2"/>
      <c r="J256" s="2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</row>
    <row r="257" spans="2:31" x14ac:dyDescent="0.25">
      <c r="B257" s="2"/>
      <c r="C257" s="19"/>
      <c r="D257" s="2"/>
      <c r="E257" s="2"/>
      <c r="F257" s="19"/>
      <c r="G257" s="2"/>
      <c r="H257" s="2"/>
      <c r="I257" s="2"/>
      <c r="J257" s="2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</row>
    <row r="258" spans="2:31" x14ac:dyDescent="0.25">
      <c r="B258" s="2"/>
      <c r="C258" s="19"/>
      <c r="D258" s="2"/>
      <c r="E258" s="2"/>
      <c r="F258" s="19"/>
      <c r="G258" s="2"/>
      <c r="H258" s="2"/>
      <c r="I258" s="2"/>
      <c r="J258" s="2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</row>
    <row r="259" spans="2:31" x14ac:dyDescent="0.25">
      <c r="B259" s="2"/>
      <c r="C259" s="19"/>
      <c r="D259" s="2"/>
      <c r="E259" s="2"/>
      <c r="F259" s="19"/>
      <c r="G259" s="2"/>
      <c r="H259" s="2"/>
      <c r="I259" s="2"/>
      <c r="J259" s="2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</row>
    <row r="260" spans="2:31" x14ac:dyDescent="0.25">
      <c r="B260" s="2"/>
      <c r="C260" s="19"/>
      <c r="D260" s="2"/>
      <c r="E260" s="2"/>
      <c r="F260" s="19"/>
      <c r="G260" s="2"/>
      <c r="H260" s="2"/>
      <c r="I260" s="2"/>
      <c r="J260" s="2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</row>
    <row r="261" spans="2:31" x14ac:dyDescent="0.25">
      <c r="B261" s="2"/>
      <c r="C261" s="19"/>
      <c r="D261" s="2"/>
      <c r="E261" s="2"/>
      <c r="F261" s="19"/>
      <c r="G261" s="2"/>
      <c r="H261" s="2"/>
      <c r="I261" s="2"/>
      <c r="J261" s="2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</row>
    <row r="262" spans="2:31" x14ac:dyDescent="0.25">
      <c r="B262" s="2"/>
      <c r="C262" s="19"/>
      <c r="D262" s="2"/>
      <c r="E262" s="2"/>
      <c r="F262" s="19"/>
      <c r="G262" s="2"/>
      <c r="H262" s="2"/>
      <c r="I262" s="2"/>
      <c r="J262" s="2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</row>
    <row r="263" spans="2:31" x14ac:dyDescent="0.25">
      <c r="B263" s="2"/>
      <c r="C263" s="19"/>
      <c r="D263" s="2"/>
      <c r="E263" s="2"/>
      <c r="F263" s="19"/>
      <c r="G263" s="2"/>
      <c r="H263" s="2"/>
      <c r="I263" s="2"/>
      <c r="J263" s="2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</row>
    <row r="264" spans="2:31" x14ac:dyDescent="0.25">
      <c r="B264" s="2"/>
      <c r="C264" s="19"/>
      <c r="D264" s="2"/>
      <c r="E264" s="2"/>
      <c r="F264" s="19"/>
      <c r="G264" s="2"/>
      <c r="H264" s="2"/>
      <c r="I264" s="2"/>
      <c r="J264" s="2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</row>
    <row r="265" spans="2:31" x14ac:dyDescent="0.25">
      <c r="B265" s="2"/>
      <c r="C265" s="19"/>
      <c r="D265" s="2"/>
      <c r="E265" s="2"/>
      <c r="F265" s="19"/>
      <c r="G265" s="2"/>
      <c r="H265" s="2"/>
      <c r="I265" s="2"/>
      <c r="J265" s="2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</row>
    <row r="266" spans="2:31" x14ac:dyDescent="0.25">
      <c r="B266" s="2"/>
      <c r="C266" s="19"/>
      <c r="D266" s="2"/>
      <c r="E266" s="2"/>
      <c r="F266" s="19"/>
      <c r="G266" s="2"/>
      <c r="H266" s="2"/>
      <c r="I266" s="2"/>
      <c r="J266" s="2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</row>
    <row r="267" spans="2:31" x14ac:dyDescent="0.25">
      <c r="B267" s="2"/>
      <c r="C267" s="19"/>
      <c r="D267" s="2"/>
      <c r="E267" s="2"/>
      <c r="F267" s="19"/>
      <c r="G267" s="2"/>
      <c r="H267" s="2"/>
      <c r="I267" s="2"/>
      <c r="J267" s="2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</row>
    <row r="268" spans="2:31" x14ac:dyDescent="0.25">
      <c r="B268" s="2"/>
      <c r="C268" s="19"/>
      <c r="D268" s="2"/>
      <c r="E268" s="2"/>
      <c r="F268" s="19"/>
      <c r="G268" s="2"/>
      <c r="H268" s="2"/>
      <c r="I268" s="2"/>
      <c r="J268" s="2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</row>
    <row r="269" spans="2:31" x14ac:dyDescent="0.25">
      <c r="B269" s="2"/>
      <c r="C269" s="19"/>
      <c r="D269" s="2"/>
      <c r="E269" s="2"/>
      <c r="F269" s="19"/>
      <c r="G269" s="2"/>
      <c r="H269" s="2"/>
      <c r="I269" s="2"/>
      <c r="J269" s="2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</row>
    <row r="270" spans="2:31" x14ac:dyDescent="0.25">
      <c r="B270" s="2"/>
      <c r="C270" s="19"/>
      <c r="D270" s="2"/>
      <c r="E270" s="2"/>
      <c r="F270" s="19"/>
      <c r="G270" s="2"/>
      <c r="H270" s="2"/>
      <c r="I270" s="2"/>
      <c r="J270" s="2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</row>
    <row r="271" spans="2:31" x14ac:dyDescent="0.25">
      <c r="B271" s="2"/>
      <c r="C271" s="19"/>
      <c r="D271" s="2"/>
      <c r="E271" s="2"/>
      <c r="F271" s="19"/>
      <c r="G271" s="2"/>
      <c r="H271" s="2"/>
      <c r="I271" s="2"/>
      <c r="J271" s="2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</row>
    <row r="272" spans="2:31" x14ac:dyDescent="0.25">
      <c r="B272" s="2"/>
      <c r="C272" s="19"/>
      <c r="D272" s="2"/>
      <c r="E272" s="2"/>
      <c r="F272" s="19"/>
      <c r="G272" s="2"/>
      <c r="H272" s="2"/>
      <c r="I272" s="2"/>
      <c r="J272" s="2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</row>
    <row r="273" spans="2:31" x14ac:dyDescent="0.25">
      <c r="B273" s="2"/>
      <c r="C273" s="19"/>
      <c r="D273" s="2"/>
      <c r="E273" s="2"/>
      <c r="F273" s="19"/>
      <c r="G273" s="2"/>
      <c r="H273" s="2"/>
      <c r="I273" s="2"/>
      <c r="J273" s="2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</row>
    <row r="274" spans="2:31" x14ac:dyDescent="0.25">
      <c r="B274" s="2"/>
      <c r="C274" s="19"/>
      <c r="D274" s="2"/>
      <c r="E274" s="2"/>
      <c r="F274" s="19"/>
      <c r="G274" s="2"/>
      <c r="H274" s="2"/>
      <c r="I274" s="2"/>
      <c r="J274" s="2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</row>
    <row r="275" spans="2:31" x14ac:dyDescent="0.25">
      <c r="B275" s="2"/>
      <c r="C275" s="19"/>
      <c r="D275" s="2"/>
      <c r="E275" s="2"/>
      <c r="F275" s="19"/>
      <c r="G275" s="2"/>
      <c r="H275" s="2"/>
      <c r="I275" s="2"/>
      <c r="J275" s="2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</row>
    <row r="276" spans="2:31" x14ac:dyDescent="0.25">
      <c r="B276" s="2"/>
      <c r="C276" s="19"/>
      <c r="D276" s="2"/>
      <c r="E276" s="2"/>
      <c r="F276" s="19"/>
      <c r="G276" s="2"/>
      <c r="H276" s="2"/>
      <c r="I276" s="2"/>
      <c r="J276" s="2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</row>
    <row r="277" spans="2:31" x14ac:dyDescent="0.25">
      <c r="B277" s="2"/>
      <c r="C277" s="19"/>
      <c r="D277" s="2"/>
      <c r="E277" s="2"/>
      <c r="F277" s="19"/>
      <c r="G277" s="2"/>
      <c r="H277" s="2"/>
      <c r="I277" s="2"/>
      <c r="J277" s="2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</row>
    <row r="278" spans="2:31" x14ac:dyDescent="0.25">
      <c r="B278" s="2"/>
      <c r="C278" s="19"/>
      <c r="D278" s="2"/>
      <c r="E278" s="2"/>
      <c r="F278" s="19"/>
      <c r="G278" s="2"/>
      <c r="H278" s="2"/>
      <c r="I278" s="2"/>
      <c r="J278" s="2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</row>
    <row r="279" spans="2:31" x14ac:dyDescent="0.25">
      <c r="B279" s="2"/>
      <c r="C279" s="19"/>
      <c r="D279" s="2"/>
      <c r="E279" s="2"/>
      <c r="F279" s="19"/>
      <c r="G279" s="2"/>
      <c r="H279" s="2"/>
      <c r="I279" s="2"/>
      <c r="J279" s="2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</row>
    <row r="280" spans="2:31" x14ac:dyDescent="0.25">
      <c r="B280" s="2"/>
      <c r="C280" s="19"/>
      <c r="D280" s="2"/>
      <c r="E280" s="2"/>
      <c r="F280" s="19"/>
      <c r="G280" s="2"/>
      <c r="H280" s="2"/>
      <c r="I280" s="2"/>
      <c r="J280" s="2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</row>
    <row r="281" spans="2:31" x14ac:dyDescent="0.25">
      <c r="B281" s="2"/>
      <c r="C281" s="19"/>
      <c r="D281" s="2"/>
      <c r="E281" s="2"/>
      <c r="F281" s="19"/>
      <c r="G281" s="2"/>
      <c r="H281" s="2"/>
      <c r="I281" s="2"/>
      <c r="J281" s="2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</row>
    <row r="282" spans="2:31" x14ac:dyDescent="0.25">
      <c r="B282" s="2"/>
      <c r="C282" s="19"/>
      <c r="D282" s="2"/>
      <c r="E282" s="2"/>
      <c r="F282" s="19"/>
      <c r="G282" s="2"/>
      <c r="H282" s="2"/>
      <c r="I282" s="2"/>
      <c r="J282" s="2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</row>
    <row r="283" spans="2:31" x14ac:dyDescent="0.25">
      <c r="B283" s="2"/>
      <c r="C283" s="19"/>
      <c r="D283" s="2"/>
      <c r="E283" s="2"/>
      <c r="F283" s="19"/>
      <c r="G283" s="2"/>
      <c r="H283" s="2"/>
      <c r="I283" s="2"/>
      <c r="J283" s="2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</row>
    <row r="284" spans="2:31" x14ac:dyDescent="0.25">
      <c r="B284" s="2"/>
      <c r="C284" s="19"/>
      <c r="D284" s="2"/>
      <c r="E284" s="2"/>
      <c r="F284" s="19"/>
      <c r="G284" s="2"/>
      <c r="H284" s="2"/>
      <c r="I284" s="2"/>
      <c r="J284" s="2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</row>
    <row r="285" spans="2:31" x14ac:dyDescent="0.25">
      <c r="B285" s="2"/>
      <c r="C285" s="19"/>
      <c r="D285" s="2"/>
      <c r="E285" s="2"/>
      <c r="F285" s="19"/>
      <c r="G285" s="2"/>
      <c r="H285" s="2"/>
      <c r="I285" s="2"/>
      <c r="J285" s="2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</row>
    <row r="286" spans="2:31" x14ac:dyDescent="0.25">
      <c r="B286" s="2"/>
      <c r="C286" s="19"/>
      <c r="D286" s="2"/>
      <c r="E286" s="2"/>
      <c r="F286" s="19"/>
      <c r="G286" s="2"/>
      <c r="H286" s="2"/>
      <c r="I286" s="2"/>
      <c r="J286" s="2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</row>
    <row r="287" spans="2:31" x14ac:dyDescent="0.25">
      <c r="B287" s="2"/>
      <c r="C287" s="19"/>
      <c r="D287" s="2"/>
      <c r="E287" s="2"/>
      <c r="F287" s="19"/>
      <c r="G287" s="2"/>
      <c r="H287" s="2"/>
      <c r="I287" s="2"/>
      <c r="J287" s="2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</row>
    <row r="288" spans="2:31" x14ac:dyDescent="0.25">
      <c r="B288" s="2"/>
      <c r="C288" s="19"/>
      <c r="D288" s="2"/>
      <c r="E288" s="2"/>
      <c r="F288" s="19"/>
      <c r="G288" s="2"/>
      <c r="H288" s="2"/>
      <c r="I288" s="2"/>
      <c r="J288" s="2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</row>
    <row r="289" spans="2:31" x14ac:dyDescent="0.25">
      <c r="B289" s="2"/>
      <c r="C289" s="19"/>
      <c r="D289" s="2"/>
      <c r="E289" s="2"/>
      <c r="F289" s="19"/>
      <c r="G289" s="2"/>
      <c r="H289" s="2"/>
      <c r="I289" s="2"/>
      <c r="J289" s="2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</row>
    <row r="290" spans="2:31" x14ac:dyDescent="0.25">
      <c r="B290" s="2"/>
      <c r="C290" s="19"/>
      <c r="D290" s="2"/>
      <c r="E290" s="2"/>
      <c r="F290" s="19"/>
      <c r="G290" s="2"/>
      <c r="H290" s="2"/>
      <c r="I290" s="2"/>
      <c r="J290" s="2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</row>
    <row r="291" spans="2:31" x14ac:dyDescent="0.25">
      <c r="B291" s="2"/>
      <c r="C291" s="19"/>
      <c r="D291" s="2"/>
      <c r="E291" s="2"/>
      <c r="F291" s="19"/>
      <c r="G291" s="2"/>
      <c r="H291" s="2"/>
      <c r="I291" s="2"/>
      <c r="J291" s="2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</row>
    <row r="292" spans="2:31" x14ac:dyDescent="0.25">
      <c r="B292" s="2"/>
      <c r="C292" s="19"/>
      <c r="D292" s="2"/>
      <c r="E292" s="2"/>
      <c r="F292" s="19"/>
      <c r="G292" s="2"/>
      <c r="H292" s="2"/>
      <c r="I292" s="2"/>
      <c r="J292" s="2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</row>
    <row r="293" spans="2:31" x14ac:dyDescent="0.25">
      <c r="B293" s="2"/>
      <c r="C293" s="19"/>
      <c r="D293" s="2"/>
      <c r="E293" s="2"/>
      <c r="F293" s="19"/>
      <c r="G293" s="2"/>
      <c r="H293" s="2"/>
      <c r="I293" s="2"/>
      <c r="J293" s="2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</row>
    <row r="294" spans="2:31" x14ac:dyDescent="0.25">
      <c r="B294" s="2"/>
      <c r="C294" s="19"/>
      <c r="D294" s="2"/>
      <c r="E294" s="2"/>
      <c r="F294" s="19"/>
      <c r="G294" s="2"/>
      <c r="H294" s="2"/>
      <c r="I294" s="2"/>
      <c r="J294" s="2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</row>
    <row r="295" spans="2:31" x14ac:dyDescent="0.25">
      <c r="B295" s="2"/>
      <c r="C295" s="19"/>
      <c r="D295" s="2"/>
      <c r="E295" s="2"/>
      <c r="F295" s="19"/>
      <c r="G295" s="2"/>
      <c r="H295" s="2"/>
      <c r="I295" s="2"/>
      <c r="J295" s="2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</row>
    <row r="296" spans="2:31" x14ac:dyDescent="0.25">
      <c r="B296" s="2"/>
      <c r="C296" s="19"/>
      <c r="D296" s="2"/>
      <c r="E296" s="2"/>
      <c r="F296" s="19"/>
      <c r="G296" s="2"/>
      <c r="H296" s="2"/>
      <c r="I296" s="2"/>
      <c r="J296" s="2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</row>
    <row r="297" spans="2:31" x14ac:dyDescent="0.25">
      <c r="B297" s="2"/>
      <c r="C297" s="19"/>
      <c r="D297" s="2"/>
      <c r="E297" s="2"/>
      <c r="F297" s="19"/>
      <c r="G297" s="2"/>
      <c r="H297" s="2"/>
      <c r="I297" s="2"/>
      <c r="J297" s="2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</row>
    <row r="298" spans="2:31" x14ac:dyDescent="0.25">
      <c r="B298" s="2"/>
      <c r="C298" s="19"/>
      <c r="D298" s="2"/>
      <c r="E298" s="2"/>
      <c r="F298" s="19"/>
      <c r="G298" s="2"/>
      <c r="H298" s="2"/>
      <c r="I298" s="2"/>
      <c r="J298" s="2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</row>
    <row r="299" spans="2:31" x14ac:dyDescent="0.25">
      <c r="B299" s="2"/>
      <c r="C299" s="19"/>
      <c r="D299" s="2"/>
      <c r="E299" s="2"/>
      <c r="F299" s="19"/>
      <c r="G299" s="2"/>
      <c r="H299" s="2"/>
      <c r="I299" s="2"/>
      <c r="J299" s="2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</row>
    <row r="300" spans="2:31" x14ac:dyDescent="0.25">
      <c r="B300" s="2"/>
      <c r="C300" s="19"/>
      <c r="D300" s="2"/>
      <c r="E300" s="2"/>
      <c r="F300" s="19"/>
      <c r="G300" s="2"/>
      <c r="H300" s="2"/>
      <c r="I300" s="2"/>
      <c r="J300" s="2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</row>
    <row r="301" spans="2:31" x14ac:dyDescent="0.25">
      <c r="B301" s="2"/>
      <c r="C301" s="19"/>
      <c r="D301" s="2"/>
      <c r="E301" s="2"/>
      <c r="F301" s="19"/>
      <c r="G301" s="2"/>
      <c r="H301" s="2"/>
      <c r="I301" s="2"/>
      <c r="J301" s="2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</row>
    <row r="302" spans="2:31" x14ac:dyDescent="0.25">
      <c r="B302" s="2"/>
      <c r="C302" s="19"/>
      <c r="D302" s="2"/>
      <c r="E302" s="2"/>
      <c r="F302" s="19"/>
      <c r="G302" s="2"/>
      <c r="H302" s="2"/>
      <c r="I302" s="2"/>
      <c r="J302" s="2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</row>
    <row r="303" spans="2:31" x14ac:dyDescent="0.25">
      <c r="B303" s="2"/>
      <c r="C303" s="19"/>
      <c r="D303" s="2"/>
      <c r="E303" s="2"/>
      <c r="F303" s="19"/>
      <c r="G303" s="2"/>
      <c r="H303" s="2"/>
      <c r="I303" s="2"/>
      <c r="J303" s="2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</row>
    <row r="304" spans="2:31" x14ac:dyDescent="0.25">
      <c r="B304" s="2"/>
      <c r="C304" s="19"/>
      <c r="D304" s="2"/>
      <c r="E304" s="2"/>
      <c r="F304" s="19"/>
      <c r="G304" s="2"/>
      <c r="H304" s="2"/>
      <c r="I304" s="2"/>
      <c r="J304" s="2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</row>
    <row r="305" spans="2:31" x14ac:dyDescent="0.25">
      <c r="B305" s="2"/>
      <c r="C305" s="19"/>
      <c r="D305" s="2"/>
      <c r="E305" s="2"/>
      <c r="F305" s="19"/>
      <c r="G305" s="2"/>
      <c r="H305" s="2"/>
      <c r="I305" s="2"/>
      <c r="J305" s="2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</row>
    <row r="306" spans="2:31" x14ac:dyDescent="0.25">
      <c r="B306" s="2"/>
      <c r="C306" s="19"/>
      <c r="D306" s="2"/>
      <c r="E306" s="2"/>
      <c r="F306" s="19"/>
      <c r="G306" s="2"/>
      <c r="H306" s="2"/>
      <c r="I306" s="2"/>
      <c r="J306" s="2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</row>
    <row r="307" spans="2:31" x14ac:dyDescent="0.25">
      <c r="B307" s="2"/>
      <c r="C307" s="19"/>
      <c r="D307" s="2"/>
      <c r="E307" s="2"/>
      <c r="F307" s="19"/>
      <c r="G307" s="2"/>
      <c r="H307" s="2"/>
      <c r="I307" s="2"/>
      <c r="J307" s="2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</row>
    <row r="308" spans="2:31" x14ac:dyDescent="0.25">
      <c r="B308" s="2"/>
      <c r="C308" s="19"/>
      <c r="D308" s="2"/>
      <c r="E308" s="2"/>
      <c r="F308" s="19"/>
      <c r="G308" s="2"/>
      <c r="H308" s="2"/>
      <c r="I308" s="2"/>
      <c r="J308" s="2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</row>
    <row r="309" spans="2:31" x14ac:dyDescent="0.25">
      <c r="B309" s="2"/>
      <c r="C309" s="19"/>
      <c r="D309" s="2"/>
      <c r="E309" s="2"/>
      <c r="F309" s="19"/>
      <c r="G309" s="2"/>
      <c r="H309" s="2"/>
      <c r="I309" s="2"/>
      <c r="J309" s="2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</row>
    <row r="310" spans="2:31" x14ac:dyDescent="0.25">
      <c r="B310" s="2"/>
      <c r="C310" s="19"/>
      <c r="D310" s="2"/>
      <c r="E310" s="2"/>
      <c r="F310" s="19"/>
      <c r="G310" s="2"/>
      <c r="H310" s="2"/>
      <c r="I310" s="2"/>
      <c r="J310" s="2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</row>
    <row r="311" spans="2:31" x14ac:dyDescent="0.25">
      <c r="B311" s="2"/>
      <c r="C311" s="19"/>
      <c r="D311" s="2"/>
      <c r="E311" s="2"/>
      <c r="F311" s="19"/>
      <c r="G311" s="2"/>
      <c r="H311" s="2"/>
      <c r="I311" s="2"/>
      <c r="J311" s="2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</row>
    <row r="312" spans="2:31" x14ac:dyDescent="0.25">
      <c r="B312" s="2"/>
      <c r="C312" s="19"/>
      <c r="D312" s="2"/>
      <c r="E312" s="2"/>
      <c r="F312" s="19"/>
      <c r="G312" s="2"/>
      <c r="H312" s="2"/>
      <c r="I312" s="2"/>
      <c r="J312" s="2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</row>
    <row r="313" spans="2:31" x14ac:dyDescent="0.25">
      <c r="B313" s="2"/>
      <c r="C313" s="19"/>
      <c r="D313" s="2"/>
      <c r="E313" s="2"/>
      <c r="F313" s="19"/>
      <c r="G313" s="2"/>
      <c r="H313" s="2"/>
      <c r="I313" s="2"/>
      <c r="J313" s="2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</row>
    <row r="314" spans="2:31" x14ac:dyDescent="0.25">
      <c r="B314" s="2"/>
      <c r="C314" s="19"/>
      <c r="D314" s="2"/>
      <c r="E314" s="2"/>
      <c r="F314" s="19"/>
      <c r="G314" s="2"/>
      <c r="H314" s="2"/>
      <c r="I314" s="2"/>
      <c r="J314" s="2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</row>
    <row r="315" spans="2:31" x14ac:dyDescent="0.25">
      <c r="B315" s="2"/>
      <c r="C315" s="19"/>
      <c r="D315" s="2"/>
      <c r="E315" s="2"/>
      <c r="F315" s="19"/>
      <c r="G315" s="2"/>
      <c r="H315" s="2"/>
      <c r="I315" s="2"/>
      <c r="J315" s="2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</row>
    <row r="316" spans="2:31" x14ac:dyDescent="0.25">
      <c r="B316" s="2"/>
      <c r="C316" s="19"/>
      <c r="D316" s="2"/>
      <c r="E316" s="2"/>
      <c r="F316" s="19"/>
      <c r="G316" s="2"/>
      <c r="H316" s="2"/>
      <c r="I316" s="2"/>
      <c r="J316" s="2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</row>
    <row r="317" spans="2:31" x14ac:dyDescent="0.25">
      <c r="B317" s="2"/>
      <c r="C317" s="19"/>
      <c r="D317" s="2"/>
      <c r="E317" s="2"/>
      <c r="F317" s="19"/>
      <c r="G317" s="2"/>
      <c r="H317" s="2"/>
      <c r="I317" s="2"/>
      <c r="J317" s="2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</row>
    <row r="318" spans="2:31" x14ac:dyDescent="0.25">
      <c r="B318" s="2"/>
      <c r="C318" s="19"/>
      <c r="D318" s="2"/>
      <c r="E318" s="2"/>
      <c r="F318" s="19"/>
      <c r="G318" s="2"/>
      <c r="H318" s="2"/>
      <c r="I318" s="2"/>
      <c r="J318" s="2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</row>
    <row r="319" spans="2:31" x14ac:dyDescent="0.25">
      <c r="B319" s="2"/>
      <c r="C319" s="19"/>
      <c r="D319" s="2"/>
      <c r="E319" s="2"/>
      <c r="F319" s="19"/>
      <c r="G319" s="2"/>
      <c r="H319" s="2"/>
      <c r="I319" s="2"/>
      <c r="J319" s="2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</row>
    <row r="320" spans="2:31" x14ac:dyDescent="0.25">
      <c r="B320" s="2"/>
      <c r="C320" s="19"/>
      <c r="D320" s="2"/>
      <c r="E320" s="2"/>
      <c r="F320" s="19"/>
      <c r="G320" s="2"/>
      <c r="H320" s="2"/>
      <c r="I320" s="2"/>
      <c r="J320" s="2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</row>
    <row r="321" spans="2:31" x14ac:dyDescent="0.25">
      <c r="B321" s="2"/>
      <c r="C321" s="19"/>
      <c r="D321" s="2"/>
      <c r="E321" s="2"/>
      <c r="F321" s="19"/>
      <c r="G321" s="2"/>
      <c r="H321" s="2"/>
      <c r="I321" s="2"/>
      <c r="J321" s="2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</row>
    <row r="322" spans="2:31" x14ac:dyDescent="0.25">
      <c r="B322" s="2"/>
      <c r="C322" s="19"/>
      <c r="D322" s="2"/>
      <c r="E322" s="2"/>
      <c r="F322" s="19"/>
      <c r="G322" s="2"/>
      <c r="H322" s="2"/>
      <c r="I322" s="2"/>
      <c r="J322" s="2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</row>
    <row r="323" spans="2:31" x14ac:dyDescent="0.25">
      <c r="B323" s="2"/>
      <c r="C323" s="19"/>
      <c r="D323" s="2"/>
      <c r="E323" s="2"/>
      <c r="F323" s="19"/>
      <c r="G323" s="2"/>
      <c r="H323" s="2"/>
      <c r="I323" s="2"/>
      <c r="J323" s="2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</row>
    <row r="324" spans="2:31" x14ac:dyDescent="0.25">
      <c r="B324" s="2"/>
      <c r="C324" s="19"/>
      <c r="D324" s="2"/>
      <c r="E324" s="2"/>
      <c r="F324" s="19"/>
      <c r="G324" s="2"/>
      <c r="H324" s="2"/>
      <c r="I324" s="2"/>
      <c r="J324" s="2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</row>
    <row r="325" spans="2:31" x14ac:dyDescent="0.25">
      <c r="B325" s="2"/>
      <c r="C325" s="19"/>
      <c r="D325" s="2"/>
      <c r="E325" s="2"/>
      <c r="F325" s="19"/>
      <c r="G325" s="2"/>
      <c r="H325" s="2"/>
      <c r="I325" s="2"/>
      <c r="J325" s="2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</row>
    <row r="326" spans="2:31" x14ac:dyDescent="0.25">
      <c r="B326" s="2"/>
      <c r="C326" s="19"/>
      <c r="D326" s="2"/>
      <c r="E326" s="2"/>
      <c r="F326" s="19"/>
      <c r="G326" s="2"/>
      <c r="H326" s="2"/>
      <c r="I326" s="2"/>
      <c r="J326" s="2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</row>
    <row r="327" spans="2:31" x14ac:dyDescent="0.25">
      <c r="B327" s="2"/>
      <c r="C327" s="19"/>
      <c r="D327" s="2"/>
      <c r="E327" s="2"/>
      <c r="F327" s="19"/>
      <c r="G327" s="2"/>
      <c r="H327" s="2"/>
      <c r="I327" s="2"/>
      <c r="J327" s="2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</row>
    <row r="328" spans="2:31" x14ac:dyDescent="0.25">
      <c r="B328" s="2"/>
      <c r="C328" s="19"/>
      <c r="D328" s="2"/>
      <c r="E328" s="2"/>
      <c r="F328" s="19"/>
      <c r="G328" s="2"/>
      <c r="H328" s="2"/>
      <c r="I328" s="2"/>
      <c r="J328" s="2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</row>
    <row r="329" spans="2:31" x14ac:dyDescent="0.25">
      <c r="B329" s="2"/>
      <c r="C329" s="19"/>
      <c r="D329" s="2"/>
      <c r="E329" s="2"/>
      <c r="F329" s="19"/>
      <c r="G329" s="2"/>
      <c r="H329" s="2"/>
      <c r="I329" s="2"/>
      <c r="J329" s="2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</row>
    <row r="330" spans="2:31" x14ac:dyDescent="0.25">
      <c r="B330" s="2"/>
      <c r="C330" s="19"/>
      <c r="D330" s="2"/>
      <c r="E330" s="2"/>
      <c r="F330" s="19"/>
      <c r="G330" s="2"/>
      <c r="H330" s="2"/>
      <c r="I330" s="2"/>
      <c r="J330" s="2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</row>
    <row r="331" spans="2:31" x14ac:dyDescent="0.25">
      <c r="B331" s="2"/>
      <c r="C331" s="19"/>
      <c r="D331" s="2"/>
      <c r="E331" s="2"/>
      <c r="F331" s="19"/>
      <c r="G331" s="2"/>
      <c r="H331" s="2"/>
      <c r="I331" s="2"/>
      <c r="J331" s="2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</row>
    <row r="332" spans="2:31" x14ac:dyDescent="0.25">
      <c r="B332" s="2"/>
      <c r="C332" s="19"/>
      <c r="D332" s="2"/>
      <c r="E332" s="2"/>
      <c r="F332" s="19"/>
      <c r="G332" s="2"/>
      <c r="H332" s="2"/>
      <c r="I332" s="2"/>
      <c r="J332" s="2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</row>
    <row r="333" spans="2:31" x14ac:dyDescent="0.25">
      <c r="B333" s="2"/>
      <c r="C333" s="19"/>
      <c r="D333" s="2"/>
      <c r="E333" s="2"/>
      <c r="F333" s="19"/>
      <c r="G333" s="2"/>
      <c r="H333" s="2"/>
      <c r="I333" s="2"/>
      <c r="J333" s="2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</row>
    <row r="334" spans="2:31" x14ac:dyDescent="0.25">
      <c r="B334" s="2"/>
      <c r="C334" s="19"/>
      <c r="D334" s="2"/>
      <c r="E334" s="2"/>
      <c r="F334" s="19"/>
      <c r="G334" s="2"/>
      <c r="H334" s="2"/>
      <c r="I334" s="2"/>
      <c r="J334" s="2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</row>
    <row r="335" spans="2:31" x14ac:dyDescent="0.25">
      <c r="B335" s="2"/>
      <c r="C335" s="19"/>
      <c r="D335" s="2"/>
      <c r="E335" s="2"/>
      <c r="F335" s="19"/>
      <c r="G335" s="2"/>
      <c r="H335" s="2"/>
      <c r="I335" s="2"/>
      <c r="J335" s="2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</row>
    <row r="336" spans="2:31" x14ac:dyDescent="0.25">
      <c r="B336" s="2"/>
      <c r="C336" s="19"/>
      <c r="D336" s="2"/>
      <c r="E336" s="2"/>
      <c r="F336" s="19"/>
      <c r="G336" s="2"/>
      <c r="H336" s="2"/>
      <c r="I336" s="2"/>
      <c r="J336" s="2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</row>
    <row r="337" spans="2:31" x14ac:dyDescent="0.25">
      <c r="B337" s="2"/>
      <c r="C337" s="19"/>
      <c r="D337" s="2"/>
      <c r="E337" s="2"/>
      <c r="F337" s="19"/>
      <c r="G337" s="2"/>
      <c r="H337" s="2"/>
      <c r="I337" s="2"/>
      <c r="J337" s="2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</row>
    <row r="338" spans="2:31" x14ac:dyDescent="0.25">
      <c r="B338" s="2"/>
      <c r="C338" s="19"/>
      <c r="D338" s="2"/>
      <c r="E338" s="2"/>
      <c r="F338" s="19"/>
      <c r="G338" s="2"/>
      <c r="H338" s="2"/>
      <c r="I338" s="2"/>
      <c r="J338" s="2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</row>
    <row r="339" spans="2:31" x14ac:dyDescent="0.25">
      <c r="B339" s="2"/>
      <c r="C339" s="19"/>
      <c r="D339" s="2"/>
      <c r="E339" s="2"/>
      <c r="F339" s="19"/>
      <c r="G339" s="2"/>
      <c r="H339" s="2"/>
      <c r="I339" s="2"/>
      <c r="J339" s="2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</row>
    <row r="340" spans="2:31" x14ac:dyDescent="0.25">
      <c r="B340" s="2"/>
      <c r="C340" s="19"/>
      <c r="D340" s="2"/>
      <c r="E340" s="2"/>
      <c r="F340" s="19"/>
      <c r="G340" s="2"/>
      <c r="H340" s="2"/>
      <c r="I340" s="2"/>
      <c r="J340" s="2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</row>
    <row r="341" spans="2:31" x14ac:dyDescent="0.25">
      <c r="B341" s="2"/>
      <c r="C341" s="19"/>
      <c r="D341" s="2"/>
      <c r="E341" s="2"/>
      <c r="F341" s="19"/>
      <c r="G341" s="2"/>
      <c r="H341" s="2"/>
      <c r="I341" s="2"/>
      <c r="J341" s="2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</row>
    <row r="342" spans="2:31" x14ac:dyDescent="0.25">
      <c r="B342" s="2"/>
      <c r="C342" s="19"/>
      <c r="D342" s="2"/>
      <c r="E342" s="2"/>
      <c r="F342" s="19"/>
      <c r="G342" s="2"/>
      <c r="H342" s="2"/>
      <c r="I342" s="2"/>
      <c r="J342" s="2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</row>
    <row r="343" spans="2:31" x14ac:dyDescent="0.25">
      <c r="B343" s="2"/>
      <c r="C343" s="19"/>
      <c r="D343" s="2"/>
      <c r="E343" s="2"/>
      <c r="F343" s="19"/>
      <c r="G343" s="2"/>
      <c r="H343" s="2"/>
      <c r="I343" s="2"/>
      <c r="J343" s="2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</row>
    <row r="344" spans="2:31" x14ac:dyDescent="0.25">
      <c r="B344" s="2"/>
      <c r="C344" s="19"/>
      <c r="D344" s="2"/>
      <c r="E344" s="2"/>
      <c r="F344" s="19"/>
      <c r="G344" s="2"/>
      <c r="H344" s="2"/>
      <c r="I344" s="2"/>
      <c r="J344" s="2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</row>
    <row r="345" spans="2:31" x14ac:dyDescent="0.25">
      <c r="B345" s="2"/>
      <c r="C345" s="19"/>
      <c r="D345" s="2"/>
      <c r="E345" s="2"/>
      <c r="F345" s="19"/>
      <c r="G345" s="2"/>
      <c r="H345" s="2"/>
      <c r="I345" s="2"/>
      <c r="J345" s="2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</row>
    <row r="346" spans="2:31" x14ac:dyDescent="0.25">
      <c r="B346" s="2"/>
      <c r="C346" s="19"/>
      <c r="D346" s="2"/>
      <c r="E346" s="2"/>
      <c r="F346" s="19"/>
      <c r="G346" s="2"/>
      <c r="H346" s="2"/>
      <c r="I346" s="2"/>
      <c r="J346" s="2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</row>
    <row r="347" spans="2:31" x14ac:dyDescent="0.25">
      <c r="B347" s="2"/>
      <c r="C347" s="19"/>
      <c r="D347" s="2"/>
      <c r="E347" s="2"/>
      <c r="F347" s="19"/>
      <c r="G347" s="2"/>
      <c r="H347" s="2"/>
      <c r="I347" s="2"/>
      <c r="J347" s="2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</row>
    <row r="348" spans="2:31" x14ac:dyDescent="0.25">
      <c r="B348" s="2"/>
      <c r="C348" s="19"/>
      <c r="D348" s="2"/>
      <c r="E348" s="2"/>
      <c r="F348" s="19"/>
      <c r="G348" s="2"/>
      <c r="H348" s="2"/>
      <c r="I348" s="2"/>
      <c r="J348" s="2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</row>
    <row r="349" spans="2:31" x14ac:dyDescent="0.25">
      <c r="B349" s="2"/>
      <c r="C349" s="19"/>
      <c r="D349" s="2"/>
      <c r="E349" s="2"/>
      <c r="F349" s="19"/>
      <c r="G349" s="2"/>
      <c r="H349" s="2"/>
      <c r="I349" s="2"/>
      <c r="J349" s="2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</row>
    <row r="350" spans="2:31" x14ac:dyDescent="0.25">
      <c r="B350" s="2"/>
      <c r="C350" s="19"/>
      <c r="D350" s="2"/>
      <c r="E350" s="2"/>
      <c r="F350" s="19"/>
      <c r="G350" s="2"/>
      <c r="H350" s="2"/>
      <c r="I350" s="2"/>
      <c r="J350" s="2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</row>
    <row r="351" spans="2:31" x14ac:dyDescent="0.25">
      <c r="B351" s="2"/>
      <c r="C351" s="19"/>
      <c r="D351" s="2"/>
      <c r="E351" s="2"/>
      <c r="F351" s="19"/>
      <c r="G351" s="2"/>
      <c r="H351" s="2"/>
      <c r="I351" s="2"/>
      <c r="J351" s="2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</row>
    <row r="352" spans="2:31" x14ac:dyDescent="0.25">
      <c r="B352" s="2"/>
      <c r="C352" s="19"/>
      <c r="D352" s="2"/>
      <c r="E352" s="2"/>
      <c r="F352" s="19"/>
      <c r="G352" s="2"/>
      <c r="H352" s="2"/>
      <c r="I352" s="2"/>
      <c r="J352" s="2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</row>
    <row r="353" spans="2:31" x14ac:dyDescent="0.25">
      <c r="B353" s="2"/>
      <c r="C353" s="19"/>
      <c r="D353" s="2"/>
      <c r="E353" s="2"/>
      <c r="F353" s="19"/>
      <c r="G353" s="2"/>
      <c r="H353" s="2"/>
      <c r="I353" s="2"/>
      <c r="J353" s="2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</row>
    <row r="354" spans="2:31" x14ac:dyDescent="0.25">
      <c r="B354" s="2"/>
      <c r="C354" s="19"/>
      <c r="D354" s="2"/>
      <c r="E354" s="2"/>
      <c r="F354" s="19"/>
      <c r="G354" s="2"/>
      <c r="H354" s="2"/>
      <c r="I354" s="2"/>
      <c r="J354" s="2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</row>
    <row r="355" spans="2:31" x14ac:dyDescent="0.25">
      <c r="B355" s="2"/>
      <c r="C355" s="19"/>
      <c r="D355" s="2"/>
      <c r="E355" s="2"/>
      <c r="F355" s="19"/>
      <c r="G355" s="2"/>
      <c r="H355" s="2"/>
      <c r="I355" s="2"/>
      <c r="J355" s="2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</row>
    <row r="356" spans="2:31" x14ac:dyDescent="0.25">
      <c r="B356" s="2"/>
      <c r="C356" s="19"/>
      <c r="D356" s="2"/>
      <c r="E356" s="2"/>
      <c r="F356" s="19"/>
      <c r="G356" s="2"/>
      <c r="H356" s="2"/>
      <c r="I356" s="2"/>
      <c r="J356" s="2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</row>
    <row r="357" spans="2:31" x14ac:dyDescent="0.25">
      <c r="B357" s="2"/>
      <c r="C357" s="19"/>
      <c r="D357" s="2"/>
      <c r="E357" s="2"/>
      <c r="F357" s="19"/>
      <c r="G357" s="2"/>
      <c r="H357" s="2"/>
      <c r="I357" s="2"/>
      <c r="J357" s="2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</row>
    <row r="358" spans="2:31" x14ac:dyDescent="0.25">
      <c r="B358" s="2"/>
      <c r="C358" s="19"/>
      <c r="D358" s="2"/>
      <c r="E358" s="2"/>
      <c r="F358" s="19"/>
      <c r="G358" s="2"/>
      <c r="H358" s="2"/>
      <c r="I358" s="2"/>
      <c r="J358" s="2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</row>
    <row r="359" spans="2:31" x14ac:dyDescent="0.25">
      <c r="B359" s="2"/>
      <c r="C359" s="19"/>
      <c r="D359" s="2"/>
      <c r="E359" s="2"/>
      <c r="F359" s="19"/>
      <c r="G359" s="2"/>
      <c r="H359" s="2"/>
      <c r="I359" s="2"/>
      <c r="J359" s="2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</row>
    <row r="360" spans="2:31" x14ac:dyDescent="0.25">
      <c r="B360" s="2"/>
      <c r="C360" s="19"/>
      <c r="D360" s="2"/>
      <c r="E360" s="2"/>
      <c r="F360" s="19"/>
      <c r="G360" s="2"/>
      <c r="H360" s="2"/>
      <c r="I360" s="2"/>
      <c r="J360" s="2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</row>
    <row r="361" spans="2:31" x14ac:dyDescent="0.25">
      <c r="B361" s="2"/>
      <c r="C361" s="19"/>
      <c r="D361" s="2"/>
      <c r="E361" s="2"/>
      <c r="F361" s="19"/>
      <c r="G361" s="2"/>
      <c r="H361" s="2"/>
      <c r="I361" s="2"/>
      <c r="J361" s="2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</row>
    <row r="362" spans="2:31" x14ac:dyDescent="0.25">
      <c r="B362" s="2"/>
      <c r="C362" s="19"/>
      <c r="D362" s="2"/>
      <c r="E362" s="2"/>
      <c r="F362" s="19"/>
      <c r="G362" s="2"/>
      <c r="H362" s="2"/>
      <c r="I362" s="2"/>
      <c r="J362" s="2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</row>
    <row r="363" spans="2:31" x14ac:dyDescent="0.25">
      <c r="B363" s="2"/>
      <c r="C363" s="19"/>
      <c r="D363" s="2"/>
      <c r="E363" s="2"/>
      <c r="F363" s="19"/>
      <c r="G363" s="2"/>
      <c r="H363" s="2"/>
      <c r="I363" s="2"/>
      <c r="J363" s="2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</row>
    <row r="364" spans="2:31" x14ac:dyDescent="0.25">
      <c r="B364" s="2"/>
      <c r="C364" s="19"/>
      <c r="D364" s="2"/>
      <c r="E364" s="2"/>
      <c r="F364" s="19"/>
      <c r="G364" s="2"/>
      <c r="H364" s="2"/>
      <c r="I364" s="2"/>
      <c r="J364" s="2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</row>
    <row r="365" spans="2:31" x14ac:dyDescent="0.25">
      <c r="B365" s="2"/>
      <c r="C365" s="19"/>
      <c r="D365" s="2"/>
      <c r="E365" s="2"/>
      <c r="F365" s="19"/>
      <c r="G365" s="2"/>
      <c r="H365" s="2"/>
      <c r="I365" s="2"/>
      <c r="J365" s="2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</row>
    <row r="366" spans="2:31" x14ac:dyDescent="0.25">
      <c r="B366" s="2"/>
      <c r="C366" s="19"/>
      <c r="D366" s="2"/>
      <c r="E366" s="2"/>
      <c r="F366" s="19"/>
      <c r="G366" s="2"/>
      <c r="H366" s="2"/>
      <c r="I366" s="2"/>
      <c r="J366" s="2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</row>
    <row r="367" spans="2:31" x14ac:dyDescent="0.25">
      <c r="B367" s="2"/>
      <c r="C367" s="19"/>
      <c r="D367" s="2"/>
      <c r="E367" s="2"/>
      <c r="F367" s="19"/>
      <c r="G367" s="2"/>
      <c r="H367" s="2"/>
      <c r="I367" s="2"/>
      <c r="J367" s="2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</row>
    <row r="368" spans="2:31" x14ac:dyDescent="0.25">
      <c r="B368" s="2"/>
      <c r="C368" s="19"/>
      <c r="D368" s="2"/>
      <c r="E368" s="2"/>
      <c r="F368" s="19"/>
      <c r="G368" s="2"/>
      <c r="H368" s="2"/>
      <c r="I368" s="2"/>
      <c r="J368" s="2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</row>
    <row r="369" spans="2:31" x14ac:dyDescent="0.25">
      <c r="B369" s="2"/>
      <c r="C369" s="19"/>
      <c r="D369" s="2"/>
      <c r="E369" s="2"/>
      <c r="F369" s="19"/>
      <c r="G369" s="2"/>
      <c r="H369" s="2"/>
      <c r="I369" s="2"/>
      <c r="J369" s="2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</row>
    <row r="370" spans="2:31" x14ac:dyDescent="0.25">
      <c r="B370" s="2"/>
      <c r="C370" s="19"/>
      <c r="D370" s="2"/>
      <c r="E370" s="2"/>
      <c r="F370" s="19"/>
      <c r="G370" s="2"/>
      <c r="H370" s="2"/>
      <c r="I370" s="2"/>
      <c r="J370" s="2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</row>
    <row r="371" spans="2:31" x14ac:dyDescent="0.25">
      <c r="B371" s="2"/>
      <c r="C371" s="19"/>
      <c r="D371" s="2"/>
      <c r="E371" s="2"/>
      <c r="F371" s="19"/>
      <c r="G371" s="2"/>
      <c r="H371" s="2"/>
      <c r="I371" s="2"/>
      <c r="J371" s="2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</row>
    <row r="372" spans="2:31" x14ac:dyDescent="0.25">
      <c r="B372" s="2"/>
      <c r="C372" s="19"/>
      <c r="D372" s="2"/>
      <c r="E372" s="2"/>
      <c r="F372" s="19"/>
      <c r="G372" s="2"/>
      <c r="H372" s="2"/>
      <c r="I372" s="2"/>
      <c r="J372" s="2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</row>
    <row r="373" spans="2:31" x14ac:dyDescent="0.25">
      <c r="B373" s="2"/>
      <c r="C373" s="19"/>
      <c r="D373" s="2"/>
      <c r="E373" s="2"/>
      <c r="F373" s="19"/>
      <c r="G373" s="2"/>
      <c r="H373" s="2"/>
      <c r="I373" s="2"/>
      <c r="J373" s="2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</row>
    <row r="374" spans="2:31" x14ac:dyDescent="0.25">
      <c r="B374" s="2"/>
      <c r="C374" s="19"/>
      <c r="D374" s="2"/>
      <c r="E374" s="2"/>
      <c r="F374" s="19"/>
      <c r="G374" s="2"/>
      <c r="H374" s="2"/>
      <c r="I374" s="2"/>
      <c r="J374" s="2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</row>
    <row r="375" spans="2:31" x14ac:dyDescent="0.25">
      <c r="B375" s="2"/>
      <c r="C375" s="19"/>
      <c r="D375" s="2"/>
      <c r="E375" s="2"/>
      <c r="F375" s="19"/>
      <c r="G375" s="2"/>
      <c r="H375" s="2"/>
      <c r="I375" s="2"/>
      <c r="J375" s="2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</row>
    <row r="376" spans="2:31" x14ac:dyDescent="0.25">
      <c r="B376" s="2"/>
      <c r="C376" s="19"/>
      <c r="D376" s="2"/>
      <c r="E376" s="2"/>
      <c r="F376" s="19"/>
      <c r="G376" s="2"/>
      <c r="H376" s="2"/>
      <c r="I376" s="2"/>
      <c r="J376" s="2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</row>
    <row r="377" spans="2:31" x14ac:dyDescent="0.25">
      <c r="B377" s="2"/>
      <c r="C377" s="19"/>
      <c r="D377" s="2"/>
      <c r="E377" s="2"/>
      <c r="F377" s="19"/>
      <c r="G377" s="2"/>
      <c r="H377" s="2"/>
      <c r="I377" s="2"/>
      <c r="J377" s="2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</row>
    <row r="378" spans="2:31" x14ac:dyDescent="0.25">
      <c r="B378" s="2"/>
      <c r="C378" s="19"/>
      <c r="D378" s="2"/>
      <c r="E378" s="2"/>
      <c r="F378" s="19"/>
      <c r="G378" s="2"/>
      <c r="H378" s="2"/>
      <c r="I378" s="2"/>
      <c r="J378" s="2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</row>
    <row r="379" spans="2:31" x14ac:dyDescent="0.25">
      <c r="B379" s="2"/>
      <c r="C379" s="19"/>
      <c r="D379" s="2"/>
      <c r="E379" s="2"/>
      <c r="F379" s="19"/>
      <c r="G379" s="2"/>
      <c r="H379" s="2"/>
      <c r="I379" s="2"/>
      <c r="J379" s="2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</row>
    <row r="380" spans="2:31" x14ac:dyDescent="0.25">
      <c r="B380" s="2"/>
      <c r="C380" s="19"/>
      <c r="D380" s="2"/>
      <c r="E380" s="2"/>
      <c r="F380" s="19"/>
      <c r="G380" s="2"/>
      <c r="H380" s="2"/>
      <c r="I380" s="2"/>
      <c r="J380" s="2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</row>
    <row r="381" spans="2:31" x14ac:dyDescent="0.25">
      <c r="B381" s="2"/>
      <c r="C381" s="19"/>
      <c r="D381" s="2"/>
      <c r="E381" s="2"/>
      <c r="F381" s="19"/>
      <c r="G381" s="2"/>
      <c r="H381" s="2"/>
      <c r="I381" s="2"/>
      <c r="J381" s="2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</row>
    <row r="382" spans="2:31" x14ac:dyDescent="0.25">
      <c r="B382" s="2"/>
      <c r="C382" s="19"/>
      <c r="D382" s="2"/>
      <c r="E382" s="2"/>
      <c r="F382" s="19"/>
      <c r="G382" s="2"/>
      <c r="H382" s="2"/>
      <c r="I382" s="2"/>
      <c r="J382" s="2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</row>
    <row r="383" spans="2:31" x14ac:dyDescent="0.25">
      <c r="B383" s="2"/>
      <c r="C383" s="19"/>
      <c r="D383" s="2"/>
      <c r="E383" s="2"/>
      <c r="F383" s="19"/>
      <c r="G383" s="2"/>
      <c r="H383" s="2"/>
      <c r="I383" s="2"/>
      <c r="J383" s="2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</row>
    <row r="384" spans="2:31" x14ac:dyDescent="0.25">
      <c r="B384" s="2"/>
      <c r="C384" s="19"/>
      <c r="D384" s="2"/>
      <c r="E384" s="2"/>
      <c r="F384" s="19"/>
      <c r="G384" s="2"/>
      <c r="H384" s="2"/>
      <c r="I384" s="2"/>
      <c r="J384" s="2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</row>
    <row r="385" spans="2:31" x14ac:dyDescent="0.25">
      <c r="B385" s="2"/>
      <c r="C385" s="19"/>
      <c r="D385" s="2"/>
      <c r="E385" s="2"/>
      <c r="F385" s="19"/>
      <c r="G385" s="2"/>
      <c r="H385" s="2"/>
      <c r="I385" s="2"/>
      <c r="J385" s="2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</row>
    <row r="386" spans="2:31" x14ac:dyDescent="0.25">
      <c r="B386" s="2"/>
      <c r="C386" s="19"/>
      <c r="D386" s="2"/>
      <c r="E386" s="2"/>
      <c r="F386" s="19"/>
      <c r="G386" s="2"/>
      <c r="H386" s="2"/>
      <c r="I386" s="2"/>
      <c r="J386" s="2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</row>
    <row r="387" spans="2:31" x14ac:dyDescent="0.25">
      <c r="B387" s="2"/>
      <c r="C387" s="19"/>
      <c r="D387" s="2"/>
      <c r="E387" s="2"/>
      <c r="F387" s="19"/>
      <c r="G387" s="2"/>
      <c r="H387" s="2"/>
      <c r="I387" s="2"/>
      <c r="J387" s="2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</row>
    <row r="388" spans="2:31" x14ac:dyDescent="0.25">
      <c r="B388" s="2"/>
      <c r="C388" s="19"/>
      <c r="D388" s="2"/>
      <c r="E388" s="2"/>
      <c r="F388" s="19"/>
      <c r="G388" s="2"/>
      <c r="H388" s="2"/>
      <c r="I388" s="2"/>
      <c r="J388" s="2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</row>
    <row r="389" spans="2:31" x14ac:dyDescent="0.25">
      <c r="B389" s="2"/>
      <c r="C389" s="19"/>
      <c r="D389" s="2"/>
      <c r="E389" s="2"/>
      <c r="F389" s="19"/>
      <c r="G389" s="2"/>
      <c r="H389" s="2"/>
      <c r="I389" s="2"/>
      <c r="J389" s="2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</row>
    <row r="390" spans="2:31" x14ac:dyDescent="0.25">
      <c r="B390" s="2"/>
      <c r="C390" s="19"/>
      <c r="D390" s="2"/>
      <c r="E390" s="2"/>
      <c r="F390" s="19"/>
      <c r="G390" s="2"/>
      <c r="H390" s="2"/>
      <c r="I390" s="2"/>
      <c r="J390" s="2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</row>
    <row r="391" spans="2:31" x14ac:dyDescent="0.25">
      <c r="B391" s="2"/>
      <c r="C391" s="19"/>
      <c r="D391" s="2"/>
      <c r="E391" s="2"/>
      <c r="F391" s="19"/>
      <c r="G391" s="2"/>
      <c r="H391" s="2"/>
      <c r="I391" s="2"/>
      <c r="J391" s="2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</row>
    <row r="392" spans="2:31" x14ac:dyDescent="0.25">
      <c r="B392" s="2"/>
      <c r="C392" s="19"/>
      <c r="D392" s="2"/>
      <c r="E392" s="2"/>
      <c r="F392" s="19"/>
      <c r="G392" s="2"/>
      <c r="H392" s="2"/>
      <c r="I392" s="2"/>
      <c r="J392" s="2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</row>
    <row r="393" spans="2:31" x14ac:dyDescent="0.25">
      <c r="B393" s="2"/>
      <c r="C393" s="19"/>
      <c r="D393" s="2"/>
      <c r="E393" s="2"/>
      <c r="F393" s="19"/>
      <c r="G393" s="2"/>
      <c r="H393" s="2"/>
      <c r="I393" s="2"/>
      <c r="J393" s="2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</row>
    <row r="394" spans="2:31" x14ac:dyDescent="0.25">
      <c r="B394" s="2"/>
      <c r="C394" s="19"/>
      <c r="D394" s="2"/>
      <c r="E394" s="2"/>
      <c r="F394" s="19"/>
      <c r="G394" s="2"/>
      <c r="H394" s="2"/>
      <c r="I394" s="2"/>
      <c r="J394" s="2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</row>
    <row r="395" spans="2:31" x14ac:dyDescent="0.25">
      <c r="B395" s="2"/>
      <c r="C395" s="19"/>
      <c r="D395" s="2"/>
      <c r="E395" s="2"/>
      <c r="F395" s="19"/>
      <c r="G395" s="2"/>
      <c r="H395" s="2"/>
      <c r="I395" s="2"/>
      <c r="J395" s="2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</row>
    <row r="396" spans="2:31" x14ac:dyDescent="0.25">
      <c r="B396" s="2"/>
      <c r="C396" s="19"/>
      <c r="D396" s="2"/>
      <c r="E396" s="2"/>
      <c r="F396" s="19"/>
      <c r="G396" s="2"/>
      <c r="H396" s="2"/>
      <c r="I396" s="2"/>
      <c r="J396" s="2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</row>
    <row r="397" spans="2:31" x14ac:dyDescent="0.25">
      <c r="B397" s="2"/>
      <c r="C397" s="19"/>
      <c r="D397" s="2"/>
      <c r="E397" s="2"/>
      <c r="F397" s="19"/>
      <c r="G397" s="2"/>
      <c r="H397" s="2"/>
      <c r="I397" s="2"/>
      <c r="J397" s="2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</row>
    <row r="398" spans="2:31" x14ac:dyDescent="0.25">
      <c r="B398" s="2"/>
      <c r="C398" s="19"/>
      <c r="D398" s="2"/>
      <c r="E398" s="2"/>
      <c r="F398" s="19"/>
      <c r="G398" s="2"/>
      <c r="H398" s="2"/>
      <c r="I398" s="2"/>
      <c r="J398" s="2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</row>
    <row r="399" spans="2:31" x14ac:dyDescent="0.25">
      <c r="B399" s="2"/>
      <c r="C399" s="19"/>
      <c r="D399" s="2"/>
      <c r="E399" s="2"/>
      <c r="F399" s="19"/>
      <c r="G399" s="2"/>
      <c r="H399" s="2"/>
      <c r="I399" s="2"/>
      <c r="J399" s="2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</row>
    <row r="400" spans="2:31" x14ac:dyDescent="0.25">
      <c r="B400" s="2"/>
      <c r="C400" s="19"/>
      <c r="D400" s="2"/>
      <c r="E400" s="2"/>
      <c r="F400" s="19"/>
      <c r="G400" s="2"/>
      <c r="H400" s="2"/>
      <c r="I400" s="2"/>
      <c r="J400" s="2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</row>
    <row r="401" spans="2:31" x14ac:dyDescent="0.25">
      <c r="B401" s="2"/>
      <c r="C401" s="19"/>
      <c r="D401" s="2"/>
      <c r="E401" s="2"/>
      <c r="F401" s="19"/>
      <c r="G401" s="2"/>
      <c r="H401" s="2"/>
      <c r="I401" s="2"/>
      <c r="J401" s="2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</row>
    <row r="402" spans="2:31" x14ac:dyDescent="0.25">
      <c r="B402" s="2"/>
      <c r="C402" s="19"/>
      <c r="D402" s="2"/>
      <c r="E402" s="2"/>
      <c r="F402" s="19"/>
      <c r="G402" s="2"/>
      <c r="H402" s="2"/>
      <c r="I402" s="2"/>
      <c r="J402" s="2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</row>
    <row r="403" spans="2:31" x14ac:dyDescent="0.25">
      <c r="B403" s="2"/>
      <c r="C403" s="19"/>
      <c r="D403" s="2"/>
      <c r="E403" s="2"/>
      <c r="F403" s="19"/>
      <c r="G403" s="2"/>
      <c r="H403" s="2"/>
      <c r="I403" s="2"/>
      <c r="J403" s="2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</row>
    <row r="404" spans="2:31" x14ac:dyDescent="0.25">
      <c r="B404" s="2"/>
      <c r="C404" s="19"/>
      <c r="D404" s="2"/>
      <c r="E404" s="2"/>
      <c r="F404" s="19"/>
      <c r="G404" s="2"/>
      <c r="H404" s="2"/>
      <c r="I404" s="2"/>
      <c r="J404" s="2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</row>
    <row r="405" spans="2:31" x14ac:dyDescent="0.25">
      <c r="B405" s="2"/>
      <c r="C405" s="19"/>
      <c r="D405" s="2"/>
      <c r="E405" s="2"/>
      <c r="F405" s="19"/>
      <c r="G405" s="2"/>
      <c r="H405" s="2"/>
      <c r="I405" s="2"/>
      <c r="J405" s="2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</row>
    <row r="406" spans="2:31" x14ac:dyDescent="0.25">
      <c r="B406" s="2"/>
      <c r="C406" s="19"/>
      <c r="D406" s="2"/>
      <c r="E406" s="2"/>
      <c r="F406" s="19"/>
      <c r="G406" s="2"/>
      <c r="H406" s="2"/>
      <c r="I406" s="2"/>
      <c r="J406" s="2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</row>
    <row r="407" spans="2:31" x14ac:dyDescent="0.25">
      <c r="B407" s="2"/>
      <c r="C407" s="19"/>
      <c r="D407" s="2"/>
      <c r="E407" s="2"/>
      <c r="F407" s="19"/>
      <c r="G407" s="2"/>
      <c r="H407" s="2"/>
      <c r="I407" s="2"/>
      <c r="J407" s="2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</row>
    <row r="408" spans="2:31" x14ac:dyDescent="0.25">
      <c r="B408" s="2"/>
      <c r="C408" s="19"/>
      <c r="D408" s="2"/>
      <c r="E408" s="2"/>
      <c r="F408" s="19"/>
      <c r="G408" s="2"/>
      <c r="H408" s="2"/>
      <c r="I408" s="2"/>
      <c r="J408" s="2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</row>
    <row r="409" spans="2:31" x14ac:dyDescent="0.25">
      <c r="B409" s="2"/>
      <c r="C409" s="19"/>
      <c r="D409" s="2"/>
      <c r="E409" s="2"/>
      <c r="F409" s="19"/>
      <c r="G409" s="2"/>
      <c r="H409" s="2"/>
      <c r="I409" s="2"/>
      <c r="J409" s="2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</row>
    <row r="410" spans="2:31" x14ac:dyDescent="0.25">
      <c r="B410" s="2"/>
      <c r="C410" s="19"/>
      <c r="D410" s="2"/>
      <c r="E410" s="2"/>
      <c r="F410" s="19"/>
      <c r="G410" s="2"/>
      <c r="H410" s="2"/>
      <c r="I410" s="2"/>
      <c r="J410" s="2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</row>
    <row r="411" spans="2:31" x14ac:dyDescent="0.25">
      <c r="B411" s="2"/>
      <c r="C411" s="19"/>
      <c r="D411" s="2"/>
      <c r="E411" s="2"/>
      <c r="F411" s="19"/>
      <c r="G411" s="2"/>
      <c r="H411" s="2"/>
      <c r="I411" s="2"/>
      <c r="J411" s="2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</row>
    <row r="412" spans="2:31" x14ac:dyDescent="0.25">
      <c r="B412" s="2"/>
      <c r="C412" s="19"/>
      <c r="D412" s="2"/>
      <c r="E412" s="2"/>
      <c r="F412" s="19"/>
      <c r="G412" s="2"/>
      <c r="H412" s="2"/>
      <c r="I412" s="2"/>
      <c r="J412" s="2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</row>
    <row r="413" spans="2:31" x14ac:dyDescent="0.25">
      <c r="B413" s="2"/>
      <c r="C413" s="19"/>
      <c r="D413" s="2"/>
      <c r="E413" s="2"/>
      <c r="F413" s="19"/>
      <c r="G413" s="2"/>
      <c r="H413" s="2"/>
      <c r="I413" s="2"/>
      <c r="J413" s="2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</row>
    <row r="414" spans="2:31" x14ac:dyDescent="0.25">
      <c r="B414" s="2"/>
      <c r="C414" s="19"/>
      <c r="D414" s="2"/>
      <c r="E414" s="2"/>
      <c r="F414" s="19"/>
      <c r="G414" s="2"/>
      <c r="H414" s="2"/>
      <c r="I414" s="2"/>
      <c r="J414" s="2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</row>
    <row r="415" spans="2:31" x14ac:dyDescent="0.25">
      <c r="B415" s="2"/>
      <c r="C415" s="19"/>
      <c r="D415" s="2"/>
      <c r="E415" s="2"/>
      <c r="F415" s="19"/>
      <c r="G415" s="2"/>
      <c r="H415" s="2"/>
      <c r="I415" s="2"/>
      <c r="J415" s="2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</row>
    <row r="416" spans="2:31" x14ac:dyDescent="0.25">
      <c r="B416" s="2"/>
      <c r="C416" s="19"/>
      <c r="D416" s="2"/>
      <c r="E416" s="2"/>
      <c r="F416" s="19"/>
      <c r="G416" s="2"/>
      <c r="H416" s="2"/>
      <c r="I416" s="2"/>
      <c r="J416" s="2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</row>
    <row r="417" spans="2:31" x14ac:dyDescent="0.25">
      <c r="B417" s="2"/>
      <c r="C417" s="19"/>
      <c r="D417" s="2"/>
      <c r="E417" s="2"/>
      <c r="F417" s="19"/>
      <c r="G417" s="2"/>
      <c r="H417" s="2"/>
      <c r="I417" s="2"/>
      <c r="J417" s="2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</row>
    <row r="418" spans="2:31" x14ac:dyDescent="0.25">
      <c r="B418" s="2"/>
      <c r="C418" s="19"/>
      <c r="D418" s="2"/>
      <c r="E418" s="2"/>
      <c r="F418" s="19"/>
      <c r="G418" s="2"/>
      <c r="H418" s="2"/>
      <c r="I418" s="2"/>
      <c r="J418" s="2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</row>
    <row r="419" spans="2:31" x14ac:dyDescent="0.25">
      <c r="B419" s="2"/>
      <c r="C419" s="19"/>
      <c r="D419" s="2"/>
      <c r="E419" s="2"/>
      <c r="F419" s="19"/>
      <c r="G419" s="2"/>
      <c r="H419" s="2"/>
      <c r="I419" s="2"/>
      <c r="J419" s="2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</row>
    <row r="420" spans="2:31" x14ac:dyDescent="0.25">
      <c r="B420" s="2"/>
      <c r="C420" s="19"/>
      <c r="D420" s="2"/>
      <c r="E420" s="2"/>
      <c r="F420" s="19"/>
      <c r="G420" s="2"/>
      <c r="H420" s="2"/>
      <c r="I420" s="2"/>
      <c r="J420" s="2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</row>
    <row r="421" spans="2:31" x14ac:dyDescent="0.25">
      <c r="B421" s="2"/>
      <c r="C421" s="19"/>
      <c r="D421" s="2"/>
      <c r="E421" s="2"/>
      <c r="F421" s="19"/>
      <c r="G421" s="2"/>
      <c r="H421" s="2"/>
      <c r="I421" s="2"/>
      <c r="J421" s="2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</row>
    <row r="422" spans="2:31" x14ac:dyDescent="0.25">
      <c r="B422" s="2"/>
      <c r="C422" s="19"/>
      <c r="D422" s="2"/>
      <c r="E422" s="2"/>
      <c r="F422" s="19"/>
      <c r="G422" s="2"/>
      <c r="H422" s="2"/>
      <c r="I422" s="2"/>
      <c r="J422" s="2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</row>
    <row r="423" spans="2:31" x14ac:dyDescent="0.25">
      <c r="B423" s="2"/>
      <c r="C423" s="19"/>
      <c r="D423" s="2"/>
      <c r="E423" s="2"/>
      <c r="F423" s="19"/>
      <c r="G423" s="2"/>
      <c r="H423" s="2"/>
      <c r="I423" s="2"/>
      <c r="J423" s="2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</row>
    <row r="424" spans="2:31" x14ac:dyDescent="0.25">
      <c r="B424" s="2"/>
      <c r="C424" s="19"/>
      <c r="D424" s="2"/>
      <c r="E424" s="2"/>
      <c r="F424" s="19"/>
      <c r="G424" s="2"/>
      <c r="H424" s="2"/>
      <c r="I424" s="2"/>
      <c r="J424" s="2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</row>
    <row r="425" spans="2:31" x14ac:dyDescent="0.25">
      <c r="B425" s="2"/>
      <c r="C425" s="19"/>
      <c r="D425" s="2"/>
      <c r="E425" s="2"/>
      <c r="F425" s="19"/>
      <c r="G425" s="2"/>
      <c r="H425" s="2"/>
      <c r="I425" s="2"/>
      <c r="J425" s="2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</row>
    <row r="426" spans="2:31" x14ac:dyDescent="0.25">
      <c r="B426" s="2"/>
      <c r="C426" s="19"/>
      <c r="D426" s="2"/>
      <c r="E426" s="2"/>
      <c r="F426" s="19"/>
      <c r="G426" s="2"/>
      <c r="H426" s="2"/>
      <c r="I426" s="2"/>
      <c r="J426" s="2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</row>
    <row r="427" spans="2:31" x14ac:dyDescent="0.25">
      <c r="B427" s="2"/>
      <c r="C427" s="19"/>
      <c r="D427" s="2"/>
      <c r="E427" s="2"/>
      <c r="F427" s="19"/>
      <c r="G427" s="2"/>
      <c r="H427" s="2"/>
      <c r="I427" s="2"/>
      <c r="J427" s="2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</row>
    <row r="428" spans="2:31" x14ac:dyDescent="0.25">
      <c r="B428" s="2"/>
      <c r="C428" s="19"/>
      <c r="D428" s="2"/>
      <c r="E428" s="2"/>
      <c r="F428" s="19"/>
      <c r="G428" s="2"/>
      <c r="H428" s="2"/>
      <c r="I428" s="2"/>
      <c r="J428" s="2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</row>
    <row r="429" spans="2:31" x14ac:dyDescent="0.25">
      <c r="B429" s="2"/>
      <c r="C429" s="19"/>
      <c r="D429" s="2"/>
      <c r="E429" s="2"/>
      <c r="F429" s="19"/>
      <c r="G429" s="2"/>
      <c r="H429" s="2"/>
      <c r="I429" s="2"/>
      <c r="J429" s="2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</row>
    <row r="430" spans="2:31" x14ac:dyDescent="0.25">
      <c r="B430" s="2"/>
      <c r="C430" s="19"/>
      <c r="D430" s="2"/>
      <c r="E430" s="2"/>
      <c r="F430" s="19"/>
      <c r="G430" s="2"/>
      <c r="H430" s="2"/>
      <c r="I430" s="2"/>
      <c r="J430" s="2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</row>
    <row r="431" spans="2:31" x14ac:dyDescent="0.25">
      <c r="B431" s="2"/>
      <c r="C431" s="19"/>
      <c r="D431" s="2"/>
      <c r="E431" s="2"/>
      <c r="F431" s="19"/>
      <c r="G431" s="2"/>
      <c r="H431" s="2"/>
      <c r="I431" s="2"/>
      <c r="J431" s="2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</row>
    <row r="432" spans="2:31" x14ac:dyDescent="0.25">
      <c r="B432" s="2"/>
      <c r="C432" s="19"/>
      <c r="D432" s="2"/>
      <c r="E432" s="2"/>
      <c r="F432" s="19"/>
      <c r="G432" s="2"/>
      <c r="H432" s="2"/>
      <c r="I432" s="2"/>
      <c r="J432" s="2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</row>
    <row r="433" spans="2:31" x14ac:dyDescent="0.25">
      <c r="B433" s="2"/>
      <c r="C433" s="19"/>
      <c r="D433" s="2"/>
      <c r="E433" s="2"/>
      <c r="F433" s="19"/>
      <c r="G433" s="2"/>
      <c r="H433" s="2"/>
      <c r="I433" s="2"/>
      <c r="J433" s="2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</row>
    <row r="434" spans="2:31" x14ac:dyDescent="0.25">
      <c r="B434" s="2"/>
      <c r="C434" s="19"/>
      <c r="D434" s="2"/>
      <c r="E434" s="2"/>
      <c r="F434" s="19"/>
      <c r="G434" s="2"/>
      <c r="H434" s="2"/>
      <c r="I434" s="2"/>
      <c r="J434" s="2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</row>
    <row r="435" spans="2:31" x14ac:dyDescent="0.25">
      <c r="B435" s="2"/>
      <c r="C435" s="19"/>
      <c r="D435" s="2"/>
      <c r="E435" s="2"/>
      <c r="F435" s="19"/>
      <c r="G435" s="2"/>
      <c r="H435" s="2"/>
      <c r="I435" s="2"/>
      <c r="J435" s="2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</row>
    <row r="436" spans="2:31" x14ac:dyDescent="0.25">
      <c r="B436" s="2"/>
      <c r="C436" s="19"/>
      <c r="D436" s="2"/>
      <c r="E436" s="2"/>
      <c r="F436" s="19"/>
      <c r="G436" s="2"/>
      <c r="H436" s="2"/>
      <c r="I436" s="2"/>
      <c r="J436" s="2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</row>
    <row r="437" spans="2:31" x14ac:dyDescent="0.25">
      <c r="B437" s="2"/>
      <c r="C437" s="19"/>
      <c r="D437" s="2"/>
      <c r="E437" s="2"/>
      <c r="F437" s="19"/>
      <c r="G437" s="2"/>
      <c r="H437" s="2"/>
      <c r="I437" s="2"/>
      <c r="J437" s="2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</row>
    <row r="438" spans="2:31" x14ac:dyDescent="0.25">
      <c r="B438" s="2"/>
      <c r="C438" s="19"/>
      <c r="D438" s="2"/>
      <c r="E438" s="2"/>
      <c r="F438" s="19"/>
      <c r="G438" s="2"/>
      <c r="H438" s="2"/>
      <c r="I438" s="2"/>
      <c r="J438" s="2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</row>
    <row r="439" spans="2:31" x14ac:dyDescent="0.25">
      <c r="B439" s="2"/>
      <c r="C439" s="19"/>
      <c r="D439" s="2"/>
      <c r="E439" s="2"/>
      <c r="F439" s="19"/>
      <c r="G439" s="2"/>
      <c r="H439" s="2"/>
      <c r="I439" s="2"/>
      <c r="J439" s="2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</row>
    <row r="440" spans="2:31" x14ac:dyDescent="0.25">
      <c r="B440" s="2"/>
      <c r="C440" s="19"/>
      <c r="D440" s="2"/>
      <c r="E440" s="2"/>
      <c r="F440" s="19"/>
      <c r="G440" s="2"/>
      <c r="H440" s="2"/>
      <c r="I440" s="2"/>
      <c r="J440" s="2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</row>
    <row r="441" spans="2:31" x14ac:dyDescent="0.25">
      <c r="B441" s="2"/>
      <c r="C441" s="19"/>
      <c r="D441" s="2"/>
      <c r="E441" s="2"/>
      <c r="F441" s="19"/>
      <c r="G441" s="2"/>
      <c r="H441" s="2"/>
      <c r="I441" s="2"/>
      <c r="J441" s="2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</row>
    <row r="442" spans="2:31" x14ac:dyDescent="0.25">
      <c r="B442" s="2"/>
      <c r="C442" s="19"/>
      <c r="D442" s="2"/>
      <c r="E442" s="2"/>
      <c r="F442" s="19"/>
      <c r="G442" s="2"/>
      <c r="H442" s="2"/>
      <c r="I442" s="2"/>
      <c r="J442" s="2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</row>
    <row r="443" spans="2:31" x14ac:dyDescent="0.25">
      <c r="B443" s="2"/>
      <c r="C443" s="19"/>
      <c r="D443" s="2"/>
      <c r="E443" s="2"/>
      <c r="F443" s="19"/>
      <c r="G443" s="2"/>
      <c r="H443" s="2"/>
      <c r="I443" s="2"/>
      <c r="J443" s="2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</row>
    <row r="444" spans="2:31" x14ac:dyDescent="0.25">
      <c r="B444" s="2"/>
      <c r="C444" s="19"/>
      <c r="D444" s="2"/>
      <c r="E444" s="2"/>
      <c r="F444" s="19"/>
      <c r="G444" s="2"/>
      <c r="H444" s="2"/>
      <c r="I444" s="2"/>
      <c r="J444" s="2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</row>
    <row r="445" spans="2:31" x14ac:dyDescent="0.25">
      <c r="B445" s="2"/>
      <c r="C445" s="19"/>
      <c r="D445" s="2"/>
      <c r="E445" s="2"/>
      <c r="F445" s="19"/>
      <c r="G445" s="2"/>
      <c r="H445" s="2"/>
      <c r="I445" s="2"/>
      <c r="J445" s="2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</row>
    <row r="446" spans="2:31" x14ac:dyDescent="0.25">
      <c r="B446" s="2"/>
      <c r="C446" s="19"/>
      <c r="D446" s="2"/>
      <c r="E446" s="2"/>
      <c r="F446" s="19"/>
      <c r="G446" s="2"/>
      <c r="H446" s="2"/>
      <c r="I446" s="2"/>
      <c r="J446" s="2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</row>
    <row r="447" spans="2:31" x14ac:dyDescent="0.25">
      <c r="B447" s="2"/>
      <c r="C447" s="19"/>
      <c r="D447" s="2"/>
      <c r="E447" s="2"/>
      <c r="F447" s="19"/>
      <c r="G447" s="2"/>
      <c r="H447" s="2"/>
      <c r="I447" s="2"/>
      <c r="J447" s="2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</row>
    <row r="448" spans="2:31" x14ac:dyDescent="0.25">
      <c r="B448" s="2"/>
      <c r="C448" s="19"/>
      <c r="D448" s="2"/>
      <c r="E448" s="2"/>
      <c r="F448" s="19"/>
      <c r="G448" s="2"/>
      <c r="H448" s="2"/>
      <c r="I448" s="2"/>
      <c r="J448" s="2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</row>
    <row r="449" spans="2:31" x14ac:dyDescent="0.25">
      <c r="B449" s="2"/>
      <c r="C449" s="19"/>
      <c r="D449" s="2"/>
      <c r="E449" s="2"/>
      <c r="F449" s="19"/>
      <c r="G449" s="2"/>
      <c r="H449" s="2"/>
      <c r="I449" s="2"/>
      <c r="J449" s="2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</row>
    <row r="450" spans="2:31" x14ac:dyDescent="0.25">
      <c r="B450" s="2"/>
      <c r="C450" s="19"/>
      <c r="D450" s="2"/>
      <c r="E450" s="2"/>
      <c r="F450" s="19"/>
      <c r="G450" s="2"/>
      <c r="H450" s="2"/>
      <c r="I450" s="2"/>
      <c r="J450" s="2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</row>
    <row r="451" spans="2:31" x14ac:dyDescent="0.25">
      <c r="B451" s="2"/>
      <c r="C451" s="19"/>
      <c r="D451" s="2"/>
      <c r="E451" s="2"/>
      <c r="F451" s="19"/>
      <c r="G451" s="2"/>
      <c r="H451" s="2"/>
      <c r="I451" s="2"/>
      <c r="J451" s="2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</row>
    <row r="452" spans="2:31" x14ac:dyDescent="0.25">
      <c r="B452" s="2"/>
      <c r="C452" s="19"/>
      <c r="D452" s="2"/>
      <c r="E452" s="2"/>
      <c r="F452" s="19"/>
      <c r="G452" s="2"/>
      <c r="H452" s="2"/>
      <c r="I452" s="2"/>
      <c r="J452" s="2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</row>
    <row r="453" spans="2:31" x14ac:dyDescent="0.25">
      <c r="B453" s="2"/>
      <c r="C453" s="19"/>
      <c r="D453" s="2"/>
      <c r="E453" s="2"/>
      <c r="F453" s="19"/>
      <c r="G453" s="2"/>
      <c r="H453" s="2"/>
      <c r="I453" s="2"/>
      <c r="J453" s="2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</row>
    <row r="454" spans="2:31" x14ac:dyDescent="0.25">
      <c r="B454" s="2"/>
      <c r="C454" s="19"/>
      <c r="D454" s="2"/>
      <c r="E454" s="2"/>
      <c r="F454" s="19"/>
      <c r="G454" s="2"/>
      <c r="H454" s="2"/>
      <c r="I454" s="2"/>
      <c r="J454" s="2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</row>
    <row r="455" spans="2:31" x14ac:dyDescent="0.25">
      <c r="B455" s="2"/>
      <c r="C455" s="19"/>
      <c r="D455" s="2"/>
      <c r="E455" s="2"/>
      <c r="F455" s="19"/>
      <c r="G455" s="2"/>
      <c r="H455" s="2"/>
      <c r="I455" s="2"/>
      <c r="J455" s="2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</row>
    <row r="456" spans="2:31" x14ac:dyDescent="0.25">
      <c r="B456" s="2"/>
      <c r="C456" s="19"/>
      <c r="D456" s="2"/>
      <c r="E456" s="2"/>
      <c r="F456" s="19"/>
      <c r="G456" s="2"/>
      <c r="H456" s="2"/>
      <c r="I456" s="2"/>
      <c r="J456" s="2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</row>
    <row r="457" spans="2:31" x14ac:dyDescent="0.25">
      <c r="B457" s="2"/>
      <c r="C457" s="19"/>
      <c r="D457" s="2"/>
      <c r="E457" s="2"/>
      <c r="F457" s="19"/>
      <c r="G457" s="2"/>
      <c r="H457" s="2"/>
      <c r="I457" s="2"/>
      <c r="J457" s="2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</row>
    <row r="458" spans="2:31" x14ac:dyDescent="0.25">
      <c r="B458" s="2"/>
      <c r="C458" s="19"/>
      <c r="D458" s="2"/>
      <c r="E458" s="2"/>
      <c r="F458" s="19"/>
      <c r="G458" s="2"/>
      <c r="H458" s="2"/>
      <c r="I458" s="2"/>
      <c r="J458" s="2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</row>
    <row r="459" spans="2:31" x14ac:dyDescent="0.25">
      <c r="B459" s="2"/>
      <c r="C459" s="19"/>
      <c r="D459" s="2"/>
      <c r="E459" s="2"/>
      <c r="F459" s="19"/>
      <c r="G459" s="2"/>
      <c r="H459" s="2"/>
      <c r="I459" s="2"/>
      <c r="J459" s="2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</row>
    <row r="460" spans="2:31" x14ac:dyDescent="0.25">
      <c r="B460" s="2"/>
      <c r="C460" s="19"/>
      <c r="D460" s="2"/>
      <c r="E460" s="2"/>
      <c r="F460" s="19"/>
      <c r="G460" s="2"/>
      <c r="H460" s="2"/>
      <c r="I460" s="2"/>
      <c r="J460" s="2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</row>
    <row r="461" spans="2:31" x14ac:dyDescent="0.25">
      <c r="B461" s="2"/>
      <c r="C461" s="19"/>
      <c r="D461" s="2"/>
      <c r="E461" s="2"/>
      <c r="F461" s="19"/>
      <c r="G461" s="2"/>
      <c r="H461" s="2"/>
      <c r="I461" s="2"/>
      <c r="J461" s="2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</row>
    <row r="462" spans="2:31" x14ac:dyDescent="0.25">
      <c r="B462" s="2"/>
      <c r="C462" s="19"/>
      <c r="D462" s="2"/>
      <c r="E462" s="2"/>
      <c r="F462" s="19"/>
      <c r="G462" s="2"/>
      <c r="H462" s="2"/>
      <c r="I462" s="2"/>
      <c r="J462" s="2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</row>
    <row r="463" spans="2:31" x14ac:dyDescent="0.25">
      <c r="B463" s="2"/>
      <c r="C463" s="19"/>
      <c r="D463" s="2"/>
      <c r="E463" s="2"/>
      <c r="F463" s="19"/>
      <c r="G463" s="2"/>
      <c r="H463" s="2"/>
      <c r="I463" s="2"/>
      <c r="J463" s="2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</row>
    <row r="464" spans="2:31" x14ac:dyDescent="0.25">
      <c r="B464" s="2"/>
      <c r="C464" s="19"/>
      <c r="D464" s="2"/>
      <c r="E464" s="2"/>
      <c r="F464" s="19"/>
      <c r="G464" s="2"/>
      <c r="H464" s="2"/>
      <c r="I464" s="2"/>
      <c r="J464" s="2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</row>
    <row r="465" spans="2:31" x14ac:dyDescent="0.25">
      <c r="B465" s="2"/>
      <c r="C465" s="19"/>
      <c r="D465" s="2"/>
      <c r="E465" s="2"/>
      <c r="F465" s="19"/>
      <c r="G465" s="2"/>
      <c r="H465" s="2"/>
      <c r="I465" s="2"/>
      <c r="J465" s="2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</row>
    <row r="466" spans="2:31" x14ac:dyDescent="0.25">
      <c r="B466" s="2"/>
      <c r="C466" s="19"/>
      <c r="D466" s="2"/>
      <c r="E466" s="2"/>
      <c r="F466" s="19"/>
      <c r="G466" s="2"/>
      <c r="H466" s="2"/>
      <c r="I466" s="2"/>
      <c r="J466" s="2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</row>
    <row r="467" spans="2:31" x14ac:dyDescent="0.25">
      <c r="B467" s="2"/>
      <c r="C467" s="19"/>
      <c r="D467" s="2"/>
      <c r="E467" s="2"/>
      <c r="F467" s="19"/>
      <c r="G467" s="2"/>
      <c r="H467" s="2"/>
      <c r="I467" s="2"/>
      <c r="J467" s="2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</row>
    <row r="468" spans="2:31" x14ac:dyDescent="0.25">
      <c r="B468" s="2"/>
      <c r="C468" s="19"/>
      <c r="D468" s="2"/>
      <c r="E468" s="2"/>
      <c r="F468" s="19"/>
      <c r="G468" s="2"/>
      <c r="H468" s="2"/>
      <c r="I468" s="2"/>
      <c r="J468" s="2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</row>
    <row r="469" spans="2:31" x14ac:dyDescent="0.25">
      <c r="B469" s="2"/>
      <c r="C469" s="19"/>
      <c r="D469" s="2"/>
      <c r="E469" s="2"/>
      <c r="F469" s="19"/>
      <c r="G469" s="2"/>
      <c r="H469" s="2"/>
      <c r="I469" s="2"/>
      <c r="J469" s="2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</row>
    <row r="470" spans="2:31" x14ac:dyDescent="0.25">
      <c r="B470" s="2"/>
      <c r="C470" s="19"/>
      <c r="D470" s="2"/>
      <c r="E470" s="2"/>
      <c r="F470" s="19"/>
      <c r="G470" s="2"/>
      <c r="H470" s="2"/>
      <c r="I470" s="2"/>
      <c r="J470" s="2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</row>
    <row r="471" spans="2:31" x14ac:dyDescent="0.25">
      <c r="B471" s="2"/>
      <c r="C471" s="19"/>
      <c r="D471" s="2"/>
      <c r="E471" s="2"/>
      <c r="F471" s="19"/>
      <c r="G471" s="2"/>
      <c r="H471" s="2"/>
      <c r="I471" s="2"/>
      <c r="J471" s="2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</row>
    <row r="472" spans="2:31" x14ac:dyDescent="0.25">
      <c r="B472" s="2"/>
      <c r="C472" s="19"/>
      <c r="D472" s="2"/>
      <c r="E472" s="2"/>
      <c r="F472" s="19"/>
      <c r="G472" s="2"/>
      <c r="H472" s="2"/>
      <c r="I472" s="2"/>
      <c r="J472" s="2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</row>
    <row r="473" spans="2:31" x14ac:dyDescent="0.25">
      <c r="B473" s="2"/>
      <c r="C473" s="19"/>
      <c r="D473" s="2"/>
      <c r="E473" s="2"/>
      <c r="F473" s="19"/>
      <c r="G473" s="2"/>
      <c r="H473" s="2"/>
      <c r="I473" s="2"/>
      <c r="J473" s="2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</row>
    <row r="474" spans="2:31" x14ac:dyDescent="0.25">
      <c r="B474" s="2"/>
      <c r="C474" s="19"/>
      <c r="D474" s="2"/>
      <c r="E474" s="2"/>
      <c r="F474" s="19"/>
      <c r="G474" s="2"/>
      <c r="H474" s="2"/>
      <c r="I474" s="2"/>
      <c r="J474" s="2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</row>
    <row r="475" spans="2:31" x14ac:dyDescent="0.25">
      <c r="B475" s="2"/>
      <c r="C475" s="19"/>
      <c r="D475" s="2"/>
      <c r="E475" s="2"/>
      <c r="F475" s="19"/>
      <c r="G475" s="2"/>
      <c r="H475" s="2"/>
      <c r="I475" s="2"/>
      <c r="J475" s="2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</row>
    <row r="476" spans="2:31" x14ac:dyDescent="0.25">
      <c r="B476" s="2"/>
      <c r="C476" s="19"/>
      <c r="D476" s="2"/>
      <c r="E476" s="2"/>
      <c r="F476" s="19"/>
      <c r="G476" s="2"/>
      <c r="H476" s="2"/>
      <c r="I476" s="2"/>
      <c r="J476" s="2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</row>
    <row r="477" spans="2:31" x14ac:dyDescent="0.25">
      <c r="B477" s="2"/>
      <c r="C477" s="19"/>
      <c r="D477" s="2"/>
      <c r="E477" s="2"/>
      <c r="F477" s="19"/>
      <c r="G477" s="2"/>
      <c r="H477" s="2"/>
      <c r="I477" s="2"/>
      <c r="J477" s="2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</row>
    <row r="478" spans="2:31" x14ac:dyDescent="0.25">
      <c r="B478" s="2"/>
      <c r="C478" s="19"/>
      <c r="D478" s="2"/>
      <c r="E478" s="2"/>
      <c r="F478" s="19"/>
      <c r="G478" s="2"/>
      <c r="H478" s="2"/>
      <c r="I478" s="2"/>
      <c r="J478" s="2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</row>
    <row r="479" spans="2:31" x14ac:dyDescent="0.25">
      <c r="B479" s="2"/>
      <c r="C479" s="19"/>
      <c r="D479" s="2"/>
      <c r="E479" s="2"/>
      <c r="F479" s="19"/>
      <c r="G479" s="2"/>
      <c r="H479" s="2"/>
      <c r="I479" s="2"/>
      <c r="J479" s="2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</row>
    <row r="480" spans="2:31" x14ac:dyDescent="0.25">
      <c r="B480" s="2"/>
      <c r="C480" s="19"/>
      <c r="D480" s="2"/>
      <c r="E480" s="2"/>
      <c r="F480" s="19"/>
      <c r="G480" s="2"/>
      <c r="H480" s="2"/>
      <c r="I480" s="2"/>
      <c r="J480" s="2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</row>
    <row r="481" spans="2:31" x14ac:dyDescent="0.25">
      <c r="B481" s="2"/>
      <c r="C481" s="19"/>
      <c r="D481" s="2"/>
      <c r="E481" s="2"/>
      <c r="F481" s="19"/>
      <c r="G481" s="2"/>
      <c r="H481" s="2"/>
      <c r="I481" s="2"/>
      <c r="J481" s="2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</row>
    <row r="482" spans="2:31" x14ac:dyDescent="0.25">
      <c r="B482" s="2"/>
      <c r="C482" s="19"/>
      <c r="D482" s="2"/>
      <c r="E482" s="2"/>
      <c r="F482" s="19"/>
      <c r="G482" s="2"/>
      <c r="H482" s="2"/>
      <c r="I482" s="2"/>
      <c r="J482" s="2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</row>
    <row r="483" spans="2:31" x14ac:dyDescent="0.25">
      <c r="B483" s="2"/>
      <c r="C483" s="19"/>
      <c r="D483" s="2"/>
      <c r="E483" s="2"/>
      <c r="F483" s="19"/>
      <c r="G483" s="2"/>
      <c r="H483" s="2"/>
      <c r="I483" s="2"/>
      <c r="J483" s="2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</row>
    <row r="484" spans="2:31" x14ac:dyDescent="0.25">
      <c r="B484" s="2"/>
      <c r="C484" s="19"/>
      <c r="D484" s="2"/>
      <c r="E484" s="2"/>
      <c r="F484" s="19"/>
      <c r="G484" s="2"/>
      <c r="H484" s="2"/>
      <c r="I484" s="2"/>
      <c r="J484" s="2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</row>
    <row r="485" spans="2:31" x14ac:dyDescent="0.25">
      <c r="B485" s="2"/>
      <c r="C485" s="19"/>
      <c r="D485" s="2"/>
      <c r="E485" s="2"/>
      <c r="F485" s="19"/>
      <c r="G485" s="2"/>
      <c r="H485" s="2"/>
      <c r="I485" s="2"/>
      <c r="J485" s="2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</row>
    <row r="486" spans="2:31" x14ac:dyDescent="0.25">
      <c r="B486" s="2"/>
      <c r="C486" s="19"/>
      <c r="D486" s="2"/>
      <c r="E486" s="2"/>
      <c r="F486" s="19"/>
      <c r="G486" s="2"/>
      <c r="H486" s="2"/>
      <c r="I486" s="2"/>
      <c r="J486" s="2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</row>
    <row r="487" spans="2:31" x14ac:dyDescent="0.25">
      <c r="B487" s="2"/>
      <c r="C487" s="19"/>
      <c r="D487" s="2"/>
      <c r="E487" s="2"/>
      <c r="F487" s="19"/>
      <c r="G487" s="2"/>
      <c r="H487" s="2"/>
      <c r="I487" s="2"/>
      <c r="J487" s="2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</row>
    <row r="488" spans="2:31" x14ac:dyDescent="0.25">
      <c r="B488" s="2"/>
      <c r="C488" s="19"/>
      <c r="D488" s="2"/>
      <c r="E488" s="2"/>
      <c r="F488" s="19"/>
      <c r="G488" s="2"/>
      <c r="H488" s="2"/>
      <c r="I488" s="2"/>
      <c r="J488" s="2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</row>
    <row r="489" spans="2:31" x14ac:dyDescent="0.25">
      <c r="B489" s="2"/>
      <c r="C489" s="19"/>
      <c r="D489" s="2"/>
      <c r="E489" s="2"/>
      <c r="F489" s="19"/>
      <c r="G489" s="2"/>
      <c r="H489" s="2"/>
      <c r="I489" s="2"/>
      <c r="J489" s="2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</row>
    <row r="490" spans="2:31" x14ac:dyDescent="0.25">
      <c r="B490" s="2"/>
      <c r="C490" s="19"/>
      <c r="D490" s="2"/>
      <c r="E490" s="2"/>
      <c r="F490" s="19"/>
      <c r="G490" s="2"/>
      <c r="H490" s="2"/>
      <c r="I490" s="2"/>
      <c r="J490" s="2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</row>
    <row r="491" spans="2:31" x14ac:dyDescent="0.25">
      <c r="B491" s="2"/>
      <c r="C491" s="19"/>
      <c r="D491" s="2"/>
      <c r="E491" s="2"/>
      <c r="F491" s="19"/>
      <c r="G491" s="2"/>
      <c r="H491" s="2"/>
      <c r="I491" s="2"/>
      <c r="J491" s="2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</row>
    <row r="492" spans="2:31" x14ac:dyDescent="0.25">
      <c r="B492" s="2"/>
      <c r="C492" s="19"/>
      <c r="D492" s="2"/>
      <c r="E492" s="2"/>
      <c r="F492" s="19"/>
      <c r="G492" s="2"/>
      <c r="H492" s="2"/>
      <c r="I492" s="2"/>
      <c r="J492" s="2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</row>
    <row r="493" spans="2:31" x14ac:dyDescent="0.25">
      <c r="B493" s="2"/>
      <c r="C493" s="19"/>
      <c r="D493" s="2"/>
      <c r="E493" s="2"/>
      <c r="F493" s="19"/>
      <c r="G493" s="2"/>
      <c r="H493" s="2"/>
      <c r="I493" s="2"/>
      <c r="J493" s="2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</row>
    <row r="494" spans="2:31" x14ac:dyDescent="0.25">
      <c r="B494" s="2"/>
      <c r="C494" s="19"/>
      <c r="D494" s="2"/>
      <c r="E494" s="2"/>
      <c r="F494" s="19"/>
      <c r="G494" s="2"/>
      <c r="H494" s="2"/>
      <c r="I494" s="2"/>
      <c r="J494" s="2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</row>
    <row r="495" spans="2:31" x14ac:dyDescent="0.25">
      <c r="B495" s="2"/>
      <c r="C495" s="19"/>
      <c r="D495" s="2"/>
      <c r="E495" s="2"/>
      <c r="F495" s="19"/>
      <c r="G495" s="2"/>
      <c r="H495" s="2"/>
      <c r="I495" s="2"/>
      <c r="J495" s="2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</row>
    <row r="496" spans="2:31" x14ac:dyDescent="0.25">
      <c r="B496" s="2"/>
      <c r="C496" s="19"/>
      <c r="D496" s="2"/>
      <c r="E496" s="2"/>
      <c r="F496" s="19"/>
      <c r="G496" s="2"/>
      <c r="H496" s="2"/>
      <c r="I496" s="2"/>
      <c r="J496" s="2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</row>
    <row r="497" spans="2:31" x14ac:dyDescent="0.25">
      <c r="B497" s="2"/>
      <c r="C497" s="19"/>
      <c r="D497" s="2"/>
      <c r="E497" s="2"/>
      <c r="F497" s="19"/>
      <c r="G497" s="2"/>
      <c r="H497" s="2"/>
      <c r="I497" s="2"/>
      <c r="J497" s="2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</row>
    <row r="498" spans="2:31" x14ac:dyDescent="0.25">
      <c r="B498" s="2"/>
      <c r="C498" s="19"/>
      <c r="D498" s="2"/>
      <c r="E498" s="2"/>
      <c r="F498" s="19"/>
      <c r="G498" s="2"/>
      <c r="H498" s="2"/>
      <c r="I498" s="2"/>
      <c r="J498" s="2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</row>
    <row r="499" spans="2:31" x14ac:dyDescent="0.25">
      <c r="B499" s="2"/>
      <c r="C499" s="19"/>
      <c r="D499" s="2"/>
      <c r="E499" s="2"/>
      <c r="F499" s="19"/>
      <c r="G499" s="2"/>
      <c r="H499" s="2"/>
      <c r="I499" s="2"/>
      <c r="J499" s="2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</row>
    <row r="500" spans="2:31" x14ac:dyDescent="0.25">
      <c r="B500" s="2"/>
      <c r="C500" s="19"/>
      <c r="D500" s="2"/>
      <c r="E500" s="2"/>
      <c r="F500" s="19"/>
      <c r="G500" s="2"/>
      <c r="H500" s="2"/>
      <c r="I500" s="2"/>
      <c r="J500" s="2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</row>
    <row r="501" spans="2:31" x14ac:dyDescent="0.25">
      <c r="B501" s="2"/>
      <c r="C501" s="19"/>
      <c r="D501" s="2"/>
      <c r="E501" s="2"/>
      <c r="F501" s="19"/>
      <c r="G501" s="2"/>
      <c r="H501" s="2"/>
      <c r="I501" s="2"/>
      <c r="J501" s="2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</row>
    <row r="502" spans="2:31" x14ac:dyDescent="0.25">
      <c r="B502" s="2"/>
      <c r="C502" s="19"/>
      <c r="D502" s="2"/>
      <c r="E502" s="2"/>
      <c r="F502" s="19"/>
      <c r="G502" s="2"/>
      <c r="H502" s="2"/>
      <c r="I502" s="2"/>
      <c r="J502" s="2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</row>
    <row r="503" spans="2:31" x14ac:dyDescent="0.25">
      <c r="B503" s="2"/>
      <c r="C503" s="19"/>
      <c r="D503" s="2"/>
      <c r="E503" s="2"/>
      <c r="F503" s="19"/>
      <c r="G503" s="2"/>
      <c r="H503" s="2"/>
      <c r="I503" s="2"/>
      <c r="J503" s="2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</row>
    <row r="504" spans="2:31" x14ac:dyDescent="0.25">
      <c r="B504" s="2"/>
      <c r="C504" s="19"/>
      <c r="D504" s="2"/>
      <c r="E504" s="2"/>
      <c r="F504" s="19"/>
      <c r="G504" s="2"/>
      <c r="H504" s="2"/>
      <c r="I504" s="2"/>
      <c r="J504" s="2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</row>
    <row r="505" spans="2:31" x14ac:dyDescent="0.25">
      <c r="B505" s="2"/>
      <c r="C505" s="19"/>
      <c r="D505" s="2"/>
      <c r="E505" s="2"/>
      <c r="F505" s="19"/>
      <c r="G505" s="2"/>
      <c r="H505" s="2"/>
      <c r="I505" s="2"/>
      <c r="J505" s="2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</row>
    <row r="506" spans="2:31" x14ac:dyDescent="0.25">
      <c r="B506" s="2"/>
      <c r="C506" s="19"/>
      <c r="D506" s="2"/>
      <c r="E506" s="2"/>
      <c r="F506" s="19"/>
      <c r="G506" s="2"/>
      <c r="H506" s="2"/>
      <c r="I506" s="2"/>
      <c r="J506" s="2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</row>
    <row r="507" spans="2:31" x14ac:dyDescent="0.25">
      <c r="B507" s="2"/>
      <c r="C507" s="19"/>
      <c r="D507" s="2"/>
      <c r="E507" s="2"/>
      <c r="F507" s="19"/>
      <c r="G507" s="2"/>
      <c r="H507" s="2"/>
      <c r="I507" s="2"/>
      <c r="J507" s="2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</row>
    <row r="508" spans="2:31" x14ac:dyDescent="0.25">
      <c r="B508" s="2"/>
      <c r="C508" s="19"/>
      <c r="D508" s="2"/>
      <c r="E508" s="2"/>
      <c r="F508" s="19"/>
      <c r="G508" s="2"/>
      <c r="H508" s="2"/>
      <c r="I508" s="2"/>
      <c r="J508" s="2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</row>
    <row r="509" spans="2:31" x14ac:dyDescent="0.25">
      <c r="B509" s="2"/>
      <c r="C509" s="19"/>
      <c r="D509" s="2"/>
      <c r="E509" s="2"/>
      <c r="F509" s="19"/>
      <c r="G509" s="2"/>
      <c r="H509" s="2"/>
      <c r="I509" s="2"/>
      <c r="J509" s="2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</row>
    <row r="510" spans="2:31" x14ac:dyDescent="0.25">
      <c r="B510" s="2"/>
      <c r="C510" s="19"/>
      <c r="D510" s="2"/>
      <c r="E510" s="2"/>
      <c r="F510" s="19"/>
      <c r="G510" s="2"/>
      <c r="H510" s="2"/>
      <c r="I510" s="2"/>
      <c r="J510" s="2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</row>
    <row r="511" spans="2:31" x14ac:dyDescent="0.25">
      <c r="B511" s="2"/>
      <c r="C511" s="19"/>
      <c r="D511" s="2"/>
      <c r="E511" s="2"/>
      <c r="F511" s="19"/>
      <c r="G511" s="2"/>
      <c r="H511" s="2"/>
      <c r="I511" s="2"/>
      <c r="J511" s="2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</row>
    <row r="512" spans="2:31" x14ac:dyDescent="0.25">
      <c r="B512" s="2"/>
      <c r="C512" s="19"/>
      <c r="D512" s="2"/>
      <c r="E512" s="2"/>
      <c r="F512" s="19"/>
      <c r="G512" s="2"/>
      <c r="H512" s="2"/>
      <c r="I512" s="2"/>
      <c r="J512" s="2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</row>
    <row r="513" spans="2:31" x14ac:dyDescent="0.25">
      <c r="B513" s="2"/>
      <c r="C513" s="19"/>
      <c r="D513" s="2"/>
      <c r="E513" s="2"/>
      <c r="F513" s="19"/>
      <c r="G513" s="2"/>
      <c r="H513" s="2"/>
      <c r="I513" s="2"/>
      <c r="J513" s="2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</row>
    <row r="514" spans="2:31" x14ac:dyDescent="0.25">
      <c r="B514" s="2"/>
      <c r="C514" s="19"/>
      <c r="D514" s="2"/>
      <c r="E514" s="2"/>
      <c r="F514" s="19"/>
      <c r="G514" s="2"/>
      <c r="H514" s="2"/>
      <c r="I514" s="2"/>
      <c r="J514" s="2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</row>
    <row r="515" spans="2:31" x14ac:dyDescent="0.25">
      <c r="B515" s="2"/>
      <c r="C515" s="19"/>
      <c r="D515" s="2"/>
      <c r="E515" s="2"/>
      <c r="F515" s="19"/>
      <c r="G515" s="2"/>
      <c r="H515" s="2"/>
      <c r="I515" s="2"/>
      <c r="J515" s="2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</row>
    <row r="516" spans="2:31" x14ac:dyDescent="0.25">
      <c r="B516" s="2"/>
      <c r="C516" s="19"/>
      <c r="D516" s="2"/>
      <c r="E516" s="2"/>
      <c r="F516" s="19"/>
      <c r="G516" s="2"/>
      <c r="H516" s="2"/>
      <c r="I516" s="2"/>
      <c r="J516" s="2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</row>
    <row r="517" spans="2:31" x14ac:dyDescent="0.25">
      <c r="B517" s="2"/>
      <c r="C517" s="19"/>
      <c r="D517" s="2"/>
      <c r="E517" s="2"/>
      <c r="F517" s="19"/>
      <c r="G517" s="2"/>
      <c r="H517" s="2"/>
      <c r="I517" s="2"/>
      <c r="J517" s="2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</row>
    <row r="518" spans="2:31" x14ac:dyDescent="0.25">
      <c r="B518" s="2"/>
      <c r="C518" s="19"/>
      <c r="D518" s="2"/>
      <c r="E518" s="2"/>
      <c r="F518" s="19"/>
      <c r="G518" s="2"/>
      <c r="H518" s="2"/>
      <c r="I518" s="2"/>
      <c r="J518" s="2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</row>
    <row r="519" spans="2:31" x14ac:dyDescent="0.25">
      <c r="B519" s="2"/>
      <c r="C519" s="19"/>
      <c r="D519" s="2"/>
      <c r="E519" s="2"/>
      <c r="F519" s="19"/>
      <c r="G519" s="2"/>
      <c r="H519" s="2"/>
      <c r="I519" s="2"/>
      <c r="J519" s="2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</row>
    <row r="520" spans="2:31" x14ac:dyDescent="0.25">
      <c r="B520" s="2"/>
      <c r="C520" s="19"/>
      <c r="D520" s="2"/>
      <c r="E520" s="2"/>
      <c r="F520" s="19"/>
      <c r="G520" s="2"/>
      <c r="H520" s="2"/>
      <c r="I520" s="2"/>
      <c r="J520" s="2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</row>
    <row r="521" spans="2:31" x14ac:dyDescent="0.25">
      <c r="B521" s="2"/>
      <c r="C521" s="19"/>
      <c r="D521" s="2"/>
      <c r="E521" s="2"/>
      <c r="F521" s="19"/>
      <c r="G521" s="2"/>
      <c r="H521" s="2"/>
      <c r="I521" s="2"/>
      <c r="J521" s="2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</row>
    <row r="522" spans="2:31" x14ac:dyDescent="0.25">
      <c r="B522" s="2"/>
      <c r="C522" s="19"/>
      <c r="D522" s="2"/>
      <c r="E522" s="2"/>
      <c r="F522" s="19"/>
      <c r="G522" s="2"/>
      <c r="H522" s="2"/>
      <c r="I522" s="2"/>
      <c r="J522" s="2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</row>
    <row r="523" spans="2:31" x14ac:dyDescent="0.25">
      <c r="B523" s="2"/>
      <c r="C523" s="19"/>
      <c r="D523" s="2"/>
      <c r="E523" s="2"/>
      <c r="F523" s="19"/>
      <c r="G523" s="2"/>
      <c r="H523" s="2"/>
      <c r="I523" s="2"/>
      <c r="J523" s="2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</row>
    <row r="524" spans="2:31" x14ac:dyDescent="0.25">
      <c r="B524" s="2"/>
      <c r="C524" s="19"/>
      <c r="D524" s="2"/>
      <c r="E524" s="2"/>
      <c r="F524" s="19"/>
      <c r="G524" s="2"/>
      <c r="H524" s="2"/>
      <c r="I524" s="2"/>
      <c r="J524" s="2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</row>
    <row r="525" spans="2:31" x14ac:dyDescent="0.25">
      <c r="B525" s="2"/>
      <c r="C525" s="19"/>
      <c r="D525" s="2"/>
      <c r="E525" s="2"/>
      <c r="F525" s="19"/>
      <c r="G525" s="2"/>
      <c r="H525" s="2"/>
      <c r="I525" s="2"/>
      <c r="J525" s="2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</row>
    <row r="526" spans="2:31" x14ac:dyDescent="0.25">
      <c r="B526" s="2"/>
      <c r="C526" s="19"/>
      <c r="D526" s="2"/>
      <c r="E526" s="2"/>
      <c r="F526" s="19"/>
      <c r="G526" s="2"/>
      <c r="H526" s="2"/>
      <c r="I526" s="2"/>
      <c r="J526" s="2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</row>
    <row r="527" spans="2:31" x14ac:dyDescent="0.25">
      <c r="B527" s="2"/>
      <c r="C527" s="19"/>
      <c r="D527" s="2"/>
      <c r="E527" s="2"/>
      <c r="F527" s="19"/>
      <c r="G527" s="2"/>
      <c r="H527" s="2"/>
      <c r="I527" s="2"/>
      <c r="J527" s="2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</row>
    <row r="528" spans="2:31" x14ac:dyDescent="0.25">
      <c r="B528" s="2"/>
      <c r="C528" s="19"/>
      <c r="D528" s="2"/>
      <c r="E528" s="2"/>
      <c r="F528" s="19"/>
      <c r="G528" s="2"/>
      <c r="H528" s="2"/>
      <c r="I528" s="2"/>
      <c r="J528" s="2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</row>
    <row r="529" spans="2:31" x14ac:dyDescent="0.25">
      <c r="B529" s="2"/>
      <c r="C529" s="19"/>
      <c r="D529" s="2"/>
      <c r="E529" s="2"/>
      <c r="F529" s="19"/>
      <c r="G529" s="2"/>
      <c r="H529" s="2"/>
      <c r="I529" s="2"/>
      <c r="J529" s="2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</row>
    <row r="530" spans="2:31" x14ac:dyDescent="0.25">
      <c r="B530" s="2"/>
      <c r="C530" s="19"/>
      <c r="D530" s="2"/>
      <c r="E530" s="2"/>
      <c r="F530" s="19"/>
      <c r="G530" s="2"/>
      <c r="H530" s="2"/>
      <c r="I530" s="2"/>
      <c r="J530" s="2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</row>
    <row r="531" spans="2:31" x14ac:dyDescent="0.25">
      <c r="B531" s="2"/>
      <c r="C531" s="19"/>
      <c r="D531" s="2"/>
      <c r="E531" s="2"/>
      <c r="F531" s="19"/>
      <c r="G531" s="2"/>
      <c r="H531" s="2"/>
      <c r="I531" s="2"/>
      <c r="J531" s="2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</row>
    <row r="532" spans="2:31" x14ac:dyDescent="0.25">
      <c r="B532" s="2"/>
      <c r="C532" s="19"/>
      <c r="D532" s="2"/>
      <c r="E532" s="2"/>
      <c r="F532" s="19"/>
      <c r="G532" s="2"/>
      <c r="H532" s="2"/>
      <c r="I532" s="2"/>
      <c r="J532" s="2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</row>
    <row r="533" spans="2:31" x14ac:dyDescent="0.25">
      <c r="B533" s="2"/>
      <c r="C533" s="19"/>
      <c r="D533" s="2"/>
      <c r="E533" s="2"/>
      <c r="F533" s="19"/>
      <c r="G533" s="2"/>
      <c r="H533" s="2"/>
      <c r="I533" s="2"/>
      <c r="J533" s="2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</row>
    <row r="534" spans="2:31" x14ac:dyDescent="0.25">
      <c r="B534" s="2"/>
      <c r="C534" s="19"/>
      <c r="D534" s="2"/>
      <c r="E534" s="2"/>
      <c r="F534" s="19"/>
      <c r="G534" s="2"/>
      <c r="H534" s="2"/>
      <c r="I534" s="2"/>
      <c r="J534" s="2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</row>
    <row r="535" spans="2:31" x14ac:dyDescent="0.25">
      <c r="B535" s="2"/>
      <c r="C535" s="19"/>
      <c r="D535" s="2"/>
      <c r="E535" s="2"/>
      <c r="F535" s="19"/>
      <c r="G535" s="2"/>
      <c r="H535" s="2"/>
      <c r="I535" s="2"/>
      <c r="J535" s="2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</row>
    <row r="536" spans="2:31" x14ac:dyDescent="0.25">
      <c r="B536" s="2"/>
      <c r="C536" s="19"/>
      <c r="D536" s="2"/>
      <c r="E536" s="2"/>
      <c r="F536" s="19"/>
      <c r="G536" s="2"/>
      <c r="H536" s="2"/>
      <c r="I536" s="2"/>
      <c r="J536" s="2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</row>
    <row r="537" spans="2:31" x14ac:dyDescent="0.25">
      <c r="B537" s="2"/>
      <c r="C537" s="19"/>
      <c r="D537" s="2"/>
      <c r="E537" s="2"/>
      <c r="F537" s="19"/>
      <c r="G537" s="2"/>
      <c r="H537" s="2"/>
      <c r="I537" s="2"/>
      <c r="J537" s="2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</row>
    <row r="538" spans="2:31" x14ac:dyDescent="0.25">
      <c r="B538" s="2"/>
      <c r="C538" s="19"/>
      <c r="D538" s="2"/>
      <c r="E538" s="2"/>
      <c r="F538" s="19"/>
      <c r="G538" s="2"/>
      <c r="H538" s="2"/>
      <c r="I538" s="2"/>
      <c r="J538" s="2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</row>
    <row r="539" spans="2:31" x14ac:dyDescent="0.25">
      <c r="B539" s="2"/>
      <c r="C539" s="19"/>
      <c r="D539" s="2"/>
      <c r="E539" s="2"/>
      <c r="F539" s="19"/>
      <c r="G539" s="2"/>
      <c r="H539" s="2"/>
      <c r="I539" s="2"/>
      <c r="J539" s="2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</row>
    <row r="540" spans="2:31" x14ac:dyDescent="0.25">
      <c r="B540" s="2"/>
      <c r="C540" s="19"/>
      <c r="D540" s="2"/>
      <c r="E540" s="2"/>
      <c r="F540" s="19"/>
      <c r="G540" s="2"/>
      <c r="H540" s="2"/>
      <c r="I540" s="2"/>
      <c r="J540" s="2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</row>
    <row r="541" spans="2:31" x14ac:dyDescent="0.25">
      <c r="B541" s="2"/>
      <c r="C541" s="19"/>
      <c r="D541" s="2"/>
      <c r="E541" s="2"/>
      <c r="F541" s="19"/>
      <c r="G541" s="2"/>
      <c r="H541" s="2"/>
      <c r="I541" s="2"/>
      <c r="J541" s="2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</row>
    <row r="542" spans="2:31" x14ac:dyDescent="0.25">
      <c r="B542" s="2"/>
      <c r="C542" s="19"/>
      <c r="D542" s="2"/>
      <c r="E542" s="2"/>
      <c r="F542" s="19"/>
      <c r="G542" s="2"/>
      <c r="H542" s="2"/>
      <c r="I542" s="2"/>
      <c r="J542" s="2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</row>
    <row r="543" spans="2:31" x14ac:dyDescent="0.25">
      <c r="B543" s="2"/>
      <c r="C543" s="19"/>
      <c r="D543" s="2"/>
      <c r="E543" s="2"/>
      <c r="F543" s="19"/>
      <c r="G543" s="2"/>
      <c r="H543" s="2"/>
      <c r="I543" s="2"/>
      <c r="J543" s="2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</row>
    <row r="544" spans="2:31" x14ac:dyDescent="0.25">
      <c r="B544" s="2"/>
      <c r="C544" s="19"/>
      <c r="D544" s="2"/>
      <c r="E544" s="2"/>
      <c r="F544" s="19"/>
      <c r="G544" s="2"/>
      <c r="H544" s="2"/>
      <c r="I544" s="2"/>
      <c r="J544" s="2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</row>
    <row r="545" spans="2:31" x14ac:dyDescent="0.25">
      <c r="B545" s="2"/>
      <c r="C545" s="19"/>
      <c r="D545" s="2"/>
      <c r="E545" s="2"/>
      <c r="F545" s="19"/>
      <c r="G545" s="2"/>
      <c r="H545" s="2"/>
      <c r="I545" s="2"/>
      <c r="J545" s="2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</row>
    <row r="546" spans="2:31" x14ac:dyDescent="0.25">
      <c r="B546" s="2"/>
      <c r="C546" s="19"/>
      <c r="D546" s="2"/>
      <c r="E546" s="2"/>
      <c r="F546" s="19"/>
      <c r="G546" s="2"/>
      <c r="H546" s="2"/>
      <c r="I546" s="2"/>
      <c r="J546" s="2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</row>
    <row r="547" spans="2:31" x14ac:dyDescent="0.25">
      <c r="B547" s="2"/>
      <c r="C547" s="19"/>
      <c r="D547" s="2"/>
      <c r="E547" s="2"/>
      <c r="F547" s="19"/>
      <c r="G547" s="2"/>
      <c r="H547" s="2"/>
      <c r="I547" s="2"/>
      <c r="J547" s="2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</row>
    <row r="548" spans="2:31" x14ac:dyDescent="0.25">
      <c r="B548" s="2"/>
      <c r="C548" s="19"/>
      <c r="D548" s="2"/>
      <c r="E548" s="2"/>
      <c r="F548" s="19"/>
      <c r="G548" s="2"/>
      <c r="H548" s="2"/>
      <c r="I548" s="2"/>
      <c r="J548" s="2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</row>
    <row r="549" spans="2:31" x14ac:dyDescent="0.25">
      <c r="B549" s="2"/>
      <c r="C549" s="19"/>
      <c r="D549" s="2"/>
      <c r="E549" s="2"/>
      <c r="F549" s="19"/>
      <c r="G549" s="2"/>
      <c r="H549" s="2"/>
      <c r="I549" s="2"/>
      <c r="J549" s="2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</row>
    <row r="550" spans="2:31" x14ac:dyDescent="0.25">
      <c r="B550" s="2"/>
      <c r="C550" s="19"/>
      <c r="D550" s="2"/>
      <c r="E550" s="2"/>
      <c r="F550" s="19"/>
      <c r="G550" s="2"/>
      <c r="H550" s="2"/>
      <c r="I550" s="2"/>
      <c r="J550" s="2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</row>
    <row r="551" spans="2:31" x14ac:dyDescent="0.25">
      <c r="B551" s="2"/>
      <c r="C551" s="19"/>
      <c r="D551" s="2"/>
      <c r="E551" s="2"/>
      <c r="F551" s="19"/>
      <c r="G551" s="2"/>
      <c r="H551" s="2"/>
      <c r="I551" s="2"/>
      <c r="J551" s="2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</row>
    <row r="552" spans="2:31" x14ac:dyDescent="0.25">
      <c r="B552" s="2"/>
      <c r="C552" s="19"/>
      <c r="D552" s="2"/>
      <c r="E552" s="2"/>
      <c r="F552" s="19"/>
      <c r="G552" s="2"/>
      <c r="H552" s="2"/>
      <c r="I552" s="2"/>
      <c r="J552" s="2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</row>
    <row r="553" spans="2:31" x14ac:dyDescent="0.25">
      <c r="B553" s="2"/>
      <c r="C553" s="19"/>
      <c r="D553" s="2"/>
      <c r="E553" s="2"/>
      <c r="F553" s="19"/>
      <c r="G553" s="2"/>
      <c r="H553" s="2"/>
      <c r="I553" s="2"/>
      <c r="J553" s="2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</row>
    <row r="554" spans="2:31" x14ac:dyDescent="0.25">
      <c r="B554" s="2"/>
      <c r="C554" s="19"/>
      <c r="D554" s="2"/>
      <c r="E554" s="2"/>
      <c r="F554" s="19"/>
      <c r="G554" s="2"/>
      <c r="H554" s="2"/>
      <c r="I554" s="2"/>
      <c r="J554" s="2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</row>
    <row r="555" spans="2:31" x14ac:dyDescent="0.25">
      <c r="B555" s="2"/>
      <c r="C555" s="19"/>
      <c r="D555" s="2"/>
      <c r="E555" s="2"/>
      <c r="F555" s="19"/>
      <c r="G555" s="2"/>
      <c r="H555" s="2"/>
      <c r="I555" s="2"/>
      <c r="J555" s="2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</row>
    <row r="556" spans="2:31" x14ac:dyDescent="0.25">
      <c r="B556" s="2"/>
      <c r="C556" s="19"/>
      <c r="D556" s="2"/>
      <c r="E556" s="2"/>
      <c r="F556" s="19"/>
      <c r="G556" s="2"/>
      <c r="H556" s="2"/>
      <c r="I556" s="2"/>
      <c r="J556" s="2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</row>
    <row r="557" spans="2:31" x14ac:dyDescent="0.25">
      <c r="B557" s="2"/>
      <c r="C557" s="19"/>
      <c r="D557" s="2"/>
      <c r="E557" s="2"/>
      <c r="F557" s="19"/>
      <c r="G557" s="2"/>
      <c r="H557" s="2"/>
      <c r="I557" s="2"/>
      <c r="J557" s="2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</row>
    <row r="558" spans="2:31" x14ac:dyDescent="0.25">
      <c r="B558" s="2"/>
      <c r="C558" s="19"/>
      <c r="D558" s="2"/>
      <c r="E558" s="2"/>
      <c r="F558" s="19"/>
      <c r="G558" s="2"/>
      <c r="H558" s="2"/>
      <c r="I558" s="2"/>
      <c r="J558" s="2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</row>
    <row r="559" spans="2:31" x14ac:dyDescent="0.25">
      <c r="B559" s="2"/>
      <c r="C559" s="19"/>
      <c r="D559" s="2"/>
      <c r="E559" s="2"/>
      <c r="F559" s="19"/>
      <c r="G559" s="2"/>
      <c r="H559" s="2"/>
      <c r="I559" s="2"/>
      <c r="J559" s="2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</row>
    <row r="560" spans="2:31" x14ac:dyDescent="0.25">
      <c r="B560" s="2"/>
      <c r="C560" s="19"/>
      <c r="D560" s="2"/>
      <c r="E560" s="2"/>
      <c r="F560" s="19"/>
      <c r="G560" s="2"/>
      <c r="H560" s="2"/>
      <c r="I560" s="2"/>
      <c r="J560" s="2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</row>
    <row r="561" spans="2:31" x14ac:dyDescent="0.25">
      <c r="B561" s="2"/>
      <c r="C561" s="19"/>
      <c r="D561" s="2"/>
      <c r="E561" s="2"/>
      <c r="F561" s="19"/>
      <c r="G561" s="2"/>
      <c r="H561" s="2"/>
      <c r="I561" s="2"/>
      <c r="J561" s="2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</row>
    <row r="562" spans="2:31" x14ac:dyDescent="0.25">
      <c r="B562" s="2"/>
      <c r="C562" s="19"/>
      <c r="D562" s="2"/>
      <c r="E562" s="2"/>
      <c r="F562" s="19"/>
      <c r="G562" s="2"/>
      <c r="H562" s="2"/>
      <c r="I562" s="2"/>
      <c r="J562" s="2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</row>
    <row r="563" spans="2:31" x14ac:dyDescent="0.25">
      <c r="B563" s="2"/>
      <c r="C563" s="19"/>
      <c r="D563" s="2"/>
      <c r="E563" s="2"/>
      <c r="F563" s="19"/>
      <c r="G563" s="2"/>
      <c r="H563" s="2"/>
      <c r="I563" s="2"/>
      <c r="J563" s="2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</row>
    <row r="564" spans="2:31" x14ac:dyDescent="0.25">
      <c r="B564" s="2"/>
      <c r="C564" s="19"/>
      <c r="D564" s="2"/>
      <c r="E564" s="2"/>
      <c r="F564" s="19"/>
      <c r="G564" s="2"/>
      <c r="H564" s="2"/>
      <c r="I564" s="2"/>
      <c r="J564" s="2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</row>
    <row r="565" spans="2:31" x14ac:dyDescent="0.25">
      <c r="B565" s="2"/>
      <c r="C565" s="19"/>
      <c r="D565" s="2"/>
      <c r="E565" s="2"/>
      <c r="F565" s="19"/>
      <c r="G565" s="2"/>
      <c r="H565" s="2"/>
      <c r="I565" s="2"/>
      <c r="J565" s="2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</row>
    <row r="566" spans="2:31" x14ac:dyDescent="0.25">
      <c r="B566" s="2"/>
      <c r="C566" s="19"/>
      <c r="D566" s="2"/>
      <c r="E566" s="2"/>
      <c r="F566" s="19"/>
      <c r="G566" s="2"/>
      <c r="H566" s="2"/>
      <c r="I566" s="2"/>
      <c r="J566" s="2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</row>
    <row r="567" spans="2:31" x14ac:dyDescent="0.25">
      <c r="B567" s="2"/>
      <c r="C567" s="19"/>
      <c r="D567" s="2"/>
      <c r="E567" s="2"/>
      <c r="F567" s="19"/>
      <c r="G567" s="2"/>
      <c r="H567" s="2"/>
      <c r="I567" s="2"/>
      <c r="J567" s="2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</row>
    <row r="568" spans="2:31" x14ac:dyDescent="0.25">
      <c r="B568" s="2"/>
      <c r="C568" s="19"/>
      <c r="D568" s="2"/>
      <c r="E568" s="2"/>
      <c r="F568" s="19"/>
      <c r="G568" s="2"/>
      <c r="H568" s="2"/>
      <c r="I568" s="2"/>
      <c r="J568" s="2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</row>
    <row r="569" spans="2:31" x14ac:dyDescent="0.25">
      <c r="B569" s="2"/>
      <c r="C569" s="19"/>
      <c r="D569" s="2"/>
      <c r="E569" s="2"/>
      <c r="F569" s="19"/>
      <c r="G569" s="2"/>
      <c r="H569" s="2"/>
      <c r="I569" s="2"/>
      <c r="J569" s="2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</row>
    <row r="570" spans="2:31" x14ac:dyDescent="0.25">
      <c r="B570" s="2"/>
      <c r="C570" s="19"/>
      <c r="D570" s="2"/>
      <c r="E570" s="2"/>
      <c r="F570" s="19"/>
      <c r="G570" s="2"/>
      <c r="H570" s="2"/>
      <c r="I570" s="2"/>
      <c r="J570" s="2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</row>
    <row r="571" spans="2:31" x14ac:dyDescent="0.25">
      <c r="B571" s="2"/>
      <c r="C571" s="19"/>
      <c r="D571" s="2"/>
      <c r="E571" s="2"/>
      <c r="F571" s="19"/>
      <c r="G571" s="2"/>
      <c r="H571" s="2"/>
      <c r="I571" s="2"/>
      <c r="J571" s="2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</row>
    <row r="572" spans="2:31" x14ac:dyDescent="0.25">
      <c r="B572" s="2"/>
      <c r="C572" s="19"/>
      <c r="D572" s="2"/>
      <c r="E572" s="2"/>
      <c r="F572" s="19"/>
      <c r="G572" s="2"/>
      <c r="H572" s="2"/>
      <c r="I572" s="2"/>
      <c r="J572" s="2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</row>
    <row r="573" spans="2:31" x14ac:dyDescent="0.25">
      <c r="B573" s="2"/>
      <c r="C573" s="19"/>
      <c r="D573" s="2"/>
      <c r="E573" s="2"/>
      <c r="F573" s="19"/>
      <c r="G573" s="2"/>
      <c r="H573" s="2"/>
      <c r="I573" s="2"/>
      <c r="J573" s="2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</row>
    <row r="574" spans="2:31" x14ac:dyDescent="0.25">
      <c r="B574" s="2"/>
      <c r="C574" s="19"/>
      <c r="D574" s="2"/>
      <c r="E574" s="2"/>
      <c r="F574" s="19"/>
      <c r="G574" s="2"/>
      <c r="H574" s="2"/>
      <c r="I574" s="2"/>
      <c r="J574" s="2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</row>
    <row r="575" spans="2:31" x14ac:dyDescent="0.25">
      <c r="B575" s="2"/>
      <c r="C575" s="19"/>
      <c r="D575" s="2"/>
      <c r="E575" s="2"/>
      <c r="F575" s="19"/>
      <c r="G575" s="2"/>
      <c r="H575" s="2"/>
      <c r="I575" s="2"/>
      <c r="J575" s="2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</row>
    <row r="576" spans="2:31" x14ac:dyDescent="0.25">
      <c r="B576" s="2"/>
      <c r="C576" s="19"/>
      <c r="D576" s="2"/>
      <c r="E576" s="2"/>
      <c r="F576" s="19"/>
      <c r="G576" s="2"/>
      <c r="H576" s="2"/>
      <c r="I576" s="2"/>
      <c r="J576" s="2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</row>
    <row r="577" spans="2:31" x14ac:dyDescent="0.25">
      <c r="B577" s="2"/>
      <c r="C577" s="19"/>
      <c r="D577" s="2"/>
      <c r="E577" s="2"/>
      <c r="F577" s="19"/>
      <c r="G577" s="2"/>
      <c r="H577" s="2"/>
      <c r="I577" s="2"/>
      <c r="J577" s="2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</row>
    <row r="578" spans="2:31" x14ac:dyDescent="0.25">
      <c r="B578" s="2"/>
      <c r="C578" s="19"/>
      <c r="D578" s="2"/>
      <c r="E578" s="2"/>
      <c r="F578" s="19"/>
      <c r="G578" s="2"/>
      <c r="H578" s="2"/>
      <c r="I578" s="2"/>
      <c r="J578" s="2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</row>
    <row r="579" spans="2:31" x14ac:dyDescent="0.25">
      <c r="B579" s="2"/>
      <c r="C579" s="19"/>
      <c r="D579" s="2"/>
      <c r="E579" s="2"/>
      <c r="F579" s="19"/>
      <c r="G579" s="2"/>
      <c r="H579" s="2"/>
      <c r="I579" s="2"/>
      <c r="J579" s="2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</row>
    <row r="580" spans="2:31" x14ac:dyDescent="0.25">
      <c r="B580" s="2"/>
      <c r="C580" s="19"/>
      <c r="D580" s="2"/>
      <c r="E580" s="2"/>
      <c r="F580" s="19"/>
      <c r="G580" s="2"/>
      <c r="H580" s="2"/>
      <c r="I580" s="2"/>
      <c r="J580" s="2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</row>
    <row r="581" spans="2:31" x14ac:dyDescent="0.25">
      <c r="B581" s="2"/>
      <c r="C581" s="19"/>
      <c r="D581" s="2"/>
      <c r="E581" s="2"/>
      <c r="F581" s="19"/>
      <c r="G581" s="2"/>
      <c r="H581" s="2"/>
      <c r="I581" s="2"/>
      <c r="J581" s="2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</row>
    <row r="582" spans="2:31" x14ac:dyDescent="0.25">
      <c r="B582" s="2"/>
      <c r="C582" s="19"/>
      <c r="D582" s="2"/>
      <c r="E582" s="2"/>
      <c r="F582" s="19"/>
      <c r="G582" s="2"/>
      <c r="H582" s="2"/>
      <c r="I582" s="2"/>
      <c r="J582" s="2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</row>
    <row r="583" spans="2:31" x14ac:dyDescent="0.25">
      <c r="B583" s="2"/>
      <c r="C583" s="19"/>
      <c r="D583" s="2"/>
      <c r="E583" s="2"/>
      <c r="F583" s="19"/>
      <c r="G583" s="2"/>
      <c r="H583" s="2"/>
      <c r="I583" s="2"/>
      <c r="J583" s="2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</row>
    <row r="584" spans="2:31" x14ac:dyDescent="0.25">
      <c r="B584" s="2"/>
      <c r="C584" s="19"/>
      <c r="D584" s="2"/>
      <c r="E584" s="2"/>
      <c r="F584" s="19"/>
      <c r="G584" s="2"/>
      <c r="H584" s="2"/>
      <c r="I584" s="2"/>
      <c r="J584" s="2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</row>
    <row r="585" spans="2:31" x14ac:dyDescent="0.25">
      <c r="B585" s="2"/>
      <c r="C585" s="19"/>
      <c r="D585" s="2"/>
      <c r="E585" s="2"/>
      <c r="F585" s="19"/>
      <c r="G585" s="2"/>
      <c r="H585" s="2"/>
      <c r="I585" s="2"/>
      <c r="J585" s="2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</row>
    <row r="586" spans="2:31" x14ac:dyDescent="0.25">
      <c r="B586" s="2"/>
      <c r="C586" s="19"/>
      <c r="D586" s="2"/>
      <c r="E586" s="2"/>
      <c r="F586" s="19"/>
      <c r="G586" s="2"/>
      <c r="H586" s="2"/>
      <c r="I586" s="2"/>
      <c r="J586" s="2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</row>
    <row r="587" spans="2:31" x14ac:dyDescent="0.25">
      <c r="B587" s="2"/>
      <c r="C587" s="19"/>
      <c r="D587" s="2"/>
      <c r="E587" s="2"/>
      <c r="F587" s="19"/>
      <c r="G587" s="2"/>
      <c r="H587" s="2"/>
      <c r="I587" s="2"/>
      <c r="J587" s="2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</row>
    <row r="588" spans="2:31" x14ac:dyDescent="0.25">
      <c r="B588" s="2"/>
      <c r="C588" s="19"/>
      <c r="D588" s="2"/>
      <c r="E588" s="2"/>
      <c r="F588" s="19"/>
      <c r="G588" s="2"/>
      <c r="H588" s="2"/>
      <c r="I588" s="2"/>
      <c r="J588" s="2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</row>
    <row r="589" spans="2:31" x14ac:dyDescent="0.25">
      <c r="B589" s="2"/>
      <c r="C589" s="19"/>
      <c r="D589" s="2"/>
      <c r="E589" s="2"/>
      <c r="F589" s="19"/>
      <c r="G589" s="2"/>
      <c r="H589" s="2"/>
      <c r="I589" s="2"/>
      <c r="J589" s="2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</row>
    <row r="590" spans="2:31" x14ac:dyDescent="0.25">
      <c r="B590" s="2"/>
      <c r="C590" s="19"/>
      <c r="D590" s="2"/>
      <c r="E590" s="2"/>
      <c r="F590" s="19"/>
      <c r="G590" s="2"/>
      <c r="H590" s="2"/>
      <c r="I590" s="2"/>
      <c r="J590" s="2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</row>
    <row r="591" spans="2:31" x14ac:dyDescent="0.25">
      <c r="B591" s="2"/>
      <c r="C591" s="19"/>
      <c r="D591" s="2"/>
      <c r="E591" s="2"/>
      <c r="F591" s="19"/>
      <c r="G591" s="2"/>
      <c r="H591" s="2"/>
      <c r="I591" s="2"/>
      <c r="J591" s="2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</row>
    <row r="592" spans="2:31" x14ac:dyDescent="0.25">
      <c r="B592" s="2"/>
      <c r="C592" s="19"/>
      <c r="D592" s="2"/>
      <c r="E592" s="2"/>
      <c r="F592" s="19"/>
      <c r="G592" s="2"/>
      <c r="H592" s="2"/>
      <c r="I592" s="2"/>
      <c r="J592" s="2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</row>
    <row r="593" spans="2:31" x14ac:dyDescent="0.25">
      <c r="B593" s="2"/>
      <c r="C593" s="19"/>
      <c r="D593" s="2"/>
      <c r="E593" s="2"/>
      <c r="F593" s="19"/>
      <c r="G593" s="2"/>
      <c r="H593" s="2"/>
      <c r="I593" s="2"/>
      <c r="J593" s="2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</row>
    <row r="594" spans="2:31" x14ac:dyDescent="0.25">
      <c r="B594" s="2"/>
      <c r="C594" s="19"/>
      <c r="D594" s="2"/>
      <c r="E594" s="2"/>
      <c r="F594" s="19"/>
      <c r="G594" s="2"/>
      <c r="H594" s="2"/>
      <c r="I594" s="2"/>
      <c r="J594" s="2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</row>
    <row r="595" spans="2:31" x14ac:dyDescent="0.25">
      <c r="B595" s="2"/>
      <c r="C595" s="19"/>
      <c r="D595" s="2"/>
      <c r="E595" s="2"/>
      <c r="F595" s="19"/>
      <c r="G595" s="2"/>
      <c r="H595" s="2"/>
      <c r="I595" s="2"/>
      <c r="J595" s="2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</row>
    <row r="596" spans="2:31" x14ac:dyDescent="0.25">
      <c r="B596" s="2"/>
      <c r="C596" s="19"/>
      <c r="D596" s="2"/>
      <c r="E596" s="2"/>
      <c r="F596" s="19"/>
      <c r="G596" s="2"/>
      <c r="H596" s="2"/>
      <c r="I596" s="2"/>
      <c r="J596" s="2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</row>
    <row r="597" spans="2:31" x14ac:dyDescent="0.25">
      <c r="B597" s="2"/>
      <c r="C597" s="19"/>
      <c r="D597" s="2"/>
      <c r="E597" s="2"/>
      <c r="F597" s="19"/>
      <c r="G597" s="2"/>
      <c r="H597" s="2"/>
      <c r="I597" s="2"/>
      <c r="J597" s="2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</row>
    <row r="598" spans="2:31" x14ac:dyDescent="0.25">
      <c r="B598" s="2"/>
      <c r="C598" s="19"/>
      <c r="D598" s="2"/>
      <c r="E598" s="2"/>
      <c r="F598" s="19"/>
      <c r="G598" s="2"/>
      <c r="H598" s="2"/>
      <c r="I598" s="2"/>
      <c r="J598" s="2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</row>
    <row r="599" spans="2:31" x14ac:dyDescent="0.25">
      <c r="B599" s="2"/>
      <c r="C599" s="19"/>
      <c r="D599" s="2"/>
      <c r="E599" s="2"/>
      <c r="F599" s="19"/>
      <c r="G599" s="2"/>
      <c r="H599" s="2"/>
      <c r="I599" s="2"/>
      <c r="J599" s="2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</row>
    <row r="600" spans="2:31" x14ac:dyDescent="0.25">
      <c r="B600" s="2"/>
      <c r="C600" s="19"/>
      <c r="D600" s="2"/>
      <c r="E600" s="2"/>
      <c r="F600" s="19"/>
      <c r="G600" s="2"/>
      <c r="H600" s="2"/>
      <c r="I600" s="2"/>
      <c r="J600" s="2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</row>
    <row r="601" spans="2:31" x14ac:dyDescent="0.25">
      <c r="B601" s="2"/>
      <c r="C601" s="19"/>
      <c r="D601" s="2"/>
      <c r="E601" s="2"/>
      <c r="F601" s="19"/>
      <c r="G601" s="2"/>
      <c r="H601" s="2"/>
      <c r="I601" s="2"/>
      <c r="J601" s="2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</row>
    <row r="602" spans="2:31" x14ac:dyDescent="0.25">
      <c r="B602" s="2"/>
      <c r="C602" s="19"/>
      <c r="D602" s="2"/>
      <c r="E602" s="2"/>
      <c r="F602" s="19"/>
      <c r="G602" s="2"/>
      <c r="H602" s="2"/>
      <c r="I602" s="2"/>
      <c r="J602" s="2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</row>
    <row r="603" spans="2:31" x14ac:dyDescent="0.25">
      <c r="B603" s="2"/>
      <c r="C603" s="19"/>
      <c r="D603" s="2"/>
      <c r="E603" s="2"/>
      <c r="F603" s="19"/>
      <c r="G603" s="2"/>
      <c r="H603" s="2"/>
      <c r="I603" s="2"/>
      <c r="J603" s="2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</row>
    <row r="604" spans="2:31" x14ac:dyDescent="0.25">
      <c r="B604" s="2"/>
      <c r="C604" s="19"/>
      <c r="D604" s="2"/>
      <c r="E604" s="2"/>
      <c r="F604" s="19"/>
      <c r="G604" s="2"/>
      <c r="H604" s="2"/>
      <c r="I604" s="2"/>
      <c r="J604" s="2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</row>
    <row r="605" spans="2:31" x14ac:dyDescent="0.25">
      <c r="B605" s="2"/>
      <c r="C605" s="19"/>
      <c r="D605" s="2"/>
      <c r="E605" s="2"/>
      <c r="F605" s="19"/>
      <c r="G605" s="2"/>
      <c r="H605" s="2"/>
      <c r="I605" s="2"/>
      <c r="J605" s="2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</row>
    <row r="606" spans="2:31" x14ac:dyDescent="0.25">
      <c r="B606" s="2"/>
      <c r="C606" s="19"/>
      <c r="D606" s="2"/>
      <c r="E606" s="2"/>
      <c r="F606" s="19"/>
      <c r="G606" s="2"/>
      <c r="H606" s="2"/>
      <c r="I606" s="2"/>
      <c r="J606" s="2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</row>
    <row r="607" spans="2:31" x14ac:dyDescent="0.25">
      <c r="B607" s="2"/>
      <c r="C607" s="19"/>
      <c r="D607" s="2"/>
      <c r="E607" s="2"/>
      <c r="F607" s="19"/>
      <c r="G607" s="2"/>
      <c r="H607" s="2"/>
      <c r="I607" s="2"/>
      <c r="J607" s="2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</row>
    <row r="608" spans="2:31" x14ac:dyDescent="0.25">
      <c r="B608" s="2"/>
      <c r="C608" s="19"/>
      <c r="D608" s="2"/>
      <c r="E608" s="2"/>
      <c r="F608" s="19"/>
      <c r="G608" s="2"/>
      <c r="H608" s="2"/>
      <c r="I608" s="2"/>
      <c r="J608" s="2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</row>
    <row r="609" spans="2:31" x14ac:dyDescent="0.25">
      <c r="B609" s="2"/>
      <c r="C609" s="19"/>
      <c r="D609" s="2"/>
      <c r="E609" s="2"/>
      <c r="F609" s="19"/>
      <c r="G609" s="2"/>
      <c r="H609" s="2"/>
      <c r="I609" s="2"/>
      <c r="J609" s="2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</row>
    <row r="610" spans="2:31" x14ac:dyDescent="0.25">
      <c r="B610" s="2"/>
      <c r="C610" s="19"/>
      <c r="D610" s="2"/>
      <c r="E610" s="2"/>
      <c r="F610" s="19"/>
      <c r="G610" s="2"/>
      <c r="H610" s="2"/>
      <c r="I610" s="2"/>
      <c r="J610" s="2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</row>
    <row r="611" spans="2:31" x14ac:dyDescent="0.25">
      <c r="B611" s="2"/>
      <c r="C611" s="19"/>
      <c r="D611" s="2"/>
      <c r="E611" s="2"/>
      <c r="F611" s="19"/>
      <c r="G611" s="2"/>
      <c r="H611" s="2"/>
      <c r="I611" s="2"/>
      <c r="J611" s="2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</row>
    <row r="612" spans="2:31" x14ac:dyDescent="0.25">
      <c r="B612" s="2"/>
      <c r="C612" s="19"/>
      <c r="D612" s="2"/>
      <c r="E612" s="2"/>
      <c r="F612" s="19"/>
      <c r="G612" s="2"/>
      <c r="H612" s="2"/>
      <c r="I612" s="2"/>
      <c r="J612" s="2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</row>
    <row r="613" spans="2:31" x14ac:dyDescent="0.25">
      <c r="B613" s="2"/>
      <c r="C613" s="19"/>
      <c r="D613" s="2"/>
      <c r="E613" s="2"/>
      <c r="F613" s="19"/>
      <c r="G613" s="2"/>
      <c r="H613" s="2"/>
      <c r="I613" s="2"/>
      <c r="J613" s="2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</row>
    <row r="614" spans="2:31" x14ac:dyDescent="0.25">
      <c r="B614" s="2"/>
      <c r="C614" s="19"/>
      <c r="D614" s="2"/>
      <c r="E614" s="2"/>
      <c r="F614" s="19"/>
      <c r="G614" s="2"/>
      <c r="H614" s="2"/>
      <c r="I614" s="2"/>
      <c r="J614" s="2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</row>
    <row r="615" spans="2:31" x14ac:dyDescent="0.25">
      <c r="B615" s="2"/>
      <c r="C615" s="19"/>
      <c r="D615" s="2"/>
      <c r="E615" s="2"/>
      <c r="F615" s="19"/>
      <c r="G615" s="2"/>
      <c r="H615" s="2"/>
      <c r="I615" s="2"/>
      <c r="J615" s="2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</row>
    <row r="616" spans="2:31" x14ac:dyDescent="0.25">
      <c r="B616" s="2"/>
      <c r="C616" s="19"/>
      <c r="D616" s="2"/>
      <c r="E616" s="2"/>
      <c r="F616" s="19"/>
      <c r="G616" s="2"/>
      <c r="H616" s="2"/>
      <c r="I616" s="2"/>
      <c r="J616" s="2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</row>
    <row r="617" spans="2:31" x14ac:dyDescent="0.25">
      <c r="B617" s="2"/>
      <c r="C617" s="19"/>
      <c r="D617" s="2"/>
      <c r="E617" s="2"/>
      <c r="F617" s="19"/>
      <c r="G617" s="2"/>
      <c r="H617" s="2"/>
      <c r="I617" s="2"/>
      <c r="J617" s="2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</row>
    <row r="618" spans="2:31" x14ac:dyDescent="0.25">
      <c r="B618" s="2"/>
      <c r="C618" s="19"/>
      <c r="D618" s="2"/>
      <c r="E618" s="2"/>
      <c r="F618" s="19"/>
      <c r="G618" s="2"/>
      <c r="H618" s="2"/>
      <c r="I618" s="2"/>
      <c r="J618" s="2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</row>
    <row r="619" spans="2:31" x14ac:dyDescent="0.25">
      <c r="B619" s="2"/>
      <c r="C619" s="19"/>
      <c r="D619" s="2"/>
      <c r="E619" s="2"/>
      <c r="F619" s="19"/>
      <c r="G619" s="2"/>
      <c r="H619" s="2"/>
      <c r="I619" s="2"/>
      <c r="J619" s="2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</row>
    <row r="620" spans="2:31" x14ac:dyDescent="0.25">
      <c r="B620" s="2"/>
      <c r="C620" s="19"/>
      <c r="D620" s="2"/>
      <c r="E620" s="2"/>
      <c r="F620" s="19"/>
      <c r="G620" s="2"/>
      <c r="H620" s="2"/>
      <c r="I620" s="2"/>
      <c r="J620" s="2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</row>
    <row r="621" spans="2:31" x14ac:dyDescent="0.25">
      <c r="B621" s="2"/>
      <c r="C621" s="19"/>
      <c r="D621" s="2"/>
      <c r="E621" s="2"/>
      <c r="F621" s="19"/>
      <c r="G621" s="2"/>
      <c r="H621" s="2"/>
      <c r="I621" s="2"/>
      <c r="J621" s="2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</row>
    <row r="622" spans="2:31" x14ac:dyDescent="0.25">
      <c r="B622" s="2"/>
      <c r="C622" s="19"/>
      <c r="D622" s="2"/>
      <c r="E622" s="2"/>
      <c r="F622" s="19"/>
      <c r="G622" s="2"/>
      <c r="H622" s="2"/>
      <c r="I622" s="2"/>
      <c r="J622" s="2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</row>
    <row r="623" spans="2:31" x14ac:dyDescent="0.25">
      <c r="B623" s="2"/>
      <c r="C623" s="19"/>
      <c r="D623" s="2"/>
      <c r="E623" s="2"/>
      <c r="F623" s="19"/>
      <c r="G623" s="2"/>
      <c r="H623" s="2"/>
      <c r="I623" s="2"/>
      <c r="J623" s="2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</row>
    <row r="624" spans="2:31" x14ac:dyDescent="0.25">
      <c r="B624" s="2"/>
      <c r="C624" s="19"/>
      <c r="D624" s="2"/>
      <c r="E624" s="2"/>
      <c r="F624" s="19"/>
      <c r="G624" s="2"/>
      <c r="H624" s="2"/>
      <c r="I624" s="2"/>
      <c r="J624" s="2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</row>
    <row r="625" spans="2:31" x14ac:dyDescent="0.25">
      <c r="B625" s="2"/>
      <c r="C625" s="19"/>
      <c r="D625" s="2"/>
      <c r="E625" s="2"/>
      <c r="F625" s="19"/>
      <c r="G625" s="2"/>
      <c r="H625" s="2"/>
      <c r="I625" s="2"/>
      <c r="J625" s="2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E625" s="20"/>
    </row>
    <row r="626" spans="2:31" x14ac:dyDescent="0.25">
      <c r="B626" s="2"/>
      <c r="C626" s="19"/>
      <c r="D626" s="2"/>
      <c r="E626" s="2"/>
      <c r="F626" s="19"/>
      <c r="G626" s="2"/>
      <c r="H626" s="2"/>
      <c r="I626" s="2"/>
      <c r="J626" s="2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E626" s="20"/>
    </row>
    <row r="627" spans="2:31" x14ac:dyDescent="0.25">
      <c r="B627" s="2"/>
      <c r="C627" s="19"/>
      <c r="D627" s="2"/>
      <c r="E627" s="2"/>
      <c r="F627" s="19"/>
      <c r="G627" s="2"/>
      <c r="H627" s="2"/>
      <c r="I627" s="2"/>
      <c r="J627" s="2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/>
    </row>
    <row r="628" spans="2:31" x14ac:dyDescent="0.25">
      <c r="B628" s="2"/>
      <c r="C628" s="19"/>
      <c r="D628" s="2"/>
      <c r="E628" s="2"/>
      <c r="F628" s="19"/>
      <c r="G628" s="2"/>
      <c r="H628" s="2"/>
      <c r="I628" s="2"/>
      <c r="J628" s="2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E628" s="20"/>
    </row>
    <row r="629" spans="2:31" x14ac:dyDescent="0.25">
      <c r="B629" s="2"/>
      <c r="C629" s="19"/>
      <c r="D629" s="2"/>
      <c r="E629" s="2"/>
      <c r="F629" s="19"/>
      <c r="G629" s="2"/>
      <c r="H629" s="2"/>
      <c r="I629" s="2"/>
      <c r="J629" s="2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/>
    </row>
    <row r="630" spans="2:31" x14ac:dyDescent="0.25">
      <c r="B630" s="2"/>
      <c r="C630" s="19"/>
      <c r="D630" s="2"/>
      <c r="E630" s="2"/>
      <c r="F630" s="19"/>
      <c r="G630" s="2"/>
      <c r="H630" s="2"/>
      <c r="I630" s="2"/>
      <c r="J630" s="2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E630" s="20"/>
    </row>
    <row r="631" spans="2:31" x14ac:dyDescent="0.25">
      <c r="B631" s="2"/>
      <c r="C631" s="19"/>
      <c r="D631" s="2"/>
      <c r="E631" s="2"/>
      <c r="F631" s="19"/>
      <c r="G631" s="2"/>
      <c r="H631" s="2"/>
      <c r="I631" s="2"/>
      <c r="J631" s="2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E631" s="20"/>
    </row>
    <row r="632" spans="2:31" x14ac:dyDescent="0.25">
      <c r="B632" s="2"/>
      <c r="C632" s="19"/>
      <c r="D632" s="2"/>
      <c r="E632" s="2"/>
      <c r="F632" s="19"/>
      <c r="G632" s="2"/>
      <c r="H632" s="2"/>
      <c r="I632" s="2"/>
      <c r="J632" s="2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E632" s="20"/>
    </row>
    <row r="633" spans="2:31" x14ac:dyDescent="0.25">
      <c r="B633" s="2"/>
      <c r="C633" s="19"/>
      <c r="D633" s="2"/>
      <c r="E633" s="2"/>
      <c r="F633" s="19"/>
      <c r="G633" s="2"/>
      <c r="H633" s="2"/>
      <c r="I633" s="2"/>
      <c r="J633" s="2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E633" s="20"/>
    </row>
    <row r="634" spans="2:31" x14ac:dyDescent="0.25">
      <c r="B634" s="2"/>
      <c r="C634" s="19"/>
      <c r="D634" s="2"/>
      <c r="E634" s="2"/>
      <c r="F634" s="19"/>
      <c r="G634" s="2"/>
      <c r="H634" s="2"/>
      <c r="I634" s="2"/>
      <c r="J634" s="2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E634" s="20"/>
    </row>
    <row r="635" spans="2:31" x14ac:dyDescent="0.25">
      <c r="B635" s="2"/>
      <c r="C635" s="19"/>
      <c r="D635" s="2"/>
      <c r="E635" s="2"/>
      <c r="F635" s="19"/>
      <c r="G635" s="2"/>
      <c r="H635" s="2"/>
      <c r="I635" s="2"/>
      <c r="J635" s="2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E635" s="20"/>
    </row>
    <row r="636" spans="2:31" x14ac:dyDescent="0.25">
      <c r="B636" s="2"/>
      <c r="C636" s="19"/>
      <c r="D636" s="2"/>
      <c r="E636" s="2"/>
      <c r="F636" s="19"/>
      <c r="G636" s="2"/>
      <c r="H636" s="2"/>
      <c r="I636" s="2"/>
      <c r="J636" s="2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E636" s="20"/>
    </row>
    <row r="637" spans="2:31" x14ac:dyDescent="0.25">
      <c r="B637" s="2"/>
      <c r="C637" s="19"/>
      <c r="D637" s="2"/>
      <c r="E637" s="2"/>
      <c r="F637" s="19"/>
      <c r="G637" s="2"/>
      <c r="H637" s="2"/>
      <c r="I637" s="2"/>
      <c r="J637" s="2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E637" s="20"/>
    </row>
    <row r="638" spans="2:31" x14ac:dyDescent="0.25">
      <c r="B638" s="2"/>
      <c r="C638" s="19"/>
      <c r="D638" s="2"/>
      <c r="E638" s="2"/>
      <c r="F638" s="19"/>
      <c r="G638" s="2"/>
      <c r="H638" s="2"/>
      <c r="I638" s="2"/>
      <c r="J638" s="2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E638" s="20"/>
    </row>
    <row r="639" spans="2:31" x14ac:dyDescent="0.25">
      <c r="B639" s="2"/>
      <c r="C639" s="19"/>
      <c r="D639" s="2"/>
      <c r="E639" s="2"/>
      <c r="F639" s="19"/>
      <c r="G639" s="2"/>
      <c r="H639" s="2"/>
      <c r="I639" s="2"/>
      <c r="J639" s="2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E639" s="20"/>
    </row>
    <row r="640" spans="2:31" x14ac:dyDescent="0.25">
      <c r="B640" s="2"/>
      <c r="C640" s="19"/>
      <c r="D640" s="2"/>
      <c r="E640" s="2"/>
      <c r="F640" s="19"/>
      <c r="G640" s="2"/>
      <c r="H640" s="2"/>
      <c r="I640" s="2"/>
      <c r="J640" s="2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E640" s="20"/>
    </row>
    <row r="641" spans="2:31" x14ac:dyDescent="0.25">
      <c r="B641" s="2"/>
      <c r="C641" s="19"/>
      <c r="D641" s="2"/>
      <c r="E641" s="2"/>
      <c r="F641" s="19"/>
      <c r="G641" s="2"/>
      <c r="H641" s="2"/>
      <c r="I641" s="2"/>
      <c r="J641" s="2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E641" s="20"/>
    </row>
    <row r="642" spans="2:31" x14ac:dyDescent="0.25">
      <c r="B642" s="2"/>
      <c r="C642" s="19"/>
      <c r="D642" s="2"/>
      <c r="E642" s="2"/>
      <c r="F642" s="19"/>
      <c r="G642" s="2"/>
      <c r="H642" s="2"/>
      <c r="I642" s="2"/>
      <c r="J642" s="2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E642" s="20"/>
    </row>
    <row r="643" spans="2:31" x14ac:dyDescent="0.25">
      <c r="B643" s="2"/>
      <c r="C643" s="19"/>
      <c r="D643" s="2"/>
      <c r="E643" s="2"/>
      <c r="F643" s="19"/>
      <c r="G643" s="2"/>
      <c r="H643" s="2"/>
      <c r="I643" s="2"/>
      <c r="J643" s="2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E643" s="20"/>
    </row>
    <row r="644" spans="2:31" x14ac:dyDescent="0.25">
      <c r="B644" s="2"/>
      <c r="C644" s="19"/>
      <c r="D644" s="2"/>
      <c r="E644" s="2"/>
      <c r="F644" s="19"/>
      <c r="G644" s="2"/>
      <c r="H644" s="2"/>
      <c r="I644" s="2"/>
      <c r="J644" s="2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E644" s="20"/>
    </row>
    <row r="645" spans="2:31" x14ac:dyDescent="0.25">
      <c r="B645" s="2"/>
      <c r="C645" s="19"/>
      <c r="D645" s="2"/>
      <c r="E645" s="2"/>
      <c r="F645" s="19"/>
      <c r="G645" s="2"/>
      <c r="H645" s="2"/>
      <c r="I645" s="2"/>
      <c r="J645" s="2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E645" s="20"/>
    </row>
    <row r="646" spans="2:31" x14ac:dyDescent="0.25">
      <c r="B646" s="2"/>
      <c r="C646" s="19"/>
      <c r="D646" s="2"/>
      <c r="E646" s="2"/>
      <c r="F646" s="19"/>
      <c r="G646" s="2"/>
      <c r="H646" s="2"/>
      <c r="I646" s="2"/>
      <c r="J646" s="2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E646" s="20"/>
    </row>
    <row r="647" spans="2:31" x14ac:dyDescent="0.25">
      <c r="B647" s="2"/>
      <c r="C647" s="19"/>
      <c r="D647" s="2"/>
      <c r="E647" s="2"/>
      <c r="F647" s="19"/>
      <c r="G647" s="2"/>
      <c r="H647" s="2"/>
      <c r="I647" s="2"/>
      <c r="J647" s="2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E647" s="20"/>
    </row>
    <row r="648" spans="2:31" x14ac:dyDescent="0.25">
      <c r="B648" s="2"/>
      <c r="C648" s="19"/>
      <c r="D648" s="2"/>
      <c r="E648" s="2"/>
      <c r="F648" s="19"/>
      <c r="G648" s="2"/>
      <c r="H648" s="2"/>
      <c r="I648" s="2"/>
      <c r="J648" s="2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E648" s="20"/>
    </row>
    <row r="649" spans="2:31" x14ac:dyDescent="0.25">
      <c r="B649" s="2"/>
      <c r="C649" s="19"/>
      <c r="D649" s="2"/>
      <c r="E649" s="2"/>
      <c r="F649" s="19"/>
      <c r="G649" s="2"/>
      <c r="H649" s="2"/>
      <c r="I649" s="2"/>
      <c r="J649" s="2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E649" s="20"/>
    </row>
    <row r="650" spans="2:31" x14ac:dyDescent="0.25">
      <c r="B650" s="2"/>
      <c r="C650" s="19"/>
      <c r="D650" s="2"/>
      <c r="E650" s="2"/>
      <c r="F650" s="19"/>
      <c r="G650" s="2"/>
      <c r="H650" s="2"/>
      <c r="I650" s="2"/>
      <c r="J650" s="2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E650" s="20"/>
    </row>
    <row r="651" spans="2:31" x14ac:dyDescent="0.25">
      <c r="B651" s="2"/>
      <c r="C651" s="19"/>
      <c r="D651" s="2"/>
      <c r="E651" s="2"/>
      <c r="F651" s="19"/>
      <c r="G651" s="2"/>
      <c r="H651" s="2"/>
      <c r="I651" s="2"/>
      <c r="J651" s="2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/>
    </row>
    <row r="652" spans="2:31" x14ac:dyDescent="0.25">
      <c r="B652" s="2"/>
      <c r="C652" s="19"/>
      <c r="D652" s="2"/>
      <c r="E652" s="2"/>
      <c r="F652" s="19"/>
      <c r="G652" s="2"/>
      <c r="H652" s="2"/>
      <c r="I652" s="2"/>
      <c r="J652" s="2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E652" s="20"/>
    </row>
    <row r="653" spans="2:31" x14ac:dyDescent="0.25">
      <c r="B653" s="2"/>
      <c r="C653" s="19"/>
      <c r="D653" s="2"/>
      <c r="E653" s="2"/>
      <c r="F653" s="19"/>
      <c r="G653" s="2"/>
      <c r="H653" s="2"/>
      <c r="I653" s="2"/>
      <c r="J653" s="2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/>
    </row>
    <row r="654" spans="2:31" x14ac:dyDescent="0.25">
      <c r="B654" s="2"/>
      <c r="C654" s="19"/>
      <c r="D654" s="2"/>
      <c r="E654" s="2"/>
      <c r="F654" s="19"/>
      <c r="G654" s="2"/>
      <c r="H654" s="2"/>
      <c r="I654" s="2"/>
      <c r="J654" s="2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E654" s="20"/>
    </row>
    <row r="655" spans="2:31" x14ac:dyDescent="0.25">
      <c r="B655" s="2"/>
      <c r="C655" s="19"/>
      <c r="D655" s="2"/>
      <c r="E655" s="2"/>
      <c r="F655" s="19"/>
      <c r="G655" s="2"/>
      <c r="H655" s="2"/>
      <c r="I655" s="2"/>
      <c r="J655" s="2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E655" s="20"/>
    </row>
    <row r="656" spans="2:31" x14ac:dyDescent="0.25">
      <c r="B656" s="2"/>
      <c r="C656" s="19"/>
      <c r="D656" s="2"/>
      <c r="E656" s="2"/>
      <c r="F656" s="19"/>
      <c r="G656" s="2"/>
      <c r="H656" s="2"/>
      <c r="I656" s="2"/>
      <c r="J656" s="2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E656" s="20"/>
    </row>
    <row r="657" spans="2:31" x14ac:dyDescent="0.25">
      <c r="B657" s="2"/>
      <c r="C657" s="19"/>
      <c r="D657" s="2"/>
      <c r="E657" s="2"/>
      <c r="F657" s="19"/>
      <c r="G657" s="2"/>
      <c r="H657" s="2"/>
      <c r="I657" s="2"/>
      <c r="J657" s="2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E657" s="20"/>
    </row>
    <row r="658" spans="2:31" x14ac:dyDescent="0.25">
      <c r="B658" s="2"/>
      <c r="C658" s="19"/>
      <c r="D658" s="2"/>
      <c r="E658" s="2"/>
      <c r="F658" s="19"/>
      <c r="G658" s="2"/>
      <c r="H658" s="2"/>
      <c r="I658" s="2"/>
      <c r="J658" s="2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E658" s="20"/>
    </row>
    <row r="659" spans="2:31" x14ac:dyDescent="0.25">
      <c r="B659" s="2"/>
      <c r="C659" s="19"/>
      <c r="D659" s="2"/>
      <c r="E659" s="2"/>
      <c r="F659" s="19"/>
      <c r="G659" s="2"/>
      <c r="H659" s="2"/>
      <c r="I659" s="2"/>
      <c r="J659" s="2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E659" s="20"/>
    </row>
    <row r="660" spans="2:31" x14ac:dyDescent="0.25">
      <c r="B660" s="2"/>
      <c r="C660" s="19"/>
      <c r="D660" s="2"/>
      <c r="E660" s="2"/>
      <c r="F660" s="19"/>
      <c r="G660" s="2"/>
      <c r="H660" s="2"/>
      <c r="I660" s="2"/>
      <c r="J660" s="2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E660" s="20"/>
    </row>
    <row r="661" spans="2:31" x14ac:dyDescent="0.25">
      <c r="B661" s="2"/>
      <c r="C661" s="19"/>
      <c r="D661" s="2"/>
      <c r="E661" s="2"/>
      <c r="F661" s="19"/>
      <c r="G661" s="2"/>
      <c r="H661" s="2"/>
      <c r="I661" s="2"/>
      <c r="J661" s="2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E661" s="20"/>
    </row>
    <row r="662" spans="2:31" x14ac:dyDescent="0.25">
      <c r="B662" s="2"/>
      <c r="C662" s="19"/>
      <c r="D662" s="2"/>
      <c r="E662" s="2"/>
      <c r="F662" s="19"/>
      <c r="G662" s="2"/>
      <c r="H662" s="2"/>
      <c r="I662" s="2"/>
      <c r="J662" s="2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E662" s="20"/>
    </row>
    <row r="663" spans="2:31" x14ac:dyDescent="0.25">
      <c r="B663" s="2"/>
      <c r="C663" s="19"/>
      <c r="D663" s="2"/>
      <c r="E663" s="2"/>
      <c r="F663" s="19"/>
      <c r="G663" s="2"/>
      <c r="H663" s="2"/>
      <c r="I663" s="2"/>
      <c r="J663" s="2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E663" s="20"/>
    </row>
    <row r="664" spans="2:31" x14ac:dyDescent="0.25">
      <c r="B664" s="2"/>
      <c r="C664" s="19"/>
      <c r="D664" s="2"/>
      <c r="E664" s="2"/>
      <c r="F664" s="19"/>
      <c r="G664" s="2"/>
      <c r="H664" s="2"/>
      <c r="I664" s="2"/>
      <c r="J664" s="2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E664" s="20"/>
    </row>
    <row r="665" spans="2:31" x14ac:dyDescent="0.25">
      <c r="B665" s="2"/>
      <c r="C665" s="19"/>
      <c r="D665" s="2"/>
      <c r="E665" s="2"/>
      <c r="F665" s="19"/>
      <c r="G665" s="2"/>
      <c r="H665" s="2"/>
      <c r="I665" s="2"/>
      <c r="J665" s="2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E665" s="20"/>
    </row>
    <row r="666" spans="2:31" x14ac:dyDescent="0.25">
      <c r="B666" s="2"/>
      <c r="C666" s="19"/>
      <c r="D666" s="2"/>
      <c r="E666" s="2"/>
      <c r="F666" s="19"/>
      <c r="G666" s="2"/>
      <c r="H666" s="2"/>
      <c r="I666" s="2"/>
      <c r="J666" s="2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E666" s="20"/>
    </row>
    <row r="667" spans="2:31" x14ac:dyDescent="0.25">
      <c r="B667" s="2"/>
      <c r="C667" s="19"/>
      <c r="D667" s="2"/>
      <c r="E667" s="2"/>
      <c r="F667" s="19"/>
      <c r="G667" s="2"/>
      <c r="H667" s="2"/>
      <c r="I667" s="2"/>
      <c r="J667" s="2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E667" s="20"/>
    </row>
    <row r="668" spans="2:31" x14ac:dyDescent="0.25">
      <c r="B668" s="2"/>
      <c r="C668" s="19"/>
      <c r="D668" s="2"/>
      <c r="E668" s="2"/>
      <c r="F668" s="19"/>
      <c r="G668" s="2"/>
      <c r="H668" s="2"/>
      <c r="I668" s="2"/>
      <c r="J668" s="2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E668" s="20"/>
    </row>
    <row r="669" spans="2:31" x14ac:dyDescent="0.25">
      <c r="B669" s="2"/>
      <c r="C669" s="19"/>
      <c r="D669" s="2"/>
      <c r="E669" s="2"/>
      <c r="F669" s="19"/>
      <c r="G669" s="2"/>
      <c r="H669" s="2"/>
      <c r="I669" s="2"/>
      <c r="J669" s="2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E669" s="20"/>
    </row>
    <row r="670" spans="2:31" x14ac:dyDescent="0.25">
      <c r="B670" s="2"/>
      <c r="C670" s="19"/>
      <c r="D670" s="2"/>
      <c r="E670" s="2"/>
      <c r="F670" s="19"/>
      <c r="G670" s="2"/>
      <c r="H670" s="2"/>
      <c r="I670" s="2"/>
      <c r="J670" s="2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E670" s="20"/>
    </row>
    <row r="671" spans="2:31" x14ac:dyDescent="0.25">
      <c r="B671" s="2"/>
      <c r="C671" s="19"/>
      <c r="D671" s="2"/>
      <c r="E671" s="2"/>
      <c r="F671" s="19"/>
      <c r="G671" s="2"/>
      <c r="H671" s="2"/>
      <c r="I671" s="2"/>
      <c r="J671" s="2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E671" s="20"/>
    </row>
    <row r="672" spans="2:31" x14ac:dyDescent="0.25">
      <c r="B672" s="2"/>
      <c r="C672" s="19"/>
      <c r="D672" s="2"/>
      <c r="E672" s="2"/>
      <c r="F672" s="19"/>
      <c r="G672" s="2"/>
      <c r="H672" s="2"/>
      <c r="I672" s="2"/>
      <c r="J672" s="2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E672" s="20"/>
    </row>
    <row r="673" spans="2:31" x14ac:dyDescent="0.25">
      <c r="B673" s="2"/>
      <c r="C673" s="19"/>
      <c r="D673" s="2"/>
      <c r="E673" s="2"/>
      <c r="F673" s="19"/>
      <c r="G673" s="2"/>
      <c r="H673" s="2"/>
      <c r="I673" s="2"/>
      <c r="J673" s="2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/>
    </row>
    <row r="674" spans="2:31" x14ac:dyDescent="0.25">
      <c r="B674" s="2"/>
      <c r="C674" s="19"/>
      <c r="D674" s="2"/>
      <c r="E674" s="2"/>
      <c r="F674" s="19"/>
      <c r="G674" s="2"/>
      <c r="H674" s="2"/>
      <c r="I674" s="2"/>
      <c r="J674" s="2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E674" s="20"/>
    </row>
    <row r="675" spans="2:31" x14ac:dyDescent="0.25">
      <c r="B675" s="2"/>
      <c r="C675" s="19"/>
      <c r="D675" s="2"/>
      <c r="E675" s="2"/>
      <c r="F675" s="19"/>
      <c r="G675" s="2"/>
      <c r="H675" s="2"/>
      <c r="I675" s="2"/>
      <c r="J675" s="2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/>
    </row>
    <row r="676" spans="2:31" x14ac:dyDescent="0.25">
      <c r="B676" s="2"/>
      <c r="C676" s="19"/>
      <c r="D676" s="2"/>
      <c r="E676" s="2"/>
      <c r="F676" s="19"/>
      <c r="G676" s="2"/>
      <c r="H676" s="2"/>
      <c r="I676" s="2"/>
      <c r="J676" s="2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E676" s="20"/>
    </row>
    <row r="677" spans="2:31" x14ac:dyDescent="0.25">
      <c r="B677" s="2"/>
      <c r="C677" s="19"/>
      <c r="D677" s="2"/>
      <c r="E677" s="2"/>
      <c r="F677" s="19"/>
      <c r="G677" s="2"/>
      <c r="H677" s="2"/>
      <c r="I677" s="2"/>
      <c r="J677" s="2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E677" s="20"/>
    </row>
    <row r="678" spans="2:31" x14ac:dyDescent="0.25">
      <c r="B678" s="2"/>
      <c r="C678" s="19"/>
      <c r="D678" s="2"/>
      <c r="E678" s="2"/>
      <c r="F678" s="19"/>
      <c r="G678" s="2"/>
      <c r="H678" s="2"/>
      <c r="I678" s="2"/>
      <c r="J678" s="2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E678" s="20"/>
    </row>
    <row r="679" spans="2:31" x14ac:dyDescent="0.25">
      <c r="B679" s="2"/>
      <c r="C679" s="19"/>
      <c r="D679" s="2"/>
      <c r="E679" s="2"/>
      <c r="F679" s="19"/>
      <c r="G679" s="2"/>
      <c r="H679" s="2"/>
      <c r="I679" s="2"/>
      <c r="J679" s="2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/>
    </row>
    <row r="680" spans="2:31" x14ac:dyDescent="0.25">
      <c r="B680" s="2"/>
      <c r="C680" s="19"/>
      <c r="D680" s="2"/>
      <c r="E680" s="2"/>
      <c r="F680" s="19"/>
      <c r="G680" s="2"/>
      <c r="H680" s="2"/>
      <c r="I680" s="2"/>
      <c r="J680" s="2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E680" s="20"/>
    </row>
    <row r="681" spans="2:31" x14ac:dyDescent="0.25">
      <c r="B681" s="2"/>
      <c r="C681" s="19"/>
      <c r="D681" s="2"/>
      <c r="E681" s="2"/>
      <c r="F681" s="19"/>
      <c r="G681" s="2"/>
      <c r="H681" s="2"/>
      <c r="I681" s="2"/>
      <c r="J681" s="2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E681" s="20"/>
    </row>
    <row r="682" spans="2:31" x14ac:dyDescent="0.25">
      <c r="B682" s="2"/>
      <c r="C682" s="19"/>
      <c r="D682" s="2"/>
      <c r="E682" s="2"/>
      <c r="F682" s="19"/>
      <c r="G682" s="2"/>
      <c r="H682" s="2"/>
      <c r="I682" s="2"/>
      <c r="J682" s="2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E682" s="20"/>
    </row>
    <row r="683" spans="2:31" x14ac:dyDescent="0.25">
      <c r="B683" s="2"/>
      <c r="C683" s="19"/>
      <c r="D683" s="2"/>
      <c r="E683" s="2"/>
      <c r="F683" s="19"/>
      <c r="G683" s="2"/>
      <c r="H683" s="2"/>
      <c r="I683" s="2"/>
      <c r="J683" s="2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E683" s="20"/>
    </row>
    <row r="684" spans="2:31" x14ac:dyDescent="0.25">
      <c r="B684" s="2"/>
      <c r="C684" s="19"/>
      <c r="D684" s="2"/>
      <c r="E684" s="2"/>
      <c r="F684" s="19"/>
      <c r="G684" s="2"/>
      <c r="H684" s="2"/>
      <c r="I684" s="2"/>
      <c r="J684" s="2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E684" s="20"/>
    </row>
    <row r="685" spans="2:31" x14ac:dyDescent="0.25">
      <c r="B685" s="2"/>
      <c r="C685" s="19"/>
      <c r="D685" s="2"/>
      <c r="E685" s="2"/>
      <c r="F685" s="19"/>
      <c r="G685" s="2"/>
      <c r="H685" s="2"/>
      <c r="I685" s="2"/>
      <c r="J685" s="2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E685" s="20"/>
    </row>
    <row r="686" spans="2:31" x14ac:dyDescent="0.25">
      <c r="B686" s="2"/>
      <c r="C686" s="19"/>
      <c r="D686" s="2"/>
      <c r="E686" s="2"/>
      <c r="F686" s="19"/>
      <c r="G686" s="2"/>
      <c r="H686" s="2"/>
      <c r="I686" s="2"/>
      <c r="J686" s="2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E686" s="20"/>
    </row>
    <row r="687" spans="2:31" x14ac:dyDescent="0.25">
      <c r="B687" s="2"/>
      <c r="C687" s="19"/>
      <c r="D687" s="2"/>
      <c r="E687" s="2"/>
      <c r="F687" s="19"/>
      <c r="G687" s="2"/>
      <c r="H687" s="2"/>
      <c r="I687" s="2"/>
      <c r="J687" s="2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E687" s="20"/>
    </row>
    <row r="688" spans="2:31" x14ac:dyDescent="0.25">
      <c r="B688" s="2"/>
      <c r="C688" s="19"/>
      <c r="D688" s="2"/>
      <c r="E688" s="2"/>
      <c r="F688" s="19"/>
      <c r="G688" s="2"/>
      <c r="H688" s="2"/>
      <c r="I688" s="2"/>
      <c r="J688" s="2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E688" s="20"/>
    </row>
    <row r="689" spans="2:31" x14ac:dyDescent="0.25">
      <c r="B689" s="2"/>
      <c r="C689" s="19"/>
      <c r="D689" s="2"/>
      <c r="E689" s="2"/>
      <c r="F689" s="19"/>
      <c r="G689" s="2"/>
      <c r="H689" s="2"/>
      <c r="I689" s="2"/>
      <c r="J689" s="2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E689" s="20"/>
    </row>
    <row r="690" spans="2:31" x14ac:dyDescent="0.25">
      <c r="B690" s="2"/>
      <c r="C690" s="19"/>
      <c r="D690" s="2"/>
      <c r="E690" s="2"/>
      <c r="F690" s="19"/>
      <c r="G690" s="2"/>
      <c r="H690" s="2"/>
      <c r="I690" s="2"/>
      <c r="J690" s="2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/>
    </row>
    <row r="691" spans="2:31" x14ac:dyDescent="0.25">
      <c r="B691" s="2"/>
      <c r="C691" s="19"/>
      <c r="D691" s="2"/>
      <c r="E691" s="2"/>
      <c r="F691" s="19"/>
      <c r="G691" s="2"/>
      <c r="H691" s="2"/>
      <c r="I691" s="2"/>
      <c r="J691" s="2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E691" s="20"/>
    </row>
    <row r="692" spans="2:31" x14ac:dyDescent="0.25">
      <c r="B692" s="2"/>
      <c r="C692" s="19"/>
      <c r="D692" s="2"/>
      <c r="E692" s="2"/>
      <c r="F692" s="19"/>
      <c r="G692" s="2"/>
      <c r="H692" s="2"/>
      <c r="I692" s="2"/>
      <c r="J692" s="2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/>
    </row>
    <row r="693" spans="2:31" x14ac:dyDescent="0.25">
      <c r="B693" s="2"/>
      <c r="C693" s="19"/>
      <c r="D693" s="2"/>
      <c r="E693" s="2"/>
      <c r="F693" s="19"/>
      <c r="G693" s="2"/>
      <c r="H693" s="2"/>
      <c r="I693" s="2"/>
      <c r="J693" s="2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E693" s="20"/>
    </row>
    <row r="694" spans="2:31" x14ac:dyDescent="0.25">
      <c r="B694" s="2"/>
      <c r="C694" s="19"/>
      <c r="D694" s="2"/>
      <c r="E694" s="2"/>
      <c r="F694" s="19"/>
      <c r="G694" s="2"/>
      <c r="H694" s="2"/>
      <c r="I694" s="2"/>
      <c r="J694" s="2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E694" s="20"/>
    </row>
    <row r="695" spans="2:31" x14ac:dyDescent="0.25">
      <c r="B695" s="2"/>
      <c r="C695" s="19"/>
      <c r="D695" s="2"/>
      <c r="E695" s="2"/>
      <c r="F695" s="19"/>
      <c r="G695" s="2"/>
      <c r="H695" s="2"/>
      <c r="I695" s="2"/>
      <c r="J695" s="2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E695" s="20"/>
    </row>
    <row r="696" spans="2:31" x14ac:dyDescent="0.25">
      <c r="B696" s="2"/>
      <c r="C696" s="19"/>
      <c r="D696" s="2"/>
      <c r="E696" s="2"/>
      <c r="F696" s="19"/>
      <c r="G696" s="2"/>
      <c r="H696" s="2"/>
      <c r="I696" s="2"/>
      <c r="J696" s="2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E696" s="20"/>
    </row>
    <row r="697" spans="2:31" x14ac:dyDescent="0.25">
      <c r="B697" s="2"/>
      <c r="C697" s="19"/>
      <c r="D697" s="2"/>
      <c r="E697" s="2"/>
      <c r="F697" s="19"/>
      <c r="G697" s="2"/>
      <c r="H697" s="2"/>
      <c r="I697" s="2"/>
      <c r="J697" s="2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E697" s="20"/>
    </row>
    <row r="698" spans="2:31" x14ac:dyDescent="0.25">
      <c r="B698" s="2"/>
      <c r="C698" s="19"/>
      <c r="D698" s="2"/>
      <c r="E698" s="2"/>
      <c r="F698" s="19"/>
      <c r="G698" s="2"/>
      <c r="H698" s="2"/>
      <c r="I698" s="2"/>
      <c r="J698" s="2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E698" s="20"/>
    </row>
    <row r="699" spans="2:31" x14ac:dyDescent="0.25">
      <c r="B699" s="2"/>
      <c r="C699" s="19"/>
      <c r="D699" s="2"/>
      <c r="E699" s="2"/>
      <c r="F699" s="19"/>
      <c r="G699" s="2"/>
      <c r="H699" s="2"/>
      <c r="I699" s="2"/>
      <c r="J699" s="2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E699" s="20"/>
    </row>
    <row r="700" spans="2:31" x14ac:dyDescent="0.25">
      <c r="B700" s="2"/>
      <c r="C700" s="19"/>
      <c r="D700" s="2"/>
      <c r="E700" s="2"/>
      <c r="F700" s="19"/>
      <c r="G700" s="2"/>
      <c r="H700" s="2"/>
      <c r="I700" s="2"/>
      <c r="J700" s="2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E700" s="20"/>
    </row>
    <row r="701" spans="2:31" x14ac:dyDescent="0.25">
      <c r="B701" s="2"/>
      <c r="C701" s="19"/>
      <c r="D701" s="2"/>
      <c r="E701" s="2"/>
      <c r="F701" s="19"/>
      <c r="G701" s="2"/>
      <c r="H701" s="2"/>
      <c r="I701" s="2"/>
      <c r="J701" s="2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E701" s="20"/>
    </row>
    <row r="702" spans="2:31" x14ac:dyDescent="0.25">
      <c r="B702" s="2"/>
      <c r="C702" s="19"/>
      <c r="D702" s="2"/>
      <c r="E702" s="2"/>
      <c r="F702" s="19"/>
      <c r="G702" s="2"/>
      <c r="H702" s="2"/>
      <c r="I702" s="2"/>
      <c r="J702" s="2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E702" s="20"/>
    </row>
    <row r="703" spans="2:31" x14ac:dyDescent="0.25">
      <c r="B703" s="2"/>
      <c r="C703" s="19"/>
      <c r="D703" s="2"/>
      <c r="E703" s="2"/>
      <c r="F703" s="19"/>
      <c r="G703" s="2"/>
      <c r="H703" s="2"/>
      <c r="I703" s="2"/>
      <c r="J703" s="2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E703" s="20"/>
    </row>
    <row r="704" spans="2:31" x14ac:dyDescent="0.25">
      <c r="B704" s="2"/>
      <c r="C704" s="19"/>
      <c r="D704" s="2"/>
      <c r="E704" s="2"/>
      <c r="F704" s="19"/>
      <c r="G704" s="2"/>
      <c r="H704" s="2"/>
      <c r="I704" s="2"/>
      <c r="J704" s="2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E704" s="20"/>
    </row>
    <row r="705" spans="2:31" x14ac:dyDescent="0.25">
      <c r="B705" s="2"/>
      <c r="C705" s="19"/>
      <c r="D705" s="2"/>
      <c r="E705" s="2"/>
      <c r="F705" s="19"/>
      <c r="G705" s="2"/>
      <c r="H705" s="2"/>
      <c r="I705" s="2"/>
      <c r="J705" s="2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E705" s="20"/>
    </row>
    <row r="706" spans="2:31" x14ac:dyDescent="0.25">
      <c r="B706" s="2"/>
      <c r="C706" s="19"/>
      <c r="D706" s="2"/>
      <c r="E706" s="2"/>
      <c r="F706" s="19"/>
      <c r="G706" s="2"/>
      <c r="H706" s="2"/>
      <c r="I706" s="2"/>
      <c r="J706" s="2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E706" s="20"/>
    </row>
    <row r="707" spans="2:31" x14ac:dyDescent="0.25">
      <c r="B707" s="2"/>
      <c r="C707" s="19"/>
      <c r="D707" s="2"/>
      <c r="E707" s="2"/>
      <c r="F707" s="19"/>
      <c r="G707" s="2"/>
      <c r="H707" s="2"/>
      <c r="I707" s="2"/>
      <c r="J707" s="2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E707" s="20"/>
    </row>
    <row r="708" spans="2:31" x14ac:dyDescent="0.25">
      <c r="B708" s="2"/>
      <c r="C708" s="19"/>
      <c r="D708" s="2"/>
      <c r="E708" s="2"/>
      <c r="F708" s="19"/>
      <c r="G708" s="2"/>
      <c r="H708" s="2"/>
      <c r="I708" s="2"/>
      <c r="J708" s="2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E708" s="20"/>
    </row>
    <row r="709" spans="2:31" x14ac:dyDescent="0.25">
      <c r="B709" s="2"/>
      <c r="C709" s="19"/>
      <c r="D709" s="2"/>
      <c r="E709" s="2"/>
      <c r="F709" s="19"/>
      <c r="G709" s="2"/>
      <c r="H709" s="2"/>
      <c r="I709" s="2"/>
      <c r="J709" s="2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E709" s="20"/>
    </row>
    <row r="710" spans="2:31" x14ac:dyDescent="0.25">
      <c r="B710" s="2"/>
      <c r="C710" s="19"/>
      <c r="D710" s="2"/>
      <c r="E710" s="2"/>
      <c r="F710" s="19"/>
      <c r="G710" s="2"/>
      <c r="H710" s="2"/>
      <c r="I710" s="2"/>
      <c r="J710" s="2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E710" s="20"/>
    </row>
    <row r="711" spans="2:31" x14ac:dyDescent="0.25">
      <c r="B711" s="2"/>
      <c r="C711" s="19"/>
      <c r="D711" s="2"/>
      <c r="E711" s="2"/>
      <c r="F711" s="19"/>
      <c r="G711" s="2"/>
      <c r="H711" s="2"/>
      <c r="I711" s="2"/>
      <c r="J711" s="2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E711" s="20"/>
    </row>
    <row r="712" spans="2:31" x14ac:dyDescent="0.25">
      <c r="B712" s="2"/>
      <c r="C712" s="19"/>
      <c r="D712" s="2"/>
      <c r="E712" s="2"/>
      <c r="F712" s="19"/>
      <c r="G712" s="2"/>
      <c r="H712" s="2"/>
      <c r="I712" s="2"/>
      <c r="J712" s="2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E712" s="20"/>
    </row>
    <row r="713" spans="2:31" x14ac:dyDescent="0.25">
      <c r="B713" s="2"/>
      <c r="C713" s="19"/>
      <c r="D713" s="2"/>
      <c r="E713" s="2"/>
      <c r="F713" s="19"/>
      <c r="G713" s="2"/>
      <c r="H713" s="2"/>
      <c r="I713" s="2"/>
      <c r="J713" s="2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E713" s="20"/>
    </row>
    <row r="714" spans="2:31" x14ac:dyDescent="0.25">
      <c r="B714" s="2"/>
      <c r="C714" s="19"/>
      <c r="D714" s="2"/>
      <c r="E714" s="2"/>
      <c r="F714" s="19"/>
      <c r="G714" s="2"/>
      <c r="H714" s="2"/>
      <c r="I714" s="2"/>
      <c r="J714" s="2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E714" s="20"/>
    </row>
    <row r="715" spans="2:31" x14ac:dyDescent="0.25">
      <c r="B715" s="2"/>
      <c r="C715" s="19"/>
      <c r="D715" s="2"/>
      <c r="E715" s="2"/>
      <c r="F715" s="19"/>
      <c r="G715" s="2"/>
      <c r="H715" s="2"/>
      <c r="I715" s="2"/>
      <c r="J715" s="2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E715" s="20"/>
    </row>
    <row r="716" spans="2:31" x14ac:dyDescent="0.25">
      <c r="B716" s="2"/>
      <c r="C716" s="19"/>
      <c r="D716" s="2"/>
      <c r="E716" s="2"/>
      <c r="F716" s="19"/>
      <c r="G716" s="2"/>
      <c r="H716" s="2"/>
      <c r="I716" s="2"/>
      <c r="J716" s="2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E716" s="20"/>
    </row>
    <row r="717" spans="2:31" x14ac:dyDescent="0.25">
      <c r="B717" s="2"/>
      <c r="C717" s="19"/>
      <c r="D717" s="2"/>
      <c r="E717" s="2"/>
      <c r="F717" s="19"/>
      <c r="G717" s="2"/>
      <c r="H717" s="2"/>
      <c r="I717" s="2"/>
      <c r="J717" s="2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E717" s="20"/>
    </row>
    <row r="718" spans="2:31" x14ac:dyDescent="0.25">
      <c r="B718" s="2"/>
      <c r="C718" s="19"/>
      <c r="D718" s="2"/>
      <c r="E718" s="2"/>
      <c r="F718" s="19"/>
      <c r="G718" s="2"/>
      <c r="H718" s="2"/>
      <c r="I718" s="2"/>
      <c r="J718" s="2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/>
    </row>
    <row r="719" spans="2:31" x14ac:dyDescent="0.25">
      <c r="B719" s="2"/>
      <c r="C719" s="19"/>
      <c r="D719" s="2"/>
      <c r="E719" s="2"/>
      <c r="F719" s="19"/>
      <c r="G719" s="2"/>
      <c r="H719" s="2"/>
      <c r="I719" s="2"/>
      <c r="J719" s="2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E719" s="20"/>
    </row>
    <row r="720" spans="2:31" x14ac:dyDescent="0.25">
      <c r="B720" s="2"/>
      <c r="C720" s="19"/>
      <c r="D720" s="2"/>
      <c r="E720" s="2"/>
      <c r="F720" s="19"/>
      <c r="G720" s="2"/>
      <c r="H720" s="2"/>
      <c r="I720" s="2"/>
      <c r="J720" s="2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E720" s="20"/>
    </row>
    <row r="721" spans="2:31" x14ac:dyDescent="0.25">
      <c r="B721" s="2"/>
      <c r="C721" s="19"/>
      <c r="D721" s="2"/>
      <c r="E721" s="2"/>
      <c r="F721" s="19"/>
      <c r="G721" s="2"/>
      <c r="H721" s="2"/>
      <c r="I721" s="2"/>
      <c r="J721" s="2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E721" s="20"/>
    </row>
    <row r="722" spans="2:31" x14ac:dyDescent="0.25">
      <c r="B722" s="2"/>
      <c r="C722" s="19"/>
      <c r="D722" s="2"/>
      <c r="E722" s="2"/>
      <c r="F722" s="19"/>
      <c r="G722" s="2"/>
      <c r="H722" s="2"/>
      <c r="I722" s="2"/>
      <c r="J722" s="2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E722" s="20"/>
    </row>
    <row r="723" spans="2:31" x14ac:dyDescent="0.25">
      <c r="B723" s="2"/>
      <c r="C723" s="19"/>
      <c r="D723" s="2"/>
      <c r="E723" s="2"/>
      <c r="F723" s="19"/>
      <c r="G723" s="2"/>
      <c r="H723" s="2"/>
      <c r="I723" s="2"/>
      <c r="J723" s="2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E723" s="20"/>
    </row>
    <row r="724" spans="2:31" x14ac:dyDescent="0.25">
      <c r="B724" s="2"/>
      <c r="C724" s="19"/>
      <c r="D724" s="2"/>
      <c r="E724" s="2"/>
      <c r="F724" s="19"/>
      <c r="G724" s="2"/>
      <c r="H724" s="2"/>
      <c r="I724" s="2"/>
      <c r="J724" s="2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E724" s="20"/>
    </row>
    <row r="725" spans="2:31" x14ac:dyDescent="0.25">
      <c r="B725" s="2"/>
      <c r="C725" s="19"/>
      <c r="D725" s="2"/>
      <c r="E725" s="2"/>
      <c r="F725" s="19"/>
      <c r="G725" s="2"/>
      <c r="H725" s="2"/>
      <c r="I725" s="2"/>
      <c r="J725" s="2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E725" s="20"/>
    </row>
    <row r="726" spans="2:31" x14ac:dyDescent="0.25">
      <c r="B726" s="2"/>
      <c r="C726" s="19"/>
      <c r="D726" s="2"/>
      <c r="E726" s="2"/>
      <c r="F726" s="19"/>
      <c r="G726" s="2"/>
      <c r="H726" s="2"/>
      <c r="I726" s="2"/>
      <c r="J726" s="2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E726" s="20"/>
    </row>
    <row r="727" spans="2:31" x14ac:dyDescent="0.25">
      <c r="B727" s="2"/>
      <c r="C727" s="19"/>
      <c r="D727" s="2"/>
      <c r="E727" s="2"/>
      <c r="F727" s="19"/>
      <c r="G727" s="2"/>
      <c r="H727" s="2"/>
      <c r="I727" s="2"/>
      <c r="J727" s="2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E727" s="20"/>
    </row>
    <row r="728" spans="2:31" x14ac:dyDescent="0.25">
      <c r="B728" s="2"/>
      <c r="C728" s="19"/>
      <c r="D728" s="2"/>
      <c r="E728" s="2"/>
      <c r="F728" s="19"/>
      <c r="G728" s="2"/>
      <c r="H728" s="2"/>
      <c r="I728" s="2"/>
      <c r="J728" s="2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E728" s="20"/>
    </row>
    <row r="729" spans="2:31" x14ac:dyDescent="0.25">
      <c r="B729" s="2"/>
      <c r="C729" s="19"/>
      <c r="D729" s="2"/>
      <c r="E729" s="2"/>
      <c r="F729" s="19"/>
      <c r="G729" s="2"/>
      <c r="H729" s="2"/>
      <c r="I729" s="2"/>
      <c r="J729" s="2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E729" s="20"/>
    </row>
    <row r="730" spans="2:31" x14ac:dyDescent="0.25">
      <c r="B730" s="2"/>
      <c r="C730" s="19"/>
      <c r="D730" s="2"/>
      <c r="E730" s="2"/>
      <c r="F730" s="19"/>
      <c r="G730" s="2"/>
      <c r="H730" s="2"/>
      <c r="I730" s="2"/>
      <c r="J730" s="2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E730" s="20"/>
    </row>
    <row r="731" spans="2:31" x14ac:dyDescent="0.25">
      <c r="B731" s="2"/>
      <c r="C731" s="19"/>
      <c r="D731" s="2"/>
      <c r="E731" s="2"/>
      <c r="F731" s="19"/>
      <c r="G731" s="2"/>
      <c r="H731" s="2"/>
      <c r="I731" s="2"/>
      <c r="J731" s="2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E731" s="20"/>
    </row>
    <row r="732" spans="2:31" x14ac:dyDescent="0.25">
      <c r="B732" s="2"/>
      <c r="C732" s="19"/>
      <c r="D732" s="2"/>
      <c r="E732" s="2"/>
      <c r="F732" s="19"/>
      <c r="G732" s="2"/>
      <c r="H732" s="2"/>
      <c r="I732" s="2"/>
      <c r="J732" s="2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E732" s="20"/>
    </row>
    <row r="733" spans="2:31" x14ac:dyDescent="0.25">
      <c r="B733" s="2"/>
      <c r="C733" s="19"/>
      <c r="D733" s="2"/>
      <c r="E733" s="2"/>
      <c r="F733" s="19"/>
      <c r="G733" s="2"/>
      <c r="H733" s="2"/>
      <c r="I733" s="2"/>
      <c r="J733" s="2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E733" s="20"/>
    </row>
    <row r="734" spans="2:31" x14ac:dyDescent="0.25">
      <c r="B734" s="2"/>
      <c r="C734" s="19"/>
      <c r="D734" s="2"/>
      <c r="E734" s="2"/>
      <c r="F734" s="19"/>
      <c r="G734" s="2"/>
      <c r="H734" s="2"/>
      <c r="I734" s="2"/>
      <c r="J734" s="2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E734" s="20"/>
    </row>
    <row r="735" spans="2:31" x14ac:dyDescent="0.25">
      <c r="B735" s="2"/>
      <c r="C735" s="19"/>
      <c r="D735" s="2"/>
      <c r="E735" s="2"/>
      <c r="F735" s="19"/>
      <c r="G735" s="2"/>
      <c r="H735" s="2"/>
      <c r="I735" s="2"/>
      <c r="J735" s="2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E735" s="20"/>
    </row>
    <row r="736" spans="2:31" x14ac:dyDescent="0.25">
      <c r="B736" s="2"/>
      <c r="C736" s="19"/>
      <c r="D736" s="2"/>
      <c r="E736" s="2"/>
      <c r="F736" s="19"/>
      <c r="G736" s="2"/>
      <c r="H736" s="2"/>
      <c r="I736" s="2"/>
      <c r="J736" s="2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E736" s="20"/>
    </row>
    <row r="737" spans="2:31" x14ac:dyDescent="0.25">
      <c r="B737" s="2"/>
      <c r="C737" s="19"/>
      <c r="D737" s="2"/>
      <c r="E737" s="2"/>
      <c r="F737" s="19"/>
      <c r="G737" s="2"/>
      <c r="H737" s="2"/>
      <c r="I737" s="2"/>
      <c r="J737" s="2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E737" s="20"/>
    </row>
    <row r="738" spans="2:31" x14ac:dyDescent="0.25">
      <c r="B738" s="2"/>
      <c r="C738" s="19"/>
      <c r="D738" s="2"/>
      <c r="E738" s="2"/>
      <c r="F738" s="19"/>
      <c r="G738" s="2"/>
      <c r="H738" s="2"/>
      <c r="I738" s="2"/>
      <c r="J738" s="2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E738" s="20"/>
    </row>
    <row r="739" spans="2:31" x14ac:dyDescent="0.25">
      <c r="B739" s="2"/>
      <c r="C739" s="19"/>
      <c r="D739" s="2"/>
      <c r="E739" s="2"/>
      <c r="F739" s="19"/>
      <c r="G739" s="2"/>
      <c r="H739" s="2"/>
      <c r="I739" s="2"/>
      <c r="J739" s="2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E739" s="20"/>
    </row>
    <row r="740" spans="2:31" x14ac:dyDescent="0.25">
      <c r="B740" s="2"/>
      <c r="C740" s="19"/>
      <c r="D740" s="2"/>
      <c r="E740" s="2"/>
      <c r="F740" s="19"/>
      <c r="G740" s="2"/>
      <c r="H740" s="2"/>
      <c r="I740" s="2"/>
      <c r="J740" s="2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E740" s="20"/>
    </row>
    <row r="741" spans="2:31" x14ac:dyDescent="0.25">
      <c r="B741" s="2"/>
      <c r="C741" s="19"/>
      <c r="D741" s="2"/>
      <c r="E741" s="2"/>
      <c r="F741" s="19"/>
      <c r="G741" s="2"/>
      <c r="H741" s="2"/>
      <c r="I741" s="2"/>
      <c r="J741" s="2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E741" s="20"/>
    </row>
    <row r="742" spans="2:31" x14ac:dyDescent="0.25">
      <c r="B742" s="2"/>
      <c r="C742" s="19"/>
      <c r="D742" s="2"/>
      <c r="E742" s="2"/>
      <c r="F742" s="19"/>
      <c r="G742" s="2"/>
      <c r="H742" s="2"/>
      <c r="I742" s="2"/>
      <c r="J742" s="2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E742" s="20"/>
    </row>
    <row r="743" spans="2:31" x14ac:dyDescent="0.25">
      <c r="B743" s="2"/>
      <c r="C743" s="19"/>
      <c r="D743" s="2"/>
      <c r="E743" s="2"/>
      <c r="F743" s="19"/>
      <c r="G743" s="2"/>
      <c r="H743" s="2"/>
      <c r="I743" s="2"/>
      <c r="J743" s="2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E743" s="20"/>
    </row>
    <row r="744" spans="2:31" x14ac:dyDescent="0.25">
      <c r="B744" s="2"/>
      <c r="C744" s="19"/>
      <c r="D744" s="2"/>
      <c r="E744" s="2"/>
      <c r="F744" s="19"/>
      <c r="G744" s="2"/>
      <c r="H744" s="2"/>
      <c r="I744" s="2"/>
      <c r="J744" s="2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E744" s="20"/>
    </row>
    <row r="745" spans="2:31" x14ac:dyDescent="0.25">
      <c r="B745" s="2"/>
      <c r="C745" s="19"/>
      <c r="D745" s="2"/>
      <c r="E745" s="2"/>
      <c r="F745" s="19"/>
      <c r="G745" s="2"/>
      <c r="H745" s="2"/>
      <c r="I745" s="2"/>
      <c r="J745" s="2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E745" s="20"/>
    </row>
    <row r="746" spans="2:31" x14ac:dyDescent="0.25">
      <c r="B746" s="2"/>
      <c r="C746" s="19"/>
      <c r="D746" s="2"/>
      <c r="E746" s="2"/>
      <c r="F746" s="19"/>
      <c r="G746" s="2"/>
      <c r="H746" s="2"/>
      <c r="I746" s="2"/>
      <c r="J746" s="2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E746" s="20"/>
    </row>
    <row r="747" spans="2:31" x14ac:dyDescent="0.25">
      <c r="B747" s="2"/>
      <c r="C747" s="19"/>
      <c r="D747" s="2"/>
      <c r="E747" s="2"/>
      <c r="F747" s="19"/>
      <c r="G747" s="2"/>
      <c r="H747" s="2"/>
      <c r="I747" s="2"/>
      <c r="J747" s="2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E747" s="20"/>
    </row>
    <row r="748" spans="2:31" x14ac:dyDescent="0.25">
      <c r="B748" s="2"/>
      <c r="C748" s="19"/>
      <c r="D748" s="2"/>
      <c r="E748" s="2"/>
      <c r="F748" s="19"/>
      <c r="G748" s="2"/>
      <c r="H748" s="2"/>
      <c r="I748" s="2"/>
      <c r="J748" s="2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E748" s="20"/>
    </row>
    <row r="749" spans="2:31" x14ac:dyDescent="0.25">
      <c r="B749" s="2"/>
      <c r="C749" s="19"/>
      <c r="D749" s="2"/>
      <c r="E749" s="2"/>
      <c r="F749" s="19"/>
      <c r="G749" s="2"/>
      <c r="H749" s="2"/>
      <c r="I749" s="2"/>
      <c r="J749" s="2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E749" s="20"/>
    </row>
    <row r="750" spans="2:31" x14ac:dyDescent="0.25">
      <c r="B750" s="2"/>
      <c r="C750" s="19"/>
      <c r="D750" s="2"/>
      <c r="E750" s="2"/>
      <c r="F750" s="19"/>
      <c r="G750" s="2"/>
      <c r="H750" s="2"/>
      <c r="I750" s="2"/>
      <c r="J750" s="2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E750" s="20"/>
    </row>
    <row r="751" spans="2:31" x14ac:dyDescent="0.25">
      <c r="B751" s="2"/>
      <c r="C751" s="19"/>
      <c r="D751" s="2"/>
      <c r="E751" s="2"/>
      <c r="F751" s="19"/>
      <c r="G751" s="2"/>
      <c r="H751" s="2"/>
      <c r="I751" s="2"/>
      <c r="J751" s="2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E751" s="20"/>
    </row>
    <row r="752" spans="2:31" x14ac:dyDescent="0.25">
      <c r="B752" s="2"/>
      <c r="C752" s="19"/>
      <c r="D752" s="2"/>
      <c r="E752" s="2"/>
      <c r="F752" s="19"/>
      <c r="G752" s="2"/>
      <c r="H752" s="2"/>
      <c r="I752" s="2"/>
      <c r="J752" s="2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E752" s="20"/>
    </row>
    <row r="753" spans="2:31" x14ac:dyDescent="0.25">
      <c r="B753" s="2"/>
      <c r="C753" s="19"/>
      <c r="D753" s="2"/>
      <c r="E753" s="2"/>
      <c r="F753" s="19"/>
      <c r="G753" s="2"/>
      <c r="H753" s="2"/>
      <c r="I753" s="2"/>
      <c r="J753" s="2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E753" s="20"/>
    </row>
    <row r="754" spans="2:31" x14ac:dyDescent="0.25">
      <c r="B754" s="2"/>
      <c r="C754" s="19"/>
      <c r="D754" s="2"/>
      <c r="E754" s="2"/>
      <c r="F754" s="19"/>
      <c r="G754" s="2"/>
      <c r="H754" s="2"/>
      <c r="I754" s="2"/>
      <c r="J754" s="2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E754" s="20"/>
    </row>
    <row r="755" spans="2:31" x14ac:dyDescent="0.25">
      <c r="B755" s="2"/>
      <c r="C755" s="19"/>
      <c r="D755" s="2"/>
      <c r="E755" s="2"/>
      <c r="F755" s="19"/>
      <c r="G755" s="2"/>
      <c r="H755" s="2"/>
      <c r="I755" s="2"/>
      <c r="J755" s="2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E755" s="20"/>
    </row>
    <row r="756" spans="2:31" x14ac:dyDescent="0.25">
      <c r="B756" s="2"/>
      <c r="C756" s="19"/>
      <c r="D756" s="2"/>
      <c r="E756" s="2"/>
      <c r="F756" s="19"/>
      <c r="G756" s="2"/>
      <c r="H756" s="2"/>
      <c r="I756" s="2"/>
      <c r="J756" s="2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E756" s="20"/>
    </row>
    <row r="757" spans="2:31" x14ac:dyDescent="0.25">
      <c r="B757" s="2"/>
      <c r="C757" s="19"/>
      <c r="D757" s="2"/>
      <c r="E757" s="2"/>
      <c r="F757" s="19"/>
      <c r="G757" s="2"/>
      <c r="H757" s="2"/>
      <c r="I757" s="2"/>
      <c r="J757" s="2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E757" s="20"/>
    </row>
    <row r="758" spans="2:31" x14ac:dyDescent="0.25">
      <c r="B758" s="2"/>
      <c r="C758" s="19"/>
      <c r="D758" s="2"/>
      <c r="E758" s="2"/>
      <c r="F758" s="19"/>
      <c r="G758" s="2"/>
      <c r="H758" s="2"/>
      <c r="I758" s="2"/>
      <c r="J758" s="2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E758" s="20"/>
    </row>
    <row r="759" spans="2:31" x14ac:dyDescent="0.25">
      <c r="B759" s="2"/>
      <c r="C759" s="19"/>
      <c r="D759" s="2"/>
      <c r="E759" s="2"/>
      <c r="F759" s="19"/>
      <c r="G759" s="2"/>
      <c r="H759" s="2"/>
      <c r="I759" s="2"/>
      <c r="J759" s="2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E759" s="20"/>
    </row>
    <row r="760" spans="2:31" x14ac:dyDescent="0.25">
      <c r="B760" s="2"/>
      <c r="C760" s="19"/>
      <c r="D760" s="2"/>
      <c r="E760" s="2"/>
      <c r="F760" s="19"/>
      <c r="G760" s="2"/>
      <c r="H760" s="2"/>
      <c r="I760" s="2"/>
      <c r="J760" s="2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E760" s="20"/>
    </row>
    <row r="761" spans="2:31" x14ac:dyDescent="0.25">
      <c r="B761" s="2"/>
      <c r="C761" s="19"/>
      <c r="D761" s="2"/>
      <c r="E761" s="2"/>
      <c r="F761" s="19"/>
      <c r="G761" s="2"/>
      <c r="H761" s="2"/>
      <c r="I761" s="2"/>
      <c r="J761" s="2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E761" s="20"/>
    </row>
    <row r="762" spans="2:31" x14ac:dyDescent="0.25">
      <c r="B762" s="2"/>
      <c r="C762" s="19"/>
      <c r="D762" s="2"/>
      <c r="E762" s="2"/>
      <c r="F762" s="19"/>
      <c r="G762" s="2"/>
      <c r="H762" s="2"/>
      <c r="I762" s="2"/>
      <c r="J762" s="2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E762" s="20"/>
    </row>
    <row r="763" spans="2:31" x14ac:dyDescent="0.25">
      <c r="B763" s="2"/>
      <c r="C763" s="19"/>
      <c r="D763" s="2"/>
      <c r="E763" s="2"/>
      <c r="F763" s="19"/>
      <c r="G763" s="2"/>
      <c r="H763" s="2"/>
      <c r="I763" s="2"/>
      <c r="J763" s="2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E763" s="20"/>
    </row>
    <row r="764" spans="2:31" x14ac:dyDescent="0.25">
      <c r="B764" s="2"/>
      <c r="C764" s="19"/>
      <c r="D764" s="2"/>
      <c r="E764" s="2"/>
      <c r="F764" s="19"/>
      <c r="G764" s="2"/>
      <c r="H764" s="2"/>
      <c r="I764" s="2"/>
      <c r="J764" s="2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E764" s="20"/>
    </row>
    <row r="765" spans="2:31" x14ac:dyDescent="0.25">
      <c r="B765" s="2"/>
      <c r="C765" s="19"/>
      <c r="D765" s="2"/>
      <c r="E765" s="2"/>
      <c r="F765" s="19"/>
      <c r="G765" s="2"/>
      <c r="H765" s="2"/>
      <c r="I765" s="2"/>
      <c r="J765" s="2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E765" s="20"/>
    </row>
    <row r="766" spans="2:31" x14ac:dyDescent="0.25">
      <c r="B766" s="2"/>
      <c r="C766" s="19"/>
      <c r="D766" s="2"/>
      <c r="E766" s="2"/>
      <c r="F766" s="19"/>
      <c r="G766" s="2"/>
      <c r="H766" s="2"/>
      <c r="I766" s="2"/>
      <c r="J766" s="2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E766" s="20"/>
    </row>
    <row r="767" spans="2:31" x14ac:dyDescent="0.25">
      <c r="B767" s="2"/>
      <c r="C767" s="19"/>
      <c r="D767" s="2"/>
      <c r="E767" s="2"/>
      <c r="F767" s="19"/>
      <c r="G767" s="2"/>
      <c r="H767" s="2"/>
      <c r="I767" s="2"/>
      <c r="J767" s="2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E767" s="20"/>
    </row>
    <row r="768" spans="2:31" x14ac:dyDescent="0.25">
      <c r="B768" s="2"/>
      <c r="C768" s="19"/>
      <c r="D768" s="2"/>
      <c r="E768" s="2"/>
      <c r="F768" s="19"/>
      <c r="G768" s="2"/>
      <c r="H768" s="2"/>
      <c r="I768" s="2"/>
      <c r="J768" s="2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E768" s="20"/>
    </row>
    <row r="769" spans="2:31" x14ac:dyDescent="0.25">
      <c r="B769" s="2"/>
      <c r="C769" s="19"/>
      <c r="D769" s="2"/>
      <c r="E769" s="2"/>
      <c r="F769" s="19"/>
      <c r="G769" s="2"/>
      <c r="H769" s="2"/>
      <c r="I769" s="2"/>
      <c r="J769" s="2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E769" s="20"/>
    </row>
    <row r="770" spans="2:31" x14ac:dyDescent="0.25">
      <c r="B770" s="2"/>
      <c r="C770" s="19"/>
      <c r="D770" s="2"/>
      <c r="E770" s="2"/>
      <c r="F770" s="19"/>
      <c r="G770" s="2"/>
      <c r="H770" s="2"/>
      <c r="I770" s="2"/>
      <c r="J770" s="2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E770" s="20"/>
    </row>
    <row r="771" spans="2:31" x14ac:dyDescent="0.25">
      <c r="B771" s="2"/>
      <c r="C771" s="19"/>
      <c r="D771" s="2"/>
      <c r="E771" s="2"/>
      <c r="F771" s="19"/>
      <c r="G771" s="2"/>
      <c r="H771" s="2"/>
      <c r="I771" s="2"/>
      <c r="J771" s="2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E771" s="20"/>
    </row>
    <row r="772" spans="2:31" x14ac:dyDescent="0.25">
      <c r="B772" s="2"/>
      <c r="C772" s="19"/>
      <c r="D772" s="2"/>
      <c r="E772" s="2"/>
      <c r="F772" s="19"/>
      <c r="G772" s="2"/>
      <c r="H772" s="2"/>
      <c r="I772" s="2"/>
      <c r="J772" s="2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E772" s="20"/>
    </row>
    <row r="773" spans="2:31" x14ac:dyDescent="0.25">
      <c r="B773" s="2"/>
      <c r="C773" s="19"/>
      <c r="D773" s="2"/>
      <c r="E773" s="2"/>
      <c r="F773" s="19"/>
      <c r="G773" s="2"/>
      <c r="H773" s="2"/>
      <c r="I773" s="2"/>
      <c r="J773" s="2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E773" s="20"/>
    </row>
    <row r="774" spans="2:31" x14ac:dyDescent="0.25">
      <c r="B774" s="2"/>
      <c r="C774" s="19"/>
      <c r="D774" s="2"/>
      <c r="E774" s="2"/>
      <c r="F774" s="19"/>
      <c r="G774" s="2"/>
      <c r="H774" s="2"/>
      <c r="I774" s="2"/>
      <c r="J774" s="2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E774" s="20"/>
    </row>
    <row r="775" spans="2:31" x14ac:dyDescent="0.25">
      <c r="B775" s="2"/>
      <c r="C775" s="19"/>
      <c r="D775" s="2"/>
      <c r="E775" s="2"/>
      <c r="F775" s="19"/>
      <c r="G775" s="2"/>
      <c r="H775" s="2"/>
      <c r="I775" s="2"/>
      <c r="J775" s="2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E775" s="20"/>
    </row>
    <row r="776" spans="2:31" x14ac:dyDescent="0.25">
      <c r="B776" s="2"/>
      <c r="C776" s="19"/>
      <c r="D776" s="2"/>
      <c r="E776" s="2"/>
      <c r="F776" s="19"/>
      <c r="G776" s="2"/>
      <c r="H776" s="2"/>
      <c r="I776" s="2"/>
      <c r="J776" s="2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E776" s="20"/>
    </row>
    <row r="777" spans="2:31" x14ac:dyDescent="0.25">
      <c r="B777" s="2"/>
      <c r="C777" s="19"/>
      <c r="D777" s="2"/>
      <c r="E777" s="2"/>
      <c r="F777" s="19"/>
      <c r="G777" s="2"/>
      <c r="H777" s="2"/>
      <c r="I777" s="2"/>
      <c r="J777" s="2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E777" s="20"/>
    </row>
    <row r="778" spans="2:31" x14ac:dyDescent="0.25">
      <c r="B778" s="2"/>
      <c r="C778" s="19"/>
      <c r="D778" s="2"/>
      <c r="E778" s="2"/>
      <c r="F778" s="19"/>
      <c r="G778" s="2"/>
      <c r="H778" s="2"/>
      <c r="I778" s="2"/>
      <c r="J778" s="2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E778" s="20"/>
    </row>
    <row r="779" spans="2:31" x14ac:dyDescent="0.25">
      <c r="B779" s="2"/>
      <c r="C779" s="19"/>
      <c r="D779" s="2"/>
      <c r="E779" s="2"/>
      <c r="F779" s="19"/>
      <c r="G779" s="2"/>
      <c r="H779" s="2"/>
      <c r="I779" s="2"/>
      <c r="J779" s="2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E779" s="20"/>
    </row>
    <row r="780" spans="2:31" x14ac:dyDescent="0.25">
      <c r="B780" s="2"/>
      <c r="C780" s="19"/>
      <c r="D780" s="2"/>
      <c r="E780" s="2"/>
      <c r="F780" s="19"/>
      <c r="G780" s="2"/>
      <c r="H780" s="2"/>
      <c r="I780" s="2"/>
      <c r="J780" s="2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E780" s="20"/>
    </row>
    <row r="781" spans="2:31" x14ac:dyDescent="0.25">
      <c r="B781" s="2"/>
      <c r="C781" s="19"/>
      <c r="D781" s="2"/>
      <c r="E781" s="2"/>
      <c r="F781" s="19"/>
      <c r="G781" s="2"/>
      <c r="H781" s="2"/>
      <c r="I781" s="2"/>
      <c r="J781" s="2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E781" s="20"/>
    </row>
    <row r="782" spans="2:31" x14ac:dyDescent="0.25">
      <c r="B782" s="2"/>
      <c r="C782" s="19"/>
      <c r="D782" s="2"/>
      <c r="E782" s="2"/>
      <c r="F782" s="19"/>
      <c r="G782" s="2"/>
      <c r="H782" s="2"/>
      <c r="I782" s="2"/>
      <c r="J782" s="2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E782" s="20"/>
    </row>
    <row r="783" spans="2:31" x14ac:dyDescent="0.25">
      <c r="B783" s="2"/>
      <c r="C783" s="19"/>
      <c r="D783" s="2"/>
      <c r="E783" s="2"/>
      <c r="F783" s="19"/>
      <c r="G783" s="2"/>
      <c r="H783" s="2"/>
      <c r="I783" s="2"/>
      <c r="J783" s="2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E783" s="20"/>
    </row>
    <row r="784" spans="2:31" x14ac:dyDescent="0.25">
      <c r="B784" s="2"/>
      <c r="C784" s="19"/>
      <c r="D784" s="2"/>
      <c r="E784" s="2"/>
      <c r="F784" s="19"/>
      <c r="G784" s="2"/>
      <c r="H784" s="2"/>
      <c r="I784" s="2"/>
      <c r="J784" s="2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E784" s="20"/>
    </row>
    <row r="785" spans="2:31" x14ac:dyDescent="0.25">
      <c r="B785" s="2"/>
      <c r="C785" s="19"/>
      <c r="D785" s="2"/>
      <c r="E785" s="2"/>
      <c r="F785" s="19"/>
      <c r="G785" s="2"/>
      <c r="H785" s="2"/>
      <c r="I785" s="2"/>
      <c r="J785" s="2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E785" s="20"/>
    </row>
    <row r="786" spans="2:31" x14ac:dyDescent="0.25">
      <c r="B786" s="2"/>
      <c r="C786" s="19"/>
      <c r="D786" s="2"/>
      <c r="E786" s="2"/>
      <c r="F786" s="19"/>
      <c r="G786" s="2"/>
      <c r="H786" s="2"/>
      <c r="I786" s="2"/>
      <c r="J786" s="2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E786" s="20"/>
    </row>
    <row r="787" spans="2:31" x14ac:dyDescent="0.25">
      <c r="B787" s="2"/>
      <c r="C787" s="19"/>
      <c r="D787" s="2"/>
      <c r="E787" s="2"/>
      <c r="F787" s="19"/>
      <c r="G787" s="2"/>
      <c r="H787" s="2"/>
      <c r="I787" s="2"/>
      <c r="J787" s="2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E787" s="20"/>
    </row>
    <row r="788" spans="2:31" x14ac:dyDescent="0.25">
      <c r="B788" s="2"/>
      <c r="C788" s="19"/>
      <c r="D788" s="2"/>
      <c r="E788" s="2"/>
      <c r="F788" s="19"/>
      <c r="G788" s="2"/>
      <c r="H788" s="2"/>
      <c r="I788" s="2"/>
      <c r="J788" s="2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E788" s="20"/>
    </row>
    <row r="789" spans="2:31" x14ac:dyDescent="0.25">
      <c r="B789" s="2"/>
      <c r="C789" s="19"/>
      <c r="D789" s="2"/>
      <c r="E789" s="2"/>
      <c r="F789" s="19"/>
      <c r="G789" s="2"/>
      <c r="H789" s="2"/>
      <c r="I789" s="2"/>
      <c r="J789" s="2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E789" s="20"/>
    </row>
    <row r="790" spans="2:31" x14ac:dyDescent="0.25">
      <c r="B790" s="2"/>
      <c r="C790" s="19"/>
      <c r="D790" s="2"/>
      <c r="E790" s="2"/>
      <c r="F790" s="19"/>
      <c r="G790" s="2"/>
      <c r="H790" s="2"/>
      <c r="I790" s="2"/>
      <c r="J790" s="2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E790" s="20"/>
    </row>
    <row r="791" spans="2:31" x14ac:dyDescent="0.25">
      <c r="B791" s="2"/>
      <c r="C791" s="19"/>
      <c r="D791" s="2"/>
      <c r="E791" s="2"/>
      <c r="F791" s="19"/>
      <c r="G791" s="2"/>
      <c r="H791" s="2"/>
      <c r="I791" s="2"/>
      <c r="J791" s="2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E791" s="20"/>
    </row>
    <row r="792" spans="2:31" x14ac:dyDescent="0.25">
      <c r="B792" s="2"/>
      <c r="C792" s="19"/>
      <c r="D792" s="2"/>
      <c r="E792" s="2"/>
      <c r="F792" s="19"/>
      <c r="G792" s="2"/>
      <c r="H792" s="2"/>
      <c r="I792" s="2"/>
      <c r="J792" s="2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E792" s="20"/>
    </row>
    <row r="793" spans="2:31" x14ac:dyDescent="0.25">
      <c r="B793" s="2"/>
      <c r="C793" s="19"/>
      <c r="D793" s="2"/>
      <c r="E793" s="2"/>
      <c r="F793" s="19"/>
      <c r="G793" s="2"/>
      <c r="H793" s="2"/>
      <c r="I793" s="2"/>
      <c r="J793" s="2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E793" s="20"/>
    </row>
    <row r="794" spans="2:31" x14ac:dyDescent="0.25">
      <c r="B794" s="2"/>
      <c r="C794" s="19"/>
      <c r="D794" s="2"/>
      <c r="E794" s="2"/>
      <c r="F794" s="19"/>
      <c r="G794" s="2"/>
      <c r="H794" s="2"/>
      <c r="I794" s="2"/>
      <c r="J794" s="2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E794" s="20"/>
    </row>
    <row r="795" spans="2:31" x14ac:dyDescent="0.25">
      <c r="B795" s="2"/>
      <c r="C795" s="19"/>
      <c r="D795" s="2"/>
      <c r="E795" s="2"/>
      <c r="F795" s="19"/>
      <c r="G795" s="2"/>
      <c r="H795" s="2"/>
      <c r="I795" s="2"/>
      <c r="J795" s="2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E795" s="20"/>
    </row>
    <row r="796" spans="2:31" x14ac:dyDescent="0.25">
      <c r="B796" s="2"/>
      <c r="C796" s="19"/>
      <c r="D796" s="2"/>
      <c r="E796" s="2"/>
      <c r="F796" s="19"/>
      <c r="G796" s="2"/>
      <c r="H796" s="2"/>
      <c r="I796" s="2"/>
      <c r="J796" s="2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E796" s="20"/>
    </row>
    <row r="797" spans="2:31" x14ac:dyDescent="0.25">
      <c r="B797" s="2"/>
      <c r="C797" s="19"/>
      <c r="D797" s="2"/>
      <c r="E797" s="2"/>
      <c r="F797" s="19"/>
      <c r="G797" s="2"/>
      <c r="H797" s="2"/>
      <c r="I797" s="2"/>
      <c r="J797" s="2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E797" s="20"/>
    </row>
    <row r="798" spans="2:31" x14ac:dyDescent="0.25">
      <c r="B798" s="2"/>
      <c r="C798" s="19"/>
      <c r="D798" s="2"/>
      <c r="E798" s="2"/>
      <c r="F798" s="19"/>
      <c r="G798" s="2"/>
      <c r="H798" s="2"/>
      <c r="I798" s="2"/>
      <c r="J798" s="2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E798" s="20"/>
    </row>
    <row r="799" spans="2:31" x14ac:dyDescent="0.25">
      <c r="B799" s="2"/>
      <c r="C799" s="19"/>
      <c r="D799" s="2"/>
      <c r="E799" s="2"/>
      <c r="F799" s="19"/>
      <c r="G799" s="2"/>
      <c r="H799" s="2"/>
      <c r="I799" s="2"/>
      <c r="J799" s="2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E799" s="20"/>
    </row>
    <row r="800" spans="2:31" x14ac:dyDescent="0.25">
      <c r="B800" s="2"/>
      <c r="C800" s="19"/>
      <c r="D800" s="2"/>
      <c r="E800" s="2"/>
      <c r="F800" s="19"/>
      <c r="G800" s="2"/>
      <c r="H800" s="2"/>
      <c r="I800" s="2"/>
      <c r="J800" s="2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E800" s="20"/>
    </row>
    <row r="801" spans="2:31" x14ac:dyDescent="0.25">
      <c r="B801" s="2"/>
      <c r="C801" s="19"/>
      <c r="D801" s="2"/>
      <c r="E801" s="2"/>
      <c r="F801" s="19"/>
      <c r="G801" s="2"/>
      <c r="H801" s="2"/>
      <c r="I801" s="2"/>
      <c r="J801" s="2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E801" s="20"/>
    </row>
    <row r="802" spans="2:31" x14ac:dyDescent="0.25">
      <c r="B802" s="2"/>
      <c r="C802" s="19"/>
      <c r="D802" s="2"/>
      <c r="E802" s="2"/>
      <c r="F802" s="19"/>
      <c r="G802" s="2"/>
      <c r="H802" s="2"/>
      <c r="I802" s="2"/>
      <c r="J802" s="2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E802" s="20"/>
    </row>
    <row r="803" spans="2:31" x14ac:dyDescent="0.25">
      <c r="B803" s="2"/>
      <c r="C803" s="19"/>
      <c r="D803" s="2"/>
      <c r="E803" s="2"/>
      <c r="F803" s="19"/>
      <c r="G803" s="2"/>
      <c r="H803" s="2"/>
      <c r="I803" s="2"/>
      <c r="J803" s="2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E803" s="20"/>
    </row>
    <row r="804" spans="2:31" x14ac:dyDescent="0.25">
      <c r="B804" s="2"/>
      <c r="C804" s="19"/>
      <c r="D804" s="2"/>
      <c r="E804" s="2"/>
      <c r="F804" s="19"/>
      <c r="G804" s="2"/>
      <c r="H804" s="2"/>
      <c r="I804" s="2"/>
      <c r="J804" s="2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E804" s="20"/>
    </row>
    <row r="805" spans="2:31" x14ac:dyDescent="0.25">
      <c r="B805" s="2"/>
      <c r="C805" s="19"/>
      <c r="D805" s="2"/>
      <c r="E805" s="2"/>
      <c r="F805" s="19"/>
      <c r="G805" s="2"/>
      <c r="H805" s="2"/>
      <c r="I805" s="2"/>
      <c r="J805" s="2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E805" s="20"/>
    </row>
    <row r="806" spans="2:31" x14ac:dyDescent="0.25">
      <c r="B806" s="2"/>
      <c r="C806" s="19"/>
      <c r="D806" s="2"/>
      <c r="E806" s="2"/>
      <c r="F806" s="19"/>
      <c r="G806" s="2"/>
      <c r="H806" s="2"/>
      <c r="I806" s="2"/>
      <c r="J806" s="2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E806" s="20"/>
    </row>
    <row r="807" spans="2:31" x14ac:dyDescent="0.25">
      <c r="B807" s="2"/>
      <c r="C807" s="19"/>
      <c r="D807" s="2"/>
      <c r="E807" s="2"/>
      <c r="F807" s="19"/>
      <c r="G807" s="2"/>
      <c r="H807" s="2"/>
      <c r="I807" s="2"/>
      <c r="J807" s="2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E807" s="20"/>
    </row>
    <row r="808" spans="2:31" x14ac:dyDescent="0.25">
      <c r="B808" s="2"/>
      <c r="C808" s="19"/>
      <c r="D808" s="2"/>
      <c r="E808" s="2"/>
      <c r="F808" s="19"/>
      <c r="G808" s="2"/>
      <c r="H808" s="2"/>
      <c r="I808" s="2"/>
      <c r="J808" s="2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E808" s="20"/>
    </row>
    <row r="809" spans="2:31" x14ac:dyDescent="0.25">
      <c r="B809" s="2"/>
      <c r="C809" s="19"/>
      <c r="D809" s="2"/>
      <c r="E809" s="2"/>
      <c r="F809" s="19"/>
      <c r="G809" s="2"/>
      <c r="H809" s="2"/>
      <c r="I809" s="2"/>
      <c r="J809" s="2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E809" s="20"/>
    </row>
    <row r="810" spans="2:31" x14ac:dyDescent="0.25">
      <c r="B810" s="2"/>
      <c r="C810" s="19"/>
      <c r="D810" s="2"/>
      <c r="E810" s="2"/>
      <c r="F810" s="19"/>
      <c r="G810" s="2"/>
      <c r="H810" s="2"/>
      <c r="I810" s="2"/>
      <c r="J810" s="2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E810" s="20"/>
    </row>
    <row r="811" spans="2:31" x14ac:dyDescent="0.25">
      <c r="B811" s="2"/>
      <c r="C811" s="19"/>
      <c r="D811" s="2"/>
      <c r="E811" s="2"/>
      <c r="F811" s="19"/>
      <c r="G811" s="2"/>
      <c r="H811" s="2"/>
      <c r="I811" s="2"/>
      <c r="J811" s="2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E811" s="20"/>
    </row>
    <row r="812" spans="2:31" x14ac:dyDescent="0.25">
      <c r="B812" s="2"/>
      <c r="C812" s="19"/>
      <c r="D812" s="2"/>
      <c r="E812" s="2"/>
      <c r="F812" s="19"/>
      <c r="G812" s="2"/>
      <c r="H812" s="2"/>
      <c r="I812" s="2"/>
      <c r="J812" s="2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E812" s="20"/>
    </row>
    <row r="813" spans="2:31" x14ac:dyDescent="0.25">
      <c r="B813" s="2"/>
      <c r="C813" s="19"/>
      <c r="D813" s="2"/>
      <c r="E813" s="2"/>
      <c r="F813" s="19"/>
      <c r="G813" s="2"/>
      <c r="H813" s="2"/>
      <c r="I813" s="2"/>
      <c r="J813" s="2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E813" s="20"/>
    </row>
    <row r="814" spans="2:31" x14ac:dyDescent="0.25">
      <c r="B814" s="2"/>
      <c r="C814" s="19"/>
      <c r="D814" s="2"/>
      <c r="E814" s="2"/>
      <c r="F814" s="19"/>
      <c r="G814" s="2"/>
      <c r="H814" s="2"/>
      <c r="I814" s="2"/>
      <c r="J814" s="2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E814" s="20"/>
    </row>
    <row r="815" spans="2:31" x14ac:dyDescent="0.25">
      <c r="B815" s="2"/>
      <c r="C815" s="19"/>
      <c r="D815" s="2"/>
      <c r="E815" s="2"/>
      <c r="F815" s="19"/>
      <c r="G815" s="2"/>
      <c r="H815" s="2"/>
      <c r="I815" s="2"/>
      <c r="J815" s="2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E815" s="20"/>
    </row>
    <row r="816" spans="2:31" x14ac:dyDescent="0.25">
      <c r="B816" s="2"/>
      <c r="C816" s="19"/>
      <c r="D816" s="2"/>
      <c r="E816" s="2"/>
      <c r="F816" s="19"/>
      <c r="G816" s="2"/>
      <c r="H816" s="2"/>
      <c r="I816" s="2"/>
      <c r="J816" s="2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E816" s="20"/>
    </row>
    <row r="817" spans="2:31" x14ac:dyDescent="0.25">
      <c r="B817" s="2"/>
      <c r="C817" s="19"/>
      <c r="D817" s="2"/>
      <c r="E817" s="2"/>
      <c r="F817" s="19"/>
      <c r="G817" s="2"/>
      <c r="H817" s="2"/>
      <c r="I817" s="2"/>
      <c r="J817" s="2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E817" s="20"/>
    </row>
    <row r="818" spans="2:31" x14ac:dyDescent="0.25">
      <c r="B818" s="2"/>
      <c r="C818" s="19"/>
      <c r="D818" s="2"/>
      <c r="E818" s="2"/>
      <c r="F818" s="19"/>
      <c r="G818" s="2"/>
      <c r="H818" s="2"/>
      <c r="I818" s="2"/>
      <c r="J818" s="2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E818" s="20"/>
    </row>
    <row r="819" spans="2:31" x14ac:dyDescent="0.25">
      <c r="B819" s="2"/>
      <c r="C819" s="19"/>
      <c r="D819" s="2"/>
      <c r="E819" s="2"/>
      <c r="F819" s="19"/>
      <c r="G819" s="2"/>
      <c r="H819" s="2"/>
      <c r="I819" s="2"/>
      <c r="J819" s="2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E819" s="20"/>
    </row>
    <row r="820" spans="2:31" x14ac:dyDescent="0.25">
      <c r="B820" s="2"/>
      <c r="C820" s="19"/>
      <c r="D820" s="2"/>
      <c r="E820" s="2"/>
      <c r="F820" s="19"/>
      <c r="G820" s="2"/>
      <c r="H820" s="2"/>
      <c r="I820" s="2"/>
      <c r="J820" s="2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E820" s="20"/>
    </row>
    <row r="821" spans="2:31" x14ac:dyDescent="0.25">
      <c r="B821" s="2"/>
      <c r="C821" s="19"/>
      <c r="D821" s="2"/>
      <c r="E821" s="2"/>
      <c r="F821" s="19"/>
      <c r="G821" s="2"/>
      <c r="H821" s="2"/>
      <c r="I821" s="2"/>
      <c r="J821" s="2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E821" s="20"/>
    </row>
    <row r="822" spans="2:31" x14ac:dyDescent="0.25">
      <c r="B822" s="2"/>
      <c r="C822" s="19"/>
      <c r="D822" s="2"/>
      <c r="E822" s="2"/>
      <c r="F822" s="19"/>
      <c r="G822" s="2"/>
      <c r="H822" s="2"/>
      <c r="I822" s="2"/>
      <c r="J822" s="2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E822" s="20"/>
    </row>
    <row r="823" spans="2:31" x14ac:dyDescent="0.25">
      <c r="B823" s="2"/>
      <c r="C823" s="19"/>
      <c r="D823" s="2"/>
      <c r="E823" s="2"/>
      <c r="F823" s="19"/>
      <c r="G823" s="2"/>
      <c r="H823" s="2"/>
      <c r="I823" s="2"/>
      <c r="J823" s="2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E823" s="20"/>
    </row>
    <row r="824" spans="2:31" x14ac:dyDescent="0.25">
      <c r="B824" s="2"/>
      <c r="C824" s="19"/>
      <c r="D824" s="2"/>
      <c r="E824" s="2"/>
      <c r="F824" s="19"/>
      <c r="G824" s="2"/>
      <c r="H824" s="2"/>
      <c r="I824" s="2"/>
      <c r="J824" s="2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E824" s="20"/>
    </row>
    <row r="825" spans="2:31" x14ac:dyDescent="0.25">
      <c r="B825" s="2"/>
      <c r="C825" s="19"/>
      <c r="D825" s="2"/>
      <c r="E825" s="2"/>
      <c r="F825" s="19"/>
      <c r="G825" s="2"/>
      <c r="H825" s="2"/>
      <c r="I825" s="2"/>
      <c r="J825" s="2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E825" s="20"/>
    </row>
    <row r="826" spans="2:31" x14ac:dyDescent="0.25">
      <c r="B826" s="2"/>
      <c r="C826" s="19"/>
      <c r="D826" s="2"/>
      <c r="E826" s="2"/>
      <c r="F826" s="19"/>
      <c r="G826" s="2"/>
      <c r="H826" s="2"/>
      <c r="I826" s="2"/>
      <c r="J826" s="2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E826" s="20"/>
    </row>
    <row r="827" spans="2:31" x14ac:dyDescent="0.25">
      <c r="B827" s="2"/>
      <c r="C827" s="19"/>
      <c r="D827" s="2"/>
      <c r="E827" s="2"/>
      <c r="F827" s="19"/>
      <c r="G827" s="2"/>
      <c r="H827" s="2"/>
      <c r="I827" s="2"/>
      <c r="J827" s="2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E827" s="20"/>
    </row>
    <row r="828" spans="2:31" x14ac:dyDescent="0.25">
      <c r="B828" s="2"/>
      <c r="C828" s="19"/>
      <c r="D828" s="2"/>
      <c r="E828" s="2"/>
      <c r="F828" s="19"/>
      <c r="G828" s="2"/>
      <c r="H828" s="2"/>
      <c r="I828" s="2"/>
      <c r="J828" s="2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E828" s="20"/>
    </row>
    <row r="829" spans="2:31" x14ac:dyDescent="0.25">
      <c r="B829" s="2"/>
      <c r="C829" s="19"/>
      <c r="D829" s="2"/>
      <c r="E829" s="2"/>
      <c r="F829" s="19"/>
      <c r="G829" s="2"/>
      <c r="H829" s="2"/>
      <c r="I829" s="2"/>
      <c r="J829" s="2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E829" s="20"/>
    </row>
    <row r="830" spans="2:31" x14ac:dyDescent="0.25">
      <c r="B830" s="2"/>
      <c r="C830" s="19"/>
      <c r="D830" s="2"/>
      <c r="E830" s="2"/>
      <c r="F830" s="19"/>
      <c r="G830" s="2"/>
      <c r="H830" s="2"/>
      <c r="I830" s="2"/>
      <c r="J830" s="2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E830" s="20"/>
    </row>
    <row r="831" spans="2:31" x14ac:dyDescent="0.25">
      <c r="B831" s="2"/>
      <c r="C831" s="19"/>
      <c r="D831" s="2"/>
      <c r="E831" s="2"/>
      <c r="F831" s="19"/>
      <c r="G831" s="2"/>
      <c r="H831" s="2"/>
      <c r="I831" s="2"/>
      <c r="J831" s="2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E831" s="20"/>
    </row>
    <row r="832" spans="2:31" x14ac:dyDescent="0.25">
      <c r="B832" s="2"/>
      <c r="C832" s="19"/>
      <c r="D832" s="2"/>
      <c r="E832" s="2"/>
      <c r="F832" s="19"/>
      <c r="G832" s="2"/>
      <c r="H832" s="2"/>
      <c r="I832" s="2"/>
      <c r="J832" s="2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E832" s="20"/>
    </row>
    <row r="833" spans="2:31" x14ac:dyDescent="0.25">
      <c r="B833" s="2"/>
      <c r="C833" s="19"/>
      <c r="D833" s="2"/>
      <c r="E833" s="2"/>
      <c r="F833" s="19"/>
      <c r="G833" s="2"/>
      <c r="H833" s="2"/>
      <c r="I833" s="2"/>
      <c r="J833" s="2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E833" s="20"/>
    </row>
    <row r="834" spans="2:31" x14ac:dyDescent="0.25">
      <c r="B834" s="2"/>
      <c r="C834" s="19"/>
      <c r="D834" s="2"/>
      <c r="E834" s="2"/>
      <c r="F834" s="19"/>
      <c r="G834" s="2"/>
      <c r="H834" s="2"/>
      <c r="I834" s="2"/>
      <c r="J834" s="2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E834" s="20"/>
    </row>
    <row r="835" spans="2:31" x14ac:dyDescent="0.25">
      <c r="B835" s="2"/>
      <c r="C835" s="19"/>
      <c r="D835" s="2"/>
      <c r="E835" s="2"/>
      <c r="F835" s="19"/>
      <c r="G835" s="2"/>
      <c r="H835" s="2"/>
      <c r="I835" s="2"/>
      <c r="J835" s="2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E835" s="20"/>
    </row>
    <row r="836" spans="2:31" x14ac:dyDescent="0.25">
      <c r="B836" s="2"/>
      <c r="C836" s="19"/>
      <c r="D836" s="2"/>
      <c r="E836" s="2"/>
      <c r="F836" s="19"/>
      <c r="G836" s="2"/>
      <c r="H836" s="2"/>
      <c r="I836" s="2"/>
      <c r="J836" s="2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E836" s="20"/>
    </row>
    <row r="837" spans="2:31" x14ac:dyDescent="0.25">
      <c r="B837" s="2"/>
      <c r="C837" s="19"/>
      <c r="D837" s="2"/>
      <c r="E837" s="2"/>
      <c r="F837" s="19"/>
      <c r="G837" s="2"/>
      <c r="H837" s="2"/>
      <c r="I837" s="2"/>
      <c r="J837" s="2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E837" s="20"/>
    </row>
    <row r="838" spans="2:31" x14ac:dyDescent="0.25">
      <c r="B838" s="2"/>
      <c r="C838" s="19"/>
      <c r="D838" s="2"/>
      <c r="E838" s="2"/>
      <c r="F838" s="19"/>
      <c r="G838" s="2"/>
      <c r="H838" s="2"/>
      <c r="I838" s="2"/>
      <c r="J838" s="2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E838" s="20"/>
    </row>
    <row r="839" spans="2:31" x14ac:dyDescent="0.25">
      <c r="B839" s="2"/>
      <c r="C839" s="19"/>
      <c r="D839" s="2"/>
      <c r="E839" s="2"/>
      <c r="F839" s="19"/>
      <c r="G839" s="2"/>
      <c r="H839" s="2"/>
      <c r="I839" s="2"/>
      <c r="J839" s="2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E839" s="20"/>
    </row>
    <row r="840" spans="2:31" x14ac:dyDescent="0.25">
      <c r="B840" s="2"/>
      <c r="C840" s="19"/>
      <c r="D840" s="2"/>
      <c r="E840" s="2"/>
      <c r="F840" s="19"/>
      <c r="G840" s="2"/>
      <c r="H840" s="2"/>
      <c r="I840" s="2"/>
      <c r="J840" s="2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E840" s="20"/>
    </row>
    <row r="841" spans="2:31" x14ac:dyDescent="0.25">
      <c r="B841" s="2"/>
      <c r="C841" s="19"/>
      <c r="D841" s="2"/>
      <c r="E841" s="2"/>
      <c r="F841" s="19"/>
      <c r="G841" s="2"/>
      <c r="H841" s="2"/>
      <c r="I841" s="2"/>
      <c r="J841" s="2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E841" s="20"/>
    </row>
    <row r="842" spans="2:31" x14ac:dyDescent="0.25">
      <c r="B842" s="2"/>
      <c r="C842" s="19"/>
      <c r="D842" s="2"/>
      <c r="E842" s="2"/>
      <c r="F842" s="19"/>
      <c r="G842" s="2"/>
      <c r="H842" s="2"/>
      <c r="I842" s="2"/>
      <c r="J842" s="2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E842" s="20"/>
    </row>
    <row r="843" spans="2:31" x14ac:dyDescent="0.25">
      <c r="B843" s="2"/>
      <c r="C843" s="19"/>
      <c r="D843" s="2"/>
      <c r="E843" s="2"/>
      <c r="F843" s="19"/>
      <c r="G843" s="2"/>
      <c r="H843" s="2"/>
      <c r="I843" s="2"/>
      <c r="J843" s="2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E843" s="20"/>
    </row>
    <row r="844" spans="2:31" x14ac:dyDescent="0.25">
      <c r="B844" s="2"/>
      <c r="C844" s="19"/>
      <c r="D844" s="2"/>
      <c r="E844" s="2"/>
      <c r="F844" s="19"/>
      <c r="G844" s="2"/>
      <c r="H844" s="2"/>
      <c r="I844" s="2"/>
      <c r="J844" s="2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E844" s="20"/>
    </row>
    <row r="845" spans="2:31" x14ac:dyDescent="0.25">
      <c r="B845" s="2"/>
      <c r="C845" s="19"/>
      <c r="D845" s="2"/>
      <c r="E845" s="2"/>
      <c r="F845" s="19"/>
      <c r="G845" s="2"/>
      <c r="H845" s="2"/>
      <c r="I845" s="2"/>
      <c r="J845" s="2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E845" s="20"/>
    </row>
    <row r="846" spans="2:31" x14ac:dyDescent="0.25">
      <c r="B846" s="2"/>
      <c r="C846" s="19"/>
      <c r="D846" s="2"/>
      <c r="E846" s="2"/>
      <c r="F846" s="19"/>
      <c r="G846" s="2"/>
      <c r="H846" s="2"/>
      <c r="I846" s="2"/>
      <c r="J846" s="2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E846" s="20"/>
    </row>
    <row r="847" spans="2:31" x14ac:dyDescent="0.25">
      <c r="B847" s="2"/>
      <c r="C847" s="19"/>
      <c r="D847" s="2"/>
      <c r="E847" s="2"/>
      <c r="F847" s="19"/>
      <c r="G847" s="2"/>
      <c r="H847" s="2"/>
      <c r="I847" s="2"/>
      <c r="J847" s="2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E847" s="20"/>
    </row>
    <row r="848" spans="2:31" x14ac:dyDescent="0.25">
      <c r="B848" s="2"/>
      <c r="C848" s="19"/>
      <c r="D848" s="2"/>
      <c r="E848" s="2"/>
      <c r="F848" s="19"/>
      <c r="G848" s="2"/>
      <c r="H848" s="2"/>
      <c r="I848" s="2"/>
      <c r="J848" s="2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E848" s="20"/>
    </row>
    <row r="849" spans="2:31" x14ac:dyDescent="0.25">
      <c r="B849" s="2"/>
      <c r="C849" s="19"/>
      <c r="D849" s="2"/>
      <c r="E849" s="2"/>
      <c r="F849" s="19"/>
      <c r="G849" s="2"/>
      <c r="H849" s="2"/>
      <c r="I849" s="2"/>
      <c r="J849" s="2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E849" s="20"/>
    </row>
    <row r="850" spans="2:31" x14ac:dyDescent="0.25">
      <c r="B850" s="2"/>
      <c r="C850" s="19"/>
      <c r="D850" s="2"/>
      <c r="E850" s="2"/>
      <c r="F850" s="19"/>
      <c r="G850" s="2"/>
      <c r="H850" s="2"/>
      <c r="I850" s="2"/>
      <c r="J850" s="2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E850" s="20"/>
    </row>
    <row r="851" spans="2:31" x14ac:dyDescent="0.25">
      <c r="B851" s="2"/>
      <c r="C851" s="19"/>
      <c r="D851" s="2"/>
      <c r="E851" s="2"/>
      <c r="F851" s="19"/>
      <c r="G851" s="2"/>
      <c r="H851" s="2"/>
      <c r="I851" s="2"/>
      <c r="J851" s="2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E851" s="20"/>
    </row>
    <row r="852" spans="2:31" x14ac:dyDescent="0.25">
      <c r="B852" s="2"/>
      <c r="C852" s="19"/>
      <c r="D852" s="2"/>
      <c r="E852" s="2"/>
      <c r="F852" s="19"/>
      <c r="G852" s="2"/>
      <c r="H852" s="2"/>
      <c r="I852" s="2"/>
      <c r="J852" s="2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E852" s="20"/>
    </row>
    <row r="853" spans="2:31" x14ac:dyDescent="0.25">
      <c r="B853" s="2"/>
      <c r="C853" s="19"/>
      <c r="D853" s="2"/>
      <c r="E853" s="2"/>
      <c r="F853" s="19"/>
      <c r="G853" s="2"/>
      <c r="H853" s="2"/>
      <c r="I853" s="2"/>
      <c r="J853" s="2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E853" s="20"/>
    </row>
    <row r="854" spans="2:31" x14ac:dyDescent="0.25">
      <c r="B854" s="2"/>
      <c r="C854" s="19"/>
      <c r="D854" s="2"/>
      <c r="E854" s="2"/>
      <c r="F854" s="19"/>
      <c r="G854" s="2"/>
      <c r="H854" s="2"/>
      <c r="I854" s="2"/>
      <c r="J854" s="2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E854" s="20"/>
    </row>
    <row r="855" spans="2:31" x14ac:dyDescent="0.25">
      <c r="B855" s="2"/>
      <c r="C855" s="19"/>
      <c r="D855" s="2"/>
      <c r="E855" s="2"/>
      <c r="F855" s="19"/>
      <c r="G855" s="2"/>
      <c r="H855" s="2"/>
      <c r="I855" s="2"/>
      <c r="J855" s="2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E855" s="20"/>
    </row>
    <row r="856" spans="2:31" x14ac:dyDescent="0.25">
      <c r="B856" s="2"/>
      <c r="C856" s="19"/>
      <c r="D856" s="2"/>
      <c r="E856" s="2"/>
      <c r="F856" s="19"/>
      <c r="G856" s="2"/>
      <c r="H856" s="2"/>
      <c r="I856" s="2"/>
      <c r="J856" s="2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E856" s="20"/>
    </row>
    <row r="857" spans="2:31" x14ac:dyDescent="0.25">
      <c r="B857" s="2"/>
      <c r="C857" s="19"/>
      <c r="D857" s="2"/>
      <c r="E857" s="2"/>
      <c r="F857" s="19"/>
      <c r="G857" s="2"/>
      <c r="H857" s="2"/>
      <c r="I857" s="2"/>
      <c r="J857" s="2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E857" s="20"/>
    </row>
    <row r="858" spans="2:31" x14ac:dyDescent="0.25">
      <c r="B858" s="2"/>
      <c r="C858" s="19"/>
      <c r="D858" s="2"/>
      <c r="E858" s="2"/>
      <c r="F858" s="19"/>
      <c r="G858" s="2"/>
      <c r="H858" s="2"/>
      <c r="I858" s="2"/>
      <c r="J858" s="2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E858" s="20"/>
    </row>
    <row r="859" spans="2:31" x14ac:dyDescent="0.25">
      <c r="B859" s="2"/>
      <c r="C859" s="19"/>
      <c r="D859" s="2"/>
      <c r="E859" s="2"/>
      <c r="F859" s="19"/>
      <c r="G859" s="2"/>
      <c r="H859" s="2"/>
      <c r="I859" s="2"/>
      <c r="J859" s="2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E859" s="20"/>
    </row>
    <row r="860" spans="2:31" x14ac:dyDescent="0.25">
      <c r="B860" s="2"/>
      <c r="C860" s="19"/>
      <c r="D860" s="2"/>
      <c r="E860" s="2"/>
      <c r="F860" s="19"/>
      <c r="G860" s="2"/>
      <c r="H860" s="2"/>
      <c r="I860" s="2"/>
      <c r="J860" s="2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E860" s="20"/>
    </row>
    <row r="861" spans="2:31" x14ac:dyDescent="0.25">
      <c r="B861" s="2"/>
      <c r="C861" s="19"/>
      <c r="D861" s="2"/>
      <c r="E861" s="2"/>
      <c r="F861" s="19"/>
      <c r="G861" s="2"/>
      <c r="H861" s="2"/>
      <c r="I861" s="2"/>
      <c r="J861" s="2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E861" s="20"/>
    </row>
    <row r="862" spans="2:31" x14ac:dyDescent="0.25">
      <c r="B862" s="2"/>
      <c r="C862" s="19"/>
      <c r="D862" s="2"/>
      <c r="E862" s="2"/>
      <c r="F862" s="19"/>
      <c r="G862" s="2"/>
      <c r="H862" s="2"/>
      <c r="I862" s="2"/>
      <c r="J862" s="2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E862" s="20"/>
    </row>
    <row r="863" spans="2:31" x14ac:dyDescent="0.25">
      <c r="B863" s="2"/>
      <c r="C863" s="19"/>
      <c r="D863" s="2"/>
      <c r="E863" s="2"/>
      <c r="F863" s="19"/>
      <c r="G863" s="2"/>
      <c r="H863" s="2"/>
      <c r="I863" s="2"/>
      <c r="J863" s="2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E863" s="20"/>
    </row>
    <row r="864" spans="2:31" x14ac:dyDescent="0.25">
      <c r="B864" s="2"/>
      <c r="C864" s="19"/>
      <c r="D864" s="2"/>
      <c r="E864" s="2"/>
      <c r="F864" s="19"/>
      <c r="G864" s="2"/>
      <c r="H864" s="2"/>
      <c r="I864" s="2"/>
      <c r="J864" s="2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E864" s="20"/>
    </row>
    <row r="865" spans="2:31" x14ac:dyDescent="0.25">
      <c r="B865" s="2"/>
      <c r="C865" s="19"/>
      <c r="D865" s="2"/>
      <c r="E865" s="2"/>
      <c r="F865" s="19"/>
      <c r="G865" s="2"/>
      <c r="H865" s="2"/>
      <c r="I865" s="2"/>
      <c r="J865" s="2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E865" s="20"/>
    </row>
    <row r="866" spans="2:31" x14ac:dyDescent="0.25">
      <c r="B866" s="2"/>
      <c r="C866" s="19"/>
      <c r="D866" s="2"/>
      <c r="E866" s="2"/>
      <c r="F866" s="19"/>
      <c r="G866" s="2"/>
      <c r="H866" s="2"/>
      <c r="I866" s="2"/>
      <c r="J866" s="2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E866" s="20"/>
    </row>
    <row r="867" spans="2:31" x14ac:dyDescent="0.25">
      <c r="B867" s="2"/>
      <c r="C867" s="19"/>
      <c r="D867" s="2"/>
      <c r="E867" s="2"/>
      <c r="F867" s="19"/>
      <c r="G867" s="2"/>
      <c r="H867" s="2"/>
      <c r="I867" s="2"/>
      <c r="J867" s="2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E867" s="20"/>
    </row>
    <row r="868" spans="2:31" x14ac:dyDescent="0.25">
      <c r="B868" s="2"/>
      <c r="C868" s="19"/>
      <c r="D868" s="2"/>
      <c r="E868" s="2"/>
      <c r="F868" s="19"/>
      <c r="G868" s="2"/>
      <c r="H868" s="2"/>
      <c r="I868" s="2"/>
      <c r="J868" s="2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E868" s="20"/>
    </row>
    <row r="869" spans="2:31" x14ac:dyDescent="0.25">
      <c r="B869" s="2"/>
      <c r="C869" s="19"/>
      <c r="D869" s="2"/>
      <c r="E869" s="2"/>
      <c r="F869" s="19"/>
      <c r="G869" s="2"/>
      <c r="H869" s="2"/>
      <c r="I869" s="2"/>
      <c r="J869" s="2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E869" s="20"/>
    </row>
    <row r="870" spans="2:31" x14ac:dyDescent="0.25">
      <c r="B870" s="2"/>
      <c r="C870" s="19"/>
      <c r="D870" s="2"/>
      <c r="E870" s="2"/>
      <c r="F870" s="19"/>
      <c r="G870" s="2"/>
      <c r="H870" s="2"/>
      <c r="I870" s="2"/>
      <c r="J870" s="2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E870" s="20"/>
    </row>
    <row r="871" spans="2:31" x14ac:dyDescent="0.25">
      <c r="B871" s="2"/>
      <c r="C871" s="19"/>
      <c r="D871" s="2"/>
      <c r="E871" s="2"/>
      <c r="F871" s="19"/>
      <c r="G871" s="2"/>
      <c r="H871" s="2"/>
      <c r="I871" s="2"/>
      <c r="J871" s="2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E871" s="20"/>
    </row>
    <row r="872" spans="2:31" x14ac:dyDescent="0.25">
      <c r="B872" s="2"/>
      <c r="C872" s="19"/>
      <c r="D872" s="2"/>
      <c r="E872" s="2"/>
      <c r="F872" s="19"/>
      <c r="G872" s="2"/>
      <c r="H872" s="2"/>
      <c r="I872" s="2"/>
      <c r="J872" s="2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E872" s="20"/>
    </row>
    <row r="873" spans="2:31" x14ac:dyDescent="0.25">
      <c r="B873" s="2"/>
      <c r="C873" s="19"/>
      <c r="D873" s="2"/>
      <c r="E873" s="2"/>
      <c r="F873" s="19"/>
      <c r="G873" s="2"/>
      <c r="H873" s="2"/>
      <c r="I873" s="2"/>
      <c r="J873" s="2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E873" s="20"/>
    </row>
    <row r="874" spans="2:31" x14ac:dyDescent="0.25">
      <c r="B874" s="2"/>
      <c r="C874" s="19"/>
      <c r="D874" s="2"/>
      <c r="E874" s="2"/>
      <c r="F874" s="19"/>
      <c r="G874" s="2"/>
      <c r="H874" s="2"/>
      <c r="I874" s="2"/>
      <c r="J874" s="2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E874" s="20"/>
    </row>
    <row r="875" spans="2:31" x14ac:dyDescent="0.25">
      <c r="B875" s="2"/>
      <c r="C875" s="19"/>
      <c r="D875" s="2"/>
      <c r="E875" s="2"/>
      <c r="F875" s="19"/>
      <c r="G875" s="2"/>
      <c r="H875" s="2"/>
      <c r="I875" s="2"/>
      <c r="J875" s="2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E875" s="20"/>
    </row>
    <row r="876" spans="2:31" x14ac:dyDescent="0.25">
      <c r="B876" s="2"/>
      <c r="C876" s="19"/>
      <c r="D876" s="2"/>
      <c r="E876" s="2"/>
      <c r="F876" s="19"/>
      <c r="G876" s="2"/>
      <c r="H876" s="2"/>
      <c r="I876" s="2"/>
      <c r="J876" s="2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E876" s="20"/>
    </row>
    <row r="877" spans="2:31" x14ac:dyDescent="0.25">
      <c r="B877" s="2"/>
      <c r="C877" s="19"/>
      <c r="D877" s="2"/>
      <c r="E877" s="2"/>
      <c r="F877" s="19"/>
      <c r="G877" s="2"/>
      <c r="H877" s="2"/>
      <c r="I877" s="2"/>
      <c r="J877" s="2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E877" s="20"/>
    </row>
    <row r="878" spans="2:31" x14ac:dyDescent="0.25">
      <c r="B878" s="2"/>
      <c r="C878" s="19"/>
      <c r="D878" s="2"/>
      <c r="E878" s="2"/>
      <c r="F878" s="19"/>
      <c r="G878" s="2"/>
      <c r="H878" s="2"/>
      <c r="I878" s="2"/>
      <c r="J878" s="2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E878" s="20"/>
    </row>
    <row r="879" spans="2:31" x14ac:dyDescent="0.25">
      <c r="B879" s="2"/>
      <c r="C879" s="19"/>
      <c r="D879" s="2"/>
      <c r="E879" s="2"/>
      <c r="F879" s="19"/>
      <c r="G879" s="2"/>
      <c r="H879" s="2"/>
      <c r="I879" s="2"/>
      <c r="J879" s="2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E879" s="20"/>
    </row>
    <row r="880" spans="2:31" x14ac:dyDescent="0.25">
      <c r="B880" s="2"/>
      <c r="C880" s="19"/>
      <c r="D880" s="2"/>
      <c r="E880" s="2"/>
      <c r="F880" s="19"/>
      <c r="G880" s="2"/>
      <c r="H880" s="2"/>
      <c r="I880" s="2"/>
      <c r="J880" s="2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E880" s="20"/>
    </row>
    <row r="881" spans="2:31" x14ac:dyDescent="0.25">
      <c r="B881" s="2"/>
      <c r="C881" s="19"/>
      <c r="D881" s="2"/>
      <c r="E881" s="2"/>
      <c r="F881" s="19"/>
      <c r="G881" s="2"/>
      <c r="H881" s="2"/>
      <c r="I881" s="2"/>
      <c r="J881" s="2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E881" s="20"/>
    </row>
    <row r="882" spans="2:31" x14ac:dyDescent="0.25">
      <c r="B882" s="2"/>
      <c r="C882" s="19"/>
      <c r="D882" s="2"/>
      <c r="E882" s="2"/>
      <c r="F882" s="19"/>
      <c r="G882" s="2"/>
      <c r="H882" s="2"/>
      <c r="I882" s="2"/>
      <c r="J882" s="2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E882" s="20"/>
    </row>
    <row r="883" spans="2:31" x14ac:dyDescent="0.25">
      <c r="B883" s="2"/>
      <c r="C883" s="19"/>
      <c r="D883" s="2"/>
      <c r="E883" s="2"/>
      <c r="F883" s="19"/>
      <c r="G883" s="2"/>
      <c r="H883" s="2"/>
      <c r="I883" s="2"/>
      <c r="J883" s="2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E883" s="20"/>
    </row>
    <row r="884" spans="2:31" x14ac:dyDescent="0.25">
      <c r="B884" s="2"/>
      <c r="C884" s="19"/>
      <c r="D884" s="2"/>
      <c r="E884" s="2"/>
      <c r="F884" s="19"/>
      <c r="G884" s="2"/>
      <c r="H884" s="2"/>
      <c r="I884" s="2"/>
      <c r="J884" s="2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E884" s="20"/>
    </row>
    <row r="885" spans="2:31" x14ac:dyDescent="0.25">
      <c r="B885" s="2"/>
      <c r="C885" s="19"/>
      <c r="D885" s="2"/>
      <c r="E885" s="2"/>
      <c r="F885" s="19"/>
      <c r="G885" s="2"/>
      <c r="H885" s="2"/>
      <c r="I885" s="2"/>
      <c r="J885" s="2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E885" s="20"/>
    </row>
    <row r="886" spans="2:31" x14ac:dyDescent="0.25">
      <c r="B886" s="2"/>
      <c r="C886" s="19"/>
      <c r="D886" s="2"/>
      <c r="E886" s="2"/>
      <c r="F886" s="19"/>
      <c r="G886" s="2"/>
      <c r="H886" s="2"/>
      <c r="I886" s="2"/>
      <c r="J886" s="2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E886" s="20"/>
    </row>
    <row r="887" spans="2:31" x14ac:dyDescent="0.25">
      <c r="B887" s="2"/>
      <c r="C887" s="19"/>
      <c r="D887" s="2"/>
      <c r="E887" s="2"/>
      <c r="F887" s="19"/>
      <c r="G887" s="2"/>
      <c r="H887" s="2"/>
      <c r="I887" s="2"/>
      <c r="J887" s="2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E887" s="20"/>
    </row>
    <row r="888" spans="2:31" x14ac:dyDescent="0.25">
      <c r="B888" s="2"/>
      <c r="C888" s="19"/>
      <c r="D888" s="2"/>
      <c r="E888" s="2"/>
      <c r="F888" s="19"/>
      <c r="G888" s="2"/>
      <c r="H888" s="2"/>
      <c r="I888" s="2"/>
      <c r="J888" s="2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E888" s="20"/>
    </row>
    <row r="889" spans="2:31" x14ac:dyDescent="0.25">
      <c r="B889" s="2"/>
      <c r="C889" s="19"/>
      <c r="D889" s="2"/>
      <c r="E889" s="2"/>
      <c r="F889" s="19"/>
      <c r="G889" s="2"/>
      <c r="H889" s="2"/>
      <c r="I889" s="2"/>
      <c r="J889" s="2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E889" s="20"/>
    </row>
    <row r="890" spans="2:31" x14ac:dyDescent="0.25">
      <c r="B890" s="2"/>
      <c r="C890" s="19"/>
      <c r="D890" s="2"/>
      <c r="E890" s="2"/>
      <c r="F890" s="19"/>
      <c r="G890" s="2"/>
      <c r="H890" s="2"/>
      <c r="I890" s="2"/>
      <c r="J890" s="2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E890" s="20"/>
    </row>
    <row r="891" spans="2:31" x14ac:dyDescent="0.25">
      <c r="B891" s="2"/>
      <c r="C891" s="19"/>
      <c r="D891" s="2"/>
      <c r="E891" s="2"/>
      <c r="F891" s="19"/>
      <c r="G891" s="2"/>
      <c r="H891" s="2"/>
      <c r="I891" s="2"/>
      <c r="J891" s="2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E891" s="20"/>
    </row>
    <row r="892" spans="2:31" x14ac:dyDescent="0.25">
      <c r="B892" s="2"/>
      <c r="C892" s="19"/>
      <c r="D892" s="2"/>
      <c r="E892" s="2"/>
      <c r="F892" s="19"/>
      <c r="G892" s="2"/>
      <c r="H892" s="2"/>
      <c r="I892" s="2"/>
      <c r="J892" s="2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E892" s="20"/>
    </row>
    <row r="893" spans="2:31" x14ac:dyDescent="0.25">
      <c r="B893" s="2"/>
      <c r="C893" s="19"/>
      <c r="D893" s="2"/>
      <c r="E893" s="2"/>
      <c r="F893" s="19"/>
      <c r="G893" s="2"/>
      <c r="H893" s="2"/>
      <c r="I893" s="2"/>
      <c r="J893" s="2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E893" s="20"/>
    </row>
    <row r="894" spans="2:31" x14ac:dyDescent="0.25">
      <c r="B894" s="2"/>
      <c r="C894" s="19"/>
      <c r="D894" s="2"/>
      <c r="E894" s="2"/>
      <c r="F894" s="19"/>
      <c r="G894" s="2"/>
      <c r="H894" s="2"/>
      <c r="I894" s="2"/>
      <c r="J894" s="2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E894" s="20"/>
    </row>
    <row r="895" spans="2:31" x14ac:dyDescent="0.25">
      <c r="B895" s="2"/>
      <c r="C895" s="19"/>
      <c r="D895" s="2"/>
      <c r="E895" s="2"/>
      <c r="F895" s="19"/>
      <c r="G895" s="2"/>
      <c r="H895" s="2"/>
      <c r="I895" s="2"/>
      <c r="J895" s="2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E895" s="20"/>
    </row>
    <row r="896" spans="2:31" x14ac:dyDescent="0.25">
      <c r="B896" s="2"/>
      <c r="C896" s="19"/>
      <c r="D896" s="2"/>
      <c r="E896" s="2"/>
      <c r="F896" s="19"/>
      <c r="G896" s="2"/>
      <c r="H896" s="2"/>
      <c r="I896" s="2"/>
      <c r="J896" s="2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E896" s="20"/>
    </row>
    <row r="897" spans="2:31" x14ac:dyDescent="0.25">
      <c r="B897" s="2"/>
      <c r="C897" s="19"/>
      <c r="D897" s="2"/>
      <c r="E897" s="2"/>
      <c r="F897" s="19"/>
      <c r="G897" s="2"/>
      <c r="H897" s="2"/>
      <c r="I897" s="2"/>
      <c r="J897" s="2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E897" s="20"/>
    </row>
    <row r="898" spans="2:31" x14ac:dyDescent="0.25">
      <c r="B898" s="2"/>
      <c r="C898" s="19"/>
      <c r="D898" s="2"/>
      <c r="E898" s="2"/>
      <c r="F898" s="19"/>
      <c r="G898" s="2"/>
      <c r="H898" s="2"/>
      <c r="I898" s="2"/>
      <c r="J898" s="2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E898" s="20"/>
    </row>
    <row r="899" spans="2:31" x14ac:dyDescent="0.25">
      <c r="B899" s="2"/>
      <c r="C899" s="19"/>
      <c r="D899" s="2"/>
      <c r="E899" s="2"/>
      <c r="F899" s="19"/>
      <c r="G899" s="2"/>
      <c r="H899" s="2"/>
      <c r="I899" s="2"/>
      <c r="J899" s="2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E899" s="20"/>
    </row>
    <row r="900" spans="2:31" x14ac:dyDescent="0.25">
      <c r="B900" s="2"/>
      <c r="C900" s="19"/>
      <c r="D900" s="2"/>
      <c r="E900" s="2"/>
      <c r="F900" s="19"/>
      <c r="G900" s="2"/>
      <c r="H900" s="2"/>
      <c r="I900" s="2"/>
      <c r="J900" s="2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E900" s="20"/>
    </row>
    <row r="901" spans="2:31" x14ac:dyDescent="0.25">
      <c r="B901" s="2"/>
      <c r="C901" s="19"/>
      <c r="D901" s="2"/>
      <c r="E901" s="2"/>
      <c r="F901" s="19"/>
      <c r="G901" s="2"/>
      <c r="H901" s="2"/>
      <c r="I901" s="2"/>
      <c r="J901" s="2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E901" s="20"/>
    </row>
    <row r="902" spans="2:31" x14ac:dyDescent="0.25">
      <c r="B902" s="2"/>
      <c r="C902" s="19"/>
      <c r="D902" s="2"/>
      <c r="E902" s="2"/>
      <c r="F902" s="19"/>
      <c r="G902" s="2"/>
      <c r="H902" s="2"/>
      <c r="I902" s="2"/>
      <c r="J902" s="2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E902" s="20"/>
    </row>
    <row r="903" spans="2:31" x14ac:dyDescent="0.25">
      <c r="B903" s="2"/>
      <c r="C903" s="19"/>
      <c r="D903" s="2"/>
      <c r="E903" s="2"/>
      <c r="F903" s="19"/>
      <c r="G903" s="2"/>
      <c r="H903" s="2"/>
      <c r="I903" s="2"/>
      <c r="J903" s="2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E903" s="20"/>
    </row>
    <row r="904" spans="2:31" x14ac:dyDescent="0.25">
      <c r="B904" s="2"/>
      <c r="C904" s="19"/>
      <c r="D904" s="2"/>
      <c r="E904" s="2"/>
      <c r="F904" s="19"/>
      <c r="G904" s="2"/>
      <c r="H904" s="2"/>
      <c r="I904" s="2"/>
      <c r="J904" s="2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E904" s="20"/>
    </row>
    <row r="905" spans="2:31" x14ac:dyDescent="0.25">
      <c r="B905" s="2"/>
      <c r="C905" s="19"/>
      <c r="D905" s="2"/>
      <c r="E905" s="2"/>
      <c r="F905" s="19"/>
      <c r="G905" s="2"/>
      <c r="H905" s="2"/>
      <c r="I905" s="2"/>
      <c r="J905" s="2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E905" s="20"/>
    </row>
    <row r="906" spans="2:31" x14ac:dyDescent="0.25">
      <c r="B906" s="2"/>
      <c r="C906" s="19"/>
      <c r="D906" s="2"/>
      <c r="E906" s="2"/>
      <c r="F906" s="19"/>
      <c r="G906" s="2"/>
      <c r="H906" s="2"/>
      <c r="I906" s="2"/>
      <c r="J906" s="2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E906" s="20"/>
    </row>
    <row r="907" spans="2:31" x14ac:dyDescent="0.25">
      <c r="B907" s="2"/>
      <c r="C907" s="19"/>
      <c r="D907" s="2"/>
      <c r="E907" s="2"/>
      <c r="F907" s="19"/>
      <c r="G907" s="2"/>
      <c r="H907" s="2"/>
      <c r="I907" s="2"/>
      <c r="J907" s="2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E907" s="20"/>
    </row>
    <row r="908" spans="2:31" x14ac:dyDescent="0.25">
      <c r="B908" s="2"/>
      <c r="C908" s="19"/>
      <c r="D908" s="2"/>
      <c r="E908" s="2"/>
      <c r="F908" s="19"/>
      <c r="G908" s="2"/>
      <c r="H908" s="2"/>
      <c r="I908" s="2"/>
      <c r="J908" s="2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E908" s="20"/>
    </row>
    <row r="909" spans="2:31" x14ac:dyDescent="0.25">
      <c r="B909" s="2"/>
      <c r="C909" s="19"/>
      <c r="D909" s="2"/>
      <c r="E909" s="2"/>
      <c r="F909" s="19"/>
      <c r="G909" s="2"/>
      <c r="H909" s="2"/>
      <c r="I909" s="2"/>
      <c r="J909" s="2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E909" s="20"/>
    </row>
    <row r="910" spans="2:31" x14ac:dyDescent="0.25">
      <c r="B910" s="2"/>
      <c r="C910" s="19"/>
      <c r="D910" s="2"/>
      <c r="E910" s="2"/>
      <c r="F910" s="19"/>
      <c r="G910" s="2"/>
      <c r="H910" s="2"/>
      <c r="I910" s="2"/>
      <c r="J910" s="2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E910" s="20"/>
    </row>
    <row r="911" spans="2:31" x14ac:dyDescent="0.25">
      <c r="B911" s="2"/>
      <c r="C911" s="19"/>
      <c r="D911" s="2"/>
      <c r="E911" s="2"/>
      <c r="F911" s="19"/>
      <c r="G911" s="2"/>
      <c r="H911" s="2"/>
      <c r="I911" s="2"/>
      <c r="J911" s="2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E911" s="20"/>
    </row>
    <row r="912" spans="2:31" x14ac:dyDescent="0.25">
      <c r="B912" s="2"/>
      <c r="C912" s="19"/>
      <c r="D912" s="2"/>
      <c r="E912" s="2"/>
      <c r="F912" s="19"/>
      <c r="G912" s="2"/>
      <c r="H912" s="2"/>
      <c r="I912" s="2"/>
      <c r="J912" s="2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E912" s="20"/>
    </row>
    <row r="913" spans="2:31" x14ac:dyDescent="0.25">
      <c r="B913" s="2"/>
      <c r="C913" s="19"/>
      <c r="D913" s="2"/>
      <c r="E913" s="2"/>
      <c r="F913" s="19"/>
      <c r="G913" s="2"/>
      <c r="H913" s="2"/>
      <c r="I913" s="2"/>
      <c r="J913" s="2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E913" s="20"/>
    </row>
    <row r="914" spans="2:31" x14ac:dyDescent="0.25">
      <c r="B914" s="2"/>
      <c r="C914" s="19"/>
      <c r="D914" s="2"/>
      <c r="E914" s="2"/>
      <c r="F914" s="19"/>
      <c r="G914" s="2"/>
      <c r="H914" s="2"/>
      <c r="I914" s="2"/>
      <c r="J914" s="2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E914" s="20"/>
    </row>
    <row r="915" spans="2:31" x14ac:dyDescent="0.25">
      <c r="B915" s="2"/>
      <c r="C915" s="19"/>
      <c r="D915" s="2"/>
      <c r="E915" s="2"/>
      <c r="F915" s="19"/>
      <c r="G915" s="2"/>
      <c r="H915" s="2"/>
      <c r="I915" s="2"/>
      <c r="J915" s="2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E915" s="20"/>
    </row>
    <row r="916" spans="2:31" x14ac:dyDescent="0.25">
      <c r="B916" s="2"/>
      <c r="C916" s="19"/>
      <c r="D916" s="2"/>
      <c r="E916" s="2"/>
      <c r="F916" s="19"/>
      <c r="G916" s="2"/>
      <c r="H916" s="2"/>
      <c r="I916" s="2"/>
      <c r="J916" s="2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E916" s="20"/>
    </row>
    <row r="917" spans="2:31" x14ac:dyDescent="0.25">
      <c r="B917" s="2"/>
      <c r="C917" s="19"/>
      <c r="D917" s="2"/>
      <c r="E917" s="2"/>
      <c r="F917" s="19"/>
      <c r="G917" s="2"/>
      <c r="H917" s="2"/>
      <c r="I917" s="2"/>
      <c r="J917" s="2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E917" s="20"/>
    </row>
    <row r="918" spans="2:31" x14ac:dyDescent="0.25">
      <c r="B918" s="2"/>
      <c r="C918" s="19"/>
      <c r="D918" s="2"/>
      <c r="E918" s="2"/>
      <c r="F918" s="19"/>
      <c r="G918" s="2"/>
      <c r="H918" s="2"/>
      <c r="I918" s="2"/>
      <c r="J918" s="2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E918" s="20"/>
    </row>
    <row r="919" spans="2:31" x14ac:dyDescent="0.25">
      <c r="B919" s="2"/>
      <c r="C919" s="19"/>
      <c r="D919" s="2"/>
      <c r="E919" s="2"/>
      <c r="F919" s="19"/>
      <c r="G919" s="2"/>
      <c r="H919" s="2"/>
      <c r="I919" s="2"/>
      <c r="J919" s="2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E919" s="20"/>
    </row>
    <row r="920" spans="2:31" x14ac:dyDescent="0.25">
      <c r="B920" s="2"/>
      <c r="C920" s="19"/>
      <c r="D920" s="2"/>
      <c r="E920" s="2"/>
      <c r="F920" s="19"/>
      <c r="G920" s="2"/>
      <c r="H920" s="2"/>
      <c r="I920" s="2"/>
      <c r="J920" s="2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E920" s="20"/>
    </row>
    <row r="921" spans="2:31" x14ac:dyDescent="0.25">
      <c r="B921" s="2"/>
      <c r="C921" s="19"/>
      <c r="D921" s="2"/>
      <c r="E921" s="2"/>
      <c r="F921" s="19"/>
      <c r="G921" s="2"/>
      <c r="H921" s="2"/>
      <c r="I921" s="2"/>
      <c r="J921" s="2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E921" s="20"/>
    </row>
    <row r="922" spans="2:31" x14ac:dyDescent="0.25">
      <c r="B922" s="2"/>
      <c r="C922" s="19"/>
      <c r="D922" s="2"/>
      <c r="E922" s="2"/>
      <c r="F922" s="19"/>
      <c r="G922" s="2"/>
      <c r="H922" s="2"/>
      <c r="I922" s="2"/>
      <c r="J922" s="2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E922" s="20"/>
    </row>
    <row r="923" spans="2:31" x14ac:dyDescent="0.25">
      <c r="B923" s="2"/>
      <c r="C923" s="19"/>
      <c r="D923" s="2"/>
      <c r="E923" s="2"/>
      <c r="F923" s="19"/>
      <c r="G923" s="2"/>
      <c r="H923" s="2"/>
      <c r="I923" s="2"/>
      <c r="J923" s="2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E923" s="20"/>
    </row>
    <row r="924" spans="2:31" x14ac:dyDescent="0.25">
      <c r="B924" s="2"/>
      <c r="C924" s="19"/>
      <c r="D924" s="2"/>
      <c r="E924" s="2"/>
      <c r="F924" s="19"/>
      <c r="G924" s="2"/>
      <c r="H924" s="2"/>
      <c r="I924" s="2"/>
      <c r="J924" s="2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E924" s="20"/>
    </row>
    <row r="925" spans="2:31" x14ac:dyDescent="0.25">
      <c r="B925" s="2"/>
      <c r="C925" s="19"/>
      <c r="D925" s="2"/>
      <c r="E925" s="2"/>
      <c r="F925" s="19"/>
      <c r="G925" s="2"/>
      <c r="H925" s="2"/>
      <c r="I925" s="2"/>
      <c r="J925" s="2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E925" s="20"/>
    </row>
    <row r="926" spans="2:31" x14ac:dyDescent="0.25">
      <c r="B926" s="2"/>
      <c r="C926" s="19"/>
      <c r="D926" s="2"/>
      <c r="E926" s="2"/>
      <c r="F926" s="19"/>
      <c r="G926" s="2"/>
      <c r="H926" s="2"/>
      <c r="I926" s="2"/>
      <c r="J926" s="2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E926" s="20"/>
    </row>
    <row r="927" spans="2:31" x14ac:dyDescent="0.25">
      <c r="B927" s="2"/>
      <c r="C927" s="19"/>
      <c r="D927" s="2"/>
      <c r="E927" s="2"/>
      <c r="F927" s="19"/>
      <c r="G927" s="2"/>
      <c r="H927" s="2"/>
      <c r="I927" s="2"/>
      <c r="J927" s="2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E927" s="20"/>
    </row>
    <row r="928" spans="2:31" x14ac:dyDescent="0.25">
      <c r="B928" s="2"/>
      <c r="C928" s="19"/>
      <c r="D928" s="2"/>
      <c r="E928" s="2"/>
      <c r="F928" s="19"/>
      <c r="G928" s="2"/>
      <c r="H928" s="2"/>
      <c r="I928" s="2"/>
      <c r="J928" s="2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E928" s="20"/>
    </row>
    <row r="929" spans="2:31" x14ac:dyDescent="0.25">
      <c r="B929" s="2"/>
      <c r="C929" s="19"/>
      <c r="D929" s="2"/>
      <c r="E929" s="2"/>
      <c r="F929" s="19"/>
      <c r="G929" s="2"/>
      <c r="H929" s="2"/>
      <c r="I929" s="2"/>
      <c r="J929" s="2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E929" s="20"/>
    </row>
    <row r="930" spans="2:31" x14ac:dyDescent="0.25">
      <c r="B930" s="2"/>
      <c r="C930" s="19"/>
      <c r="D930" s="2"/>
      <c r="E930" s="2"/>
      <c r="F930" s="19"/>
      <c r="G930" s="2"/>
      <c r="H930" s="2"/>
      <c r="I930" s="2"/>
      <c r="J930" s="2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E930" s="20"/>
    </row>
    <row r="931" spans="2:31" x14ac:dyDescent="0.25">
      <c r="B931" s="2"/>
      <c r="C931" s="19"/>
      <c r="D931" s="2"/>
      <c r="E931" s="2"/>
      <c r="F931" s="19"/>
      <c r="G931" s="2"/>
      <c r="H931" s="2"/>
      <c r="I931" s="2"/>
      <c r="J931" s="2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E931" s="20"/>
    </row>
    <row r="932" spans="2:31" x14ac:dyDescent="0.25">
      <c r="B932" s="2"/>
      <c r="C932" s="19"/>
      <c r="D932" s="2"/>
      <c r="E932" s="2"/>
      <c r="F932" s="19"/>
      <c r="G932" s="2"/>
      <c r="H932" s="2"/>
      <c r="I932" s="2"/>
      <c r="J932" s="2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E932" s="20"/>
    </row>
    <row r="933" spans="2:31" x14ac:dyDescent="0.25">
      <c r="B933" s="2"/>
      <c r="C933" s="19"/>
      <c r="D933" s="2"/>
      <c r="E933" s="2"/>
      <c r="F933" s="19"/>
      <c r="G933" s="2"/>
      <c r="H933" s="2"/>
      <c r="I933" s="2"/>
      <c r="J933" s="2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E933" s="20"/>
    </row>
    <row r="934" spans="2:31" x14ac:dyDescent="0.25">
      <c r="B934" s="2"/>
      <c r="C934" s="19"/>
      <c r="D934" s="2"/>
      <c r="E934" s="2"/>
      <c r="F934" s="19"/>
      <c r="G934" s="2"/>
      <c r="H934" s="2"/>
      <c r="I934" s="2"/>
      <c r="J934" s="2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E934" s="20"/>
    </row>
    <row r="935" spans="2:31" x14ac:dyDescent="0.25">
      <c r="B935" s="2"/>
      <c r="C935" s="19"/>
      <c r="D935" s="2"/>
      <c r="E935" s="2"/>
      <c r="F935" s="19"/>
      <c r="G935" s="2"/>
      <c r="H935" s="2"/>
      <c r="I935" s="2"/>
      <c r="J935" s="2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E935" s="20"/>
    </row>
    <row r="936" spans="2:31" x14ac:dyDescent="0.25">
      <c r="B936" s="2"/>
      <c r="C936" s="19"/>
      <c r="D936" s="2"/>
      <c r="E936" s="2"/>
      <c r="F936" s="19"/>
      <c r="G936" s="2"/>
      <c r="H936" s="2"/>
      <c r="I936" s="2"/>
      <c r="J936" s="2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E936" s="20"/>
    </row>
    <row r="937" spans="2:31" x14ac:dyDescent="0.25">
      <c r="B937" s="2"/>
      <c r="C937" s="19"/>
      <c r="D937" s="2"/>
      <c r="E937" s="2"/>
      <c r="F937" s="19"/>
      <c r="G937" s="2"/>
      <c r="H937" s="2"/>
      <c r="I937" s="2"/>
      <c r="J937" s="2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E937" s="20"/>
    </row>
    <row r="938" spans="2:31" x14ac:dyDescent="0.25">
      <c r="B938" s="2"/>
      <c r="C938" s="19"/>
      <c r="D938" s="2"/>
      <c r="E938" s="2"/>
      <c r="F938" s="19"/>
      <c r="G938" s="2"/>
      <c r="H938" s="2"/>
      <c r="I938" s="2"/>
      <c r="J938" s="2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E938" s="20"/>
    </row>
    <row r="939" spans="2:31" x14ac:dyDescent="0.25">
      <c r="B939" s="2"/>
      <c r="C939" s="19"/>
      <c r="D939" s="2"/>
      <c r="E939" s="2"/>
      <c r="F939" s="19"/>
      <c r="G939" s="2"/>
      <c r="H939" s="2"/>
      <c r="I939" s="2"/>
      <c r="J939" s="2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E939" s="20"/>
    </row>
    <row r="940" spans="2:31" x14ac:dyDescent="0.25">
      <c r="B940" s="2"/>
      <c r="C940" s="19"/>
      <c r="D940" s="2"/>
      <c r="E940" s="2"/>
      <c r="F940" s="19"/>
      <c r="G940" s="2"/>
      <c r="H940" s="2"/>
      <c r="I940" s="2"/>
      <c r="J940" s="2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E940" s="20"/>
    </row>
    <row r="941" spans="2:31" x14ac:dyDescent="0.25">
      <c r="B941" s="2"/>
      <c r="C941" s="19"/>
      <c r="D941" s="2"/>
      <c r="E941" s="2"/>
      <c r="F941" s="19"/>
      <c r="G941" s="2"/>
      <c r="H941" s="2"/>
      <c r="I941" s="2"/>
      <c r="J941" s="2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E941" s="20"/>
    </row>
    <row r="942" spans="2:31" x14ac:dyDescent="0.25">
      <c r="B942" s="2"/>
      <c r="C942" s="19"/>
      <c r="D942" s="2"/>
      <c r="E942" s="2"/>
      <c r="F942" s="19"/>
      <c r="G942" s="2"/>
      <c r="H942" s="2"/>
      <c r="I942" s="2"/>
      <c r="J942" s="2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E942" s="20"/>
    </row>
    <row r="943" spans="2:31" x14ac:dyDescent="0.25">
      <c r="B943" s="2"/>
      <c r="C943" s="19"/>
      <c r="D943" s="2"/>
      <c r="E943" s="2"/>
      <c r="F943" s="19"/>
      <c r="G943" s="2"/>
      <c r="H943" s="2"/>
      <c r="I943" s="2"/>
      <c r="J943" s="2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E943" s="20"/>
    </row>
    <row r="944" spans="2:31" x14ac:dyDescent="0.25">
      <c r="B944" s="2"/>
      <c r="C944" s="19"/>
      <c r="D944" s="2"/>
      <c r="E944" s="2"/>
      <c r="F944" s="19"/>
      <c r="G944" s="2"/>
      <c r="H944" s="2"/>
      <c r="I944" s="2"/>
      <c r="J944" s="2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E944" s="20"/>
    </row>
    <row r="945" spans="2:31" x14ac:dyDescent="0.25">
      <c r="B945" s="2"/>
      <c r="C945" s="19"/>
      <c r="D945" s="2"/>
      <c r="E945" s="2"/>
      <c r="F945" s="19"/>
      <c r="G945" s="2"/>
      <c r="H945" s="2"/>
      <c r="I945" s="2"/>
      <c r="J945" s="2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E945" s="20"/>
    </row>
    <row r="946" spans="2:31" x14ac:dyDescent="0.25">
      <c r="B946" s="2"/>
      <c r="C946" s="19"/>
      <c r="D946" s="2"/>
      <c r="E946" s="2"/>
      <c r="F946" s="19"/>
      <c r="G946" s="2"/>
      <c r="H946" s="2"/>
      <c r="I946" s="2"/>
      <c r="J946" s="2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E946" s="20"/>
    </row>
    <row r="947" spans="2:31" x14ac:dyDescent="0.25">
      <c r="B947" s="2"/>
      <c r="C947" s="19"/>
      <c r="D947" s="2"/>
      <c r="E947" s="2"/>
      <c r="F947" s="19"/>
      <c r="G947" s="2"/>
      <c r="H947" s="2"/>
      <c r="I947" s="2"/>
      <c r="J947" s="2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E947" s="20"/>
    </row>
    <row r="948" spans="2:31" x14ac:dyDescent="0.25">
      <c r="B948" s="2"/>
      <c r="C948" s="19"/>
      <c r="D948" s="2"/>
      <c r="E948" s="2"/>
      <c r="F948" s="19"/>
      <c r="G948" s="2"/>
      <c r="H948" s="2"/>
      <c r="I948" s="2"/>
      <c r="J948" s="2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E948" s="20"/>
    </row>
    <row r="949" spans="2:31" x14ac:dyDescent="0.25">
      <c r="B949" s="2"/>
      <c r="C949" s="19"/>
      <c r="D949" s="2"/>
      <c r="E949" s="2"/>
      <c r="F949" s="19"/>
      <c r="G949" s="2"/>
      <c r="H949" s="2"/>
      <c r="I949" s="2"/>
      <c r="J949" s="2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E949" s="20"/>
    </row>
    <row r="950" spans="2:31" x14ac:dyDescent="0.25">
      <c r="B950" s="2"/>
      <c r="C950" s="19"/>
      <c r="D950" s="2"/>
      <c r="E950" s="2"/>
      <c r="F950" s="19"/>
      <c r="G950" s="2"/>
      <c r="H950" s="2"/>
      <c r="I950" s="2"/>
      <c r="J950" s="2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E950" s="20"/>
    </row>
    <row r="951" spans="2:31" x14ac:dyDescent="0.25">
      <c r="B951" s="2"/>
      <c r="C951" s="19"/>
      <c r="D951" s="2"/>
      <c r="E951" s="2"/>
      <c r="F951" s="19"/>
      <c r="G951" s="2"/>
      <c r="H951" s="2"/>
      <c r="I951" s="2"/>
      <c r="J951" s="2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E951" s="20"/>
    </row>
    <row r="952" spans="2:31" x14ac:dyDescent="0.25">
      <c r="B952" s="2"/>
      <c r="C952" s="19"/>
      <c r="D952" s="2"/>
      <c r="E952" s="2"/>
      <c r="F952" s="19"/>
      <c r="G952" s="2"/>
      <c r="H952" s="2"/>
      <c r="I952" s="2"/>
      <c r="J952" s="2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E952" s="20"/>
    </row>
    <row r="953" spans="2:31" x14ac:dyDescent="0.25">
      <c r="B953" s="2"/>
      <c r="C953" s="19"/>
      <c r="D953" s="2"/>
      <c r="E953" s="2"/>
      <c r="F953" s="19"/>
      <c r="G953" s="2"/>
      <c r="H953" s="2"/>
      <c r="I953" s="2"/>
      <c r="J953" s="2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E953" s="20"/>
    </row>
    <row r="954" spans="2:31" x14ac:dyDescent="0.25">
      <c r="B954" s="2"/>
      <c r="C954" s="19"/>
      <c r="D954" s="2"/>
      <c r="E954" s="2"/>
      <c r="F954" s="19"/>
      <c r="G954" s="2"/>
      <c r="H954" s="2"/>
      <c r="I954" s="2"/>
      <c r="J954" s="2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E954" s="20"/>
    </row>
    <row r="955" spans="2:31" x14ac:dyDescent="0.25">
      <c r="B955" s="2"/>
      <c r="C955" s="19"/>
      <c r="D955" s="2"/>
      <c r="E955" s="2"/>
      <c r="F955" s="19"/>
      <c r="G955" s="2"/>
      <c r="H955" s="2"/>
      <c r="I955" s="2"/>
      <c r="J955" s="2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E955" s="20"/>
    </row>
    <row r="956" spans="2:31" x14ac:dyDescent="0.25">
      <c r="B956" s="2"/>
      <c r="C956" s="19"/>
      <c r="D956" s="2"/>
      <c r="E956" s="2"/>
      <c r="F956" s="19"/>
      <c r="G956" s="2"/>
      <c r="H956" s="2"/>
      <c r="I956" s="2"/>
      <c r="J956" s="2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E956" s="20"/>
    </row>
    <row r="957" spans="2:31" x14ac:dyDescent="0.25">
      <c r="B957" s="2"/>
      <c r="C957" s="19"/>
      <c r="D957" s="2"/>
      <c r="E957" s="2"/>
      <c r="F957" s="19"/>
      <c r="G957" s="2"/>
      <c r="H957" s="2"/>
      <c r="I957" s="2"/>
      <c r="J957" s="2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E957" s="20"/>
    </row>
    <row r="958" spans="2:31" x14ac:dyDescent="0.25">
      <c r="B958" s="2"/>
      <c r="C958" s="19"/>
      <c r="D958" s="2"/>
      <c r="E958" s="2"/>
      <c r="F958" s="19"/>
      <c r="G958" s="2"/>
      <c r="H958" s="2"/>
      <c r="I958" s="2"/>
      <c r="J958" s="2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E958" s="20"/>
    </row>
    <row r="959" spans="2:31" x14ac:dyDescent="0.25">
      <c r="B959" s="2"/>
      <c r="C959" s="19"/>
      <c r="D959" s="2"/>
      <c r="E959" s="2"/>
      <c r="F959" s="19"/>
      <c r="G959" s="2"/>
      <c r="H959" s="2"/>
      <c r="I959" s="2"/>
      <c r="J959" s="2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E959" s="20"/>
    </row>
    <row r="960" spans="2:31" x14ac:dyDescent="0.25">
      <c r="B960" s="2"/>
      <c r="C960" s="19"/>
      <c r="D960" s="2"/>
      <c r="E960" s="2"/>
      <c r="F960" s="19"/>
      <c r="G960" s="2"/>
      <c r="H960" s="2"/>
      <c r="I960" s="2"/>
      <c r="J960" s="2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E960" s="20"/>
    </row>
    <row r="961" spans="2:31" x14ac:dyDescent="0.25">
      <c r="B961" s="2"/>
      <c r="C961" s="19"/>
      <c r="D961" s="2"/>
      <c r="E961" s="2"/>
      <c r="F961" s="19"/>
      <c r="G961" s="2"/>
      <c r="H961" s="2"/>
      <c r="I961" s="2"/>
      <c r="J961" s="2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E961" s="20"/>
    </row>
    <row r="962" spans="2:31" x14ac:dyDescent="0.25">
      <c r="B962" s="2"/>
      <c r="C962" s="19"/>
      <c r="D962" s="2"/>
      <c r="E962" s="2"/>
      <c r="F962" s="19"/>
      <c r="G962" s="2"/>
      <c r="H962" s="2"/>
      <c r="I962" s="2"/>
      <c r="J962" s="2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E962" s="20"/>
    </row>
    <row r="963" spans="2:31" x14ac:dyDescent="0.25">
      <c r="B963" s="2"/>
      <c r="C963" s="19"/>
      <c r="D963" s="2"/>
      <c r="E963" s="2"/>
      <c r="F963" s="19"/>
      <c r="G963" s="2"/>
      <c r="H963" s="2"/>
      <c r="I963" s="2"/>
      <c r="J963" s="2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E963" s="20"/>
    </row>
    <row r="964" spans="2:31" x14ac:dyDescent="0.25">
      <c r="B964" s="2"/>
      <c r="C964" s="19"/>
      <c r="D964" s="2"/>
      <c r="E964" s="2"/>
      <c r="F964" s="19"/>
      <c r="G964" s="2"/>
      <c r="H964" s="2"/>
      <c r="I964" s="2"/>
      <c r="J964" s="2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E964" s="20"/>
    </row>
    <row r="965" spans="2:31" x14ac:dyDescent="0.25">
      <c r="B965" s="2"/>
      <c r="C965" s="19"/>
      <c r="D965" s="2"/>
      <c r="E965" s="2"/>
      <c r="F965" s="19"/>
      <c r="G965" s="2"/>
      <c r="H965" s="2"/>
      <c r="I965" s="2"/>
      <c r="J965" s="2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E965" s="20"/>
    </row>
    <row r="966" spans="2:31" x14ac:dyDescent="0.25">
      <c r="B966" s="2"/>
      <c r="C966" s="19"/>
      <c r="D966" s="2"/>
      <c r="E966" s="2"/>
      <c r="F966" s="19"/>
      <c r="G966" s="2"/>
      <c r="H966" s="2"/>
      <c r="I966" s="2"/>
      <c r="J966" s="2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E966" s="20"/>
    </row>
    <row r="967" spans="2:31" x14ac:dyDescent="0.25">
      <c r="B967" s="2"/>
      <c r="C967" s="19"/>
      <c r="D967" s="2"/>
      <c r="E967" s="2"/>
      <c r="F967" s="19"/>
      <c r="G967" s="2"/>
      <c r="H967" s="2"/>
      <c r="I967" s="2"/>
      <c r="J967" s="2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E967" s="20"/>
    </row>
    <row r="968" spans="2:31" x14ac:dyDescent="0.25">
      <c r="B968" s="2"/>
      <c r="C968" s="19"/>
      <c r="D968" s="2"/>
      <c r="E968" s="2"/>
      <c r="F968" s="19"/>
      <c r="G968" s="2"/>
      <c r="H968" s="2"/>
      <c r="I968" s="2"/>
      <c r="J968" s="2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E968" s="20"/>
    </row>
    <row r="969" spans="2:31" x14ac:dyDescent="0.25">
      <c r="B969" s="2"/>
      <c r="C969" s="19"/>
      <c r="D969" s="2"/>
      <c r="E969" s="2"/>
      <c r="F969" s="19"/>
      <c r="G969" s="2"/>
      <c r="H969" s="2"/>
      <c r="I969" s="2"/>
      <c r="J969" s="2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E969" s="20"/>
    </row>
    <row r="970" spans="2:31" x14ac:dyDescent="0.25">
      <c r="B970" s="2"/>
      <c r="C970" s="19"/>
      <c r="D970" s="2"/>
      <c r="E970" s="2"/>
      <c r="F970" s="19"/>
      <c r="G970" s="2"/>
      <c r="H970" s="2"/>
      <c r="I970" s="2"/>
      <c r="J970" s="2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E970" s="20"/>
    </row>
    <row r="971" spans="2:31" x14ac:dyDescent="0.25">
      <c r="B971" s="2"/>
      <c r="C971" s="19"/>
      <c r="D971" s="2"/>
      <c r="E971" s="2"/>
      <c r="F971" s="19"/>
      <c r="G971" s="2"/>
      <c r="H971" s="2"/>
      <c r="I971" s="2"/>
      <c r="J971" s="2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E971" s="20"/>
    </row>
    <row r="972" spans="2:31" x14ac:dyDescent="0.25">
      <c r="B972" s="2"/>
      <c r="C972" s="19"/>
      <c r="D972" s="2"/>
      <c r="E972" s="2"/>
      <c r="F972" s="19"/>
      <c r="G972" s="2"/>
      <c r="H972" s="2"/>
      <c r="I972" s="2"/>
      <c r="J972" s="2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E972" s="20"/>
    </row>
    <row r="973" spans="2:31" x14ac:dyDescent="0.25">
      <c r="B973" s="2"/>
      <c r="C973" s="19"/>
      <c r="D973" s="2"/>
      <c r="E973" s="2"/>
      <c r="F973" s="19"/>
      <c r="G973" s="2"/>
      <c r="H973" s="2"/>
      <c r="I973" s="2"/>
      <c r="J973" s="2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E973" s="20"/>
    </row>
    <row r="974" spans="2:31" x14ac:dyDescent="0.25">
      <c r="B974" s="2"/>
      <c r="C974" s="19"/>
      <c r="D974" s="2"/>
      <c r="E974" s="2"/>
      <c r="F974" s="19"/>
      <c r="G974" s="2"/>
      <c r="H974" s="2"/>
      <c r="I974" s="2"/>
      <c r="J974" s="2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E974" s="20"/>
    </row>
    <row r="975" spans="2:31" x14ac:dyDescent="0.25">
      <c r="B975" s="2"/>
      <c r="C975" s="19"/>
      <c r="D975" s="2"/>
      <c r="E975" s="2"/>
      <c r="F975" s="19"/>
      <c r="G975" s="2"/>
      <c r="H975" s="2"/>
      <c r="I975" s="2"/>
      <c r="J975" s="2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E975" s="20"/>
    </row>
    <row r="976" spans="2:31" x14ac:dyDescent="0.25">
      <c r="B976" s="2"/>
      <c r="C976" s="19"/>
      <c r="D976" s="2"/>
      <c r="E976" s="2"/>
      <c r="F976" s="19"/>
      <c r="G976" s="2"/>
      <c r="H976" s="2"/>
      <c r="I976" s="2"/>
      <c r="J976" s="2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E976" s="20"/>
    </row>
    <row r="977" spans="2:31" x14ac:dyDescent="0.25">
      <c r="B977" s="2"/>
      <c r="C977" s="19"/>
      <c r="D977" s="2"/>
      <c r="E977" s="2"/>
      <c r="F977" s="19"/>
      <c r="G977" s="2"/>
      <c r="H977" s="2"/>
      <c r="I977" s="2"/>
      <c r="J977" s="2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E977" s="20"/>
    </row>
    <row r="978" spans="2:31" x14ac:dyDescent="0.25">
      <c r="B978" s="2"/>
      <c r="C978" s="19"/>
      <c r="D978" s="2"/>
      <c r="E978" s="2"/>
      <c r="F978" s="19"/>
      <c r="G978" s="2"/>
      <c r="H978" s="2"/>
      <c r="I978" s="2"/>
      <c r="J978" s="2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E978" s="20"/>
    </row>
    <row r="979" spans="2:31" x14ac:dyDescent="0.25">
      <c r="B979" s="2"/>
      <c r="C979" s="19"/>
      <c r="D979" s="2"/>
      <c r="E979" s="2"/>
      <c r="F979" s="19"/>
      <c r="G979" s="2"/>
      <c r="H979" s="2"/>
      <c r="I979" s="2"/>
      <c r="J979" s="2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E979" s="20"/>
    </row>
    <row r="980" spans="2:31" x14ac:dyDescent="0.25">
      <c r="B980" s="2"/>
      <c r="C980" s="19"/>
      <c r="D980" s="2"/>
      <c r="E980" s="2"/>
      <c r="F980" s="19"/>
      <c r="G980" s="2"/>
      <c r="H980" s="2"/>
      <c r="I980" s="2"/>
      <c r="J980" s="2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E980" s="20"/>
    </row>
    <row r="981" spans="2:31" x14ac:dyDescent="0.25">
      <c r="B981" s="2"/>
      <c r="C981" s="19"/>
      <c r="D981" s="2"/>
      <c r="E981" s="2"/>
      <c r="F981" s="19"/>
      <c r="G981" s="2"/>
      <c r="H981" s="2"/>
      <c r="I981" s="2"/>
      <c r="J981" s="2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E981" s="20"/>
    </row>
    <row r="982" spans="2:31" x14ac:dyDescent="0.25">
      <c r="B982" s="2"/>
      <c r="C982" s="19"/>
      <c r="D982" s="2"/>
      <c r="E982" s="2"/>
      <c r="F982" s="19"/>
      <c r="G982" s="2"/>
      <c r="H982" s="2"/>
      <c r="I982" s="2"/>
      <c r="J982" s="2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E982" s="20"/>
    </row>
    <row r="983" spans="2:31" x14ac:dyDescent="0.25">
      <c r="B983" s="2"/>
      <c r="C983" s="19"/>
      <c r="D983" s="2"/>
      <c r="E983" s="2"/>
      <c r="F983" s="19"/>
      <c r="G983" s="2"/>
      <c r="H983" s="2"/>
      <c r="I983" s="2"/>
      <c r="J983" s="2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E983" s="20"/>
    </row>
    <row r="984" spans="2:31" x14ac:dyDescent="0.25">
      <c r="B984" s="2"/>
      <c r="C984" s="19"/>
      <c r="D984" s="2"/>
      <c r="E984" s="2"/>
      <c r="F984" s="19"/>
      <c r="G984" s="2"/>
      <c r="H984" s="2"/>
      <c r="I984" s="2"/>
      <c r="J984" s="2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E984" s="20"/>
    </row>
    <row r="985" spans="2:31" x14ac:dyDescent="0.25">
      <c r="B985" s="2"/>
      <c r="C985" s="19"/>
      <c r="D985" s="2"/>
      <c r="E985" s="2"/>
      <c r="F985" s="19"/>
      <c r="G985" s="2"/>
      <c r="H985" s="2"/>
      <c r="I985" s="2"/>
      <c r="J985" s="2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E985" s="20"/>
    </row>
    <row r="986" spans="2:31" x14ac:dyDescent="0.25">
      <c r="B986" s="2"/>
      <c r="C986" s="19"/>
      <c r="D986" s="2"/>
      <c r="E986" s="2"/>
      <c r="F986" s="19"/>
      <c r="G986" s="2"/>
      <c r="H986" s="2"/>
      <c r="I986" s="2"/>
      <c r="J986" s="2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E986" s="20"/>
    </row>
    <row r="987" spans="2:31" x14ac:dyDescent="0.25">
      <c r="B987" s="2"/>
      <c r="C987" s="19"/>
      <c r="D987" s="2"/>
      <c r="E987" s="2"/>
      <c r="F987" s="19"/>
      <c r="G987" s="2"/>
      <c r="H987" s="2"/>
      <c r="I987" s="2"/>
      <c r="J987" s="2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E987" s="20"/>
    </row>
    <row r="988" spans="2:31" x14ac:dyDescent="0.25">
      <c r="B988" s="2"/>
      <c r="C988" s="19"/>
      <c r="D988" s="2"/>
      <c r="E988" s="2"/>
      <c r="F988" s="19"/>
      <c r="G988" s="2"/>
      <c r="H988" s="2"/>
      <c r="I988" s="2"/>
      <c r="J988" s="2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E988" s="20"/>
    </row>
    <row r="989" spans="2:31" x14ac:dyDescent="0.25">
      <c r="B989" s="2"/>
      <c r="C989" s="19"/>
      <c r="D989" s="2"/>
      <c r="E989" s="2"/>
      <c r="F989" s="19"/>
      <c r="G989" s="2"/>
      <c r="H989" s="2"/>
      <c r="I989" s="2"/>
      <c r="J989" s="2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E989" s="20"/>
    </row>
    <row r="990" spans="2:31" x14ac:dyDescent="0.25">
      <c r="B990" s="2"/>
      <c r="C990" s="19"/>
      <c r="D990" s="2"/>
      <c r="E990" s="2"/>
      <c r="F990" s="19"/>
      <c r="G990" s="2"/>
      <c r="H990" s="2"/>
      <c r="I990" s="2"/>
      <c r="J990" s="2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E990" s="20"/>
    </row>
    <row r="991" spans="2:31" x14ac:dyDescent="0.25">
      <c r="B991" s="2"/>
      <c r="C991" s="19"/>
      <c r="D991" s="2"/>
      <c r="E991" s="2"/>
      <c r="F991" s="19"/>
      <c r="G991" s="2"/>
      <c r="H991" s="2"/>
      <c r="I991" s="2"/>
      <c r="J991" s="2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E991" s="20"/>
    </row>
    <row r="992" spans="2:31" x14ac:dyDescent="0.25">
      <c r="B992" s="2"/>
      <c r="C992" s="19"/>
      <c r="D992" s="2"/>
      <c r="E992" s="2"/>
      <c r="F992" s="19"/>
      <c r="G992" s="2"/>
      <c r="H992" s="2"/>
      <c r="I992" s="2"/>
      <c r="J992" s="2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E992" s="20"/>
    </row>
    <row r="993" spans="2:31" x14ac:dyDescent="0.25">
      <c r="B993" s="2"/>
      <c r="C993" s="19"/>
      <c r="D993" s="2"/>
      <c r="E993" s="2"/>
      <c r="F993" s="19"/>
      <c r="G993" s="2"/>
      <c r="H993" s="2"/>
      <c r="I993" s="2"/>
      <c r="J993" s="2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E993" s="20"/>
    </row>
    <row r="994" spans="2:31" x14ac:dyDescent="0.25">
      <c r="B994" s="2"/>
      <c r="C994" s="19"/>
      <c r="D994" s="2"/>
      <c r="E994" s="2"/>
      <c r="F994" s="19"/>
      <c r="G994" s="2"/>
      <c r="H994" s="2"/>
      <c r="I994" s="2"/>
      <c r="J994" s="2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E994" s="20"/>
    </row>
    <row r="995" spans="2:31" x14ac:dyDescent="0.25">
      <c r="B995" s="2"/>
      <c r="C995" s="19"/>
      <c r="D995" s="2"/>
      <c r="E995" s="2"/>
      <c r="F995" s="19"/>
      <c r="G995" s="2"/>
      <c r="H995" s="2"/>
      <c r="I995" s="2"/>
      <c r="J995" s="2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E995" s="20"/>
    </row>
    <row r="996" spans="2:31" x14ac:dyDescent="0.25">
      <c r="B996" s="2"/>
      <c r="C996" s="19"/>
      <c r="D996" s="2"/>
      <c r="E996" s="2"/>
      <c r="F996" s="19"/>
      <c r="G996" s="2"/>
      <c r="H996" s="2"/>
      <c r="I996" s="2"/>
      <c r="J996" s="2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E996" s="20"/>
    </row>
    <row r="997" spans="2:31" x14ac:dyDescent="0.25">
      <c r="B997" s="2"/>
      <c r="C997" s="19"/>
      <c r="D997" s="2"/>
      <c r="E997" s="2"/>
      <c r="F997" s="19"/>
      <c r="G997" s="2"/>
      <c r="H997" s="2"/>
      <c r="I997" s="2"/>
      <c r="J997" s="2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E997" s="20"/>
    </row>
    <row r="998" spans="2:31" x14ac:dyDescent="0.25">
      <c r="B998" s="2"/>
      <c r="C998" s="19"/>
      <c r="D998" s="2"/>
      <c r="E998" s="2"/>
      <c r="F998" s="19"/>
      <c r="G998" s="2"/>
      <c r="H998" s="2"/>
      <c r="I998" s="2"/>
      <c r="J998" s="2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E998" s="20"/>
    </row>
    <row r="999" spans="2:31" x14ac:dyDescent="0.25">
      <c r="B999" s="2"/>
      <c r="C999" s="19"/>
      <c r="D999" s="2"/>
      <c r="E999" s="2"/>
      <c r="F999" s="19"/>
      <c r="G999" s="2"/>
      <c r="H999" s="2"/>
      <c r="I999" s="2"/>
      <c r="J999" s="2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E999" s="20"/>
    </row>
    <row r="1000" spans="2:31" x14ac:dyDescent="0.25">
      <c r="B1000" s="2"/>
      <c r="C1000" s="19"/>
      <c r="D1000" s="2"/>
      <c r="E1000" s="2"/>
      <c r="F1000" s="19"/>
      <c r="G1000" s="2"/>
      <c r="H1000" s="2"/>
      <c r="I1000" s="2"/>
      <c r="J1000" s="2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E1000" s="20"/>
    </row>
    <row r="1001" spans="2:31" x14ac:dyDescent="0.25">
      <c r="B1001" s="2"/>
      <c r="C1001" s="19"/>
      <c r="D1001" s="2"/>
      <c r="E1001" s="2"/>
      <c r="F1001" s="19"/>
      <c r="G1001" s="2"/>
      <c r="H1001" s="2"/>
      <c r="I1001" s="2"/>
      <c r="J1001" s="2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E1001" s="20"/>
    </row>
    <row r="1002" spans="2:31" x14ac:dyDescent="0.25">
      <c r="B1002" s="2"/>
      <c r="C1002" s="19"/>
      <c r="D1002" s="2"/>
      <c r="E1002" s="2"/>
      <c r="F1002" s="19"/>
      <c r="G1002" s="2"/>
      <c r="H1002" s="2"/>
      <c r="I1002" s="2"/>
      <c r="J1002" s="2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E1002" s="20"/>
    </row>
    <row r="1003" spans="2:31" x14ac:dyDescent="0.25">
      <c r="B1003" s="2"/>
      <c r="C1003" s="19"/>
      <c r="D1003" s="2"/>
      <c r="E1003" s="2"/>
      <c r="F1003" s="19"/>
      <c r="G1003" s="2"/>
      <c r="H1003" s="2"/>
      <c r="I1003" s="2"/>
      <c r="J1003" s="2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E1003" s="20"/>
    </row>
    <row r="1004" spans="2:31" x14ac:dyDescent="0.25">
      <c r="B1004" s="2"/>
      <c r="C1004" s="19"/>
      <c r="D1004" s="2"/>
      <c r="E1004" s="2"/>
      <c r="F1004" s="19"/>
      <c r="G1004" s="2"/>
      <c r="H1004" s="2"/>
      <c r="I1004" s="2"/>
      <c r="J1004" s="2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E1004" s="20"/>
    </row>
    <row r="1005" spans="2:31" x14ac:dyDescent="0.25">
      <c r="B1005" s="2"/>
      <c r="C1005" s="19"/>
      <c r="D1005" s="2"/>
      <c r="E1005" s="2"/>
      <c r="F1005" s="19"/>
      <c r="G1005" s="2"/>
      <c r="H1005" s="2"/>
      <c r="I1005" s="2"/>
      <c r="J1005" s="2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E1005" s="20"/>
    </row>
    <row r="1006" spans="2:31" x14ac:dyDescent="0.25">
      <c r="B1006" s="2"/>
      <c r="C1006" s="19"/>
      <c r="D1006" s="2"/>
      <c r="E1006" s="2"/>
      <c r="F1006" s="19"/>
      <c r="G1006" s="2"/>
      <c r="H1006" s="2"/>
      <c r="I1006" s="2"/>
      <c r="J1006" s="2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E1006" s="20"/>
    </row>
    <row r="1007" spans="2:31" x14ac:dyDescent="0.25">
      <c r="B1007" s="2"/>
      <c r="C1007" s="19"/>
      <c r="D1007" s="2"/>
      <c r="E1007" s="2"/>
      <c r="F1007" s="19"/>
      <c r="G1007" s="2"/>
      <c r="H1007" s="2"/>
      <c r="I1007" s="2"/>
      <c r="J1007" s="2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E1007" s="20"/>
    </row>
    <row r="1008" spans="2:31" x14ac:dyDescent="0.25">
      <c r="B1008" s="2"/>
      <c r="C1008" s="19"/>
      <c r="D1008" s="2"/>
      <c r="E1008" s="2"/>
      <c r="F1008" s="19"/>
      <c r="G1008" s="2"/>
      <c r="H1008" s="2"/>
      <c r="I1008" s="2"/>
      <c r="J1008" s="2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E1008" s="20"/>
    </row>
    <row r="1009" spans="2:31" x14ac:dyDescent="0.25">
      <c r="B1009" s="2"/>
      <c r="C1009" s="19"/>
      <c r="D1009" s="2"/>
      <c r="E1009" s="2"/>
      <c r="F1009" s="19"/>
      <c r="G1009" s="2"/>
      <c r="H1009" s="2"/>
      <c r="I1009" s="2"/>
      <c r="J1009" s="2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E1009" s="20"/>
    </row>
    <row r="1010" spans="2:31" x14ac:dyDescent="0.25">
      <c r="B1010" s="2"/>
      <c r="C1010" s="19"/>
      <c r="D1010" s="2"/>
      <c r="E1010" s="2"/>
      <c r="F1010" s="19"/>
      <c r="G1010" s="2"/>
      <c r="H1010" s="2"/>
      <c r="I1010" s="2"/>
      <c r="J1010" s="2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E1010" s="20"/>
    </row>
    <row r="1011" spans="2:31" x14ac:dyDescent="0.25">
      <c r="B1011" s="2"/>
      <c r="C1011" s="19"/>
      <c r="D1011" s="2"/>
      <c r="E1011" s="2"/>
      <c r="F1011" s="19"/>
      <c r="G1011" s="2"/>
      <c r="H1011" s="2"/>
      <c r="I1011" s="2"/>
      <c r="J1011" s="2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E1011" s="20"/>
    </row>
    <row r="1012" spans="2:31" x14ac:dyDescent="0.25">
      <c r="B1012" s="2"/>
      <c r="C1012" s="19"/>
      <c r="D1012" s="2"/>
      <c r="E1012" s="2"/>
      <c r="F1012" s="19"/>
      <c r="G1012" s="2"/>
      <c r="H1012" s="2"/>
      <c r="I1012" s="2"/>
      <c r="J1012" s="2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E1012" s="20"/>
    </row>
    <row r="1013" spans="2:31" x14ac:dyDescent="0.25">
      <c r="B1013" s="2"/>
      <c r="C1013" s="19"/>
      <c r="D1013" s="2"/>
      <c r="E1013" s="2"/>
      <c r="F1013" s="19"/>
      <c r="G1013" s="2"/>
      <c r="H1013" s="2"/>
      <c r="I1013" s="2"/>
      <c r="J1013" s="2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E1013" s="20"/>
    </row>
    <row r="1014" spans="2:31" x14ac:dyDescent="0.25">
      <c r="B1014" s="2"/>
      <c r="C1014" s="19"/>
      <c r="D1014" s="2"/>
      <c r="E1014" s="2"/>
      <c r="F1014" s="19"/>
      <c r="G1014" s="2"/>
      <c r="H1014" s="2"/>
      <c r="I1014" s="2"/>
      <c r="J1014" s="2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E1014" s="20"/>
    </row>
    <row r="1015" spans="2:31" x14ac:dyDescent="0.25">
      <c r="B1015" s="2"/>
      <c r="C1015" s="19"/>
      <c r="D1015" s="2"/>
      <c r="E1015" s="2"/>
      <c r="F1015" s="19"/>
      <c r="G1015" s="2"/>
      <c r="H1015" s="2"/>
      <c r="I1015" s="2"/>
      <c r="J1015" s="2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E1015" s="20"/>
    </row>
    <row r="1016" spans="2:31" x14ac:dyDescent="0.25">
      <c r="B1016" s="2"/>
      <c r="C1016" s="19"/>
      <c r="D1016" s="2"/>
      <c r="E1016" s="2"/>
      <c r="F1016" s="19"/>
      <c r="G1016" s="2"/>
      <c r="H1016" s="2"/>
      <c r="I1016" s="2"/>
      <c r="J1016" s="2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E1016" s="20"/>
    </row>
    <row r="1017" spans="2:31" x14ac:dyDescent="0.25">
      <c r="B1017" s="2"/>
      <c r="C1017" s="19"/>
      <c r="D1017" s="2"/>
      <c r="E1017" s="2"/>
      <c r="F1017" s="19"/>
      <c r="G1017" s="2"/>
      <c r="H1017" s="2"/>
      <c r="I1017" s="2"/>
      <c r="J1017" s="2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E1017" s="20"/>
    </row>
    <row r="1018" spans="2:31" x14ac:dyDescent="0.25">
      <c r="B1018" s="2"/>
      <c r="C1018" s="19"/>
      <c r="D1018" s="2"/>
      <c r="E1018" s="2"/>
      <c r="F1018" s="19"/>
      <c r="G1018" s="2"/>
      <c r="H1018" s="2"/>
      <c r="I1018" s="2"/>
      <c r="J1018" s="2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E1018" s="20"/>
    </row>
    <row r="1019" spans="2:31" x14ac:dyDescent="0.25">
      <c r="B1019" s="2"/>
      <c r="C1019" s="19"/>
      <c r="D1019" s="2"/>
      <c r="E1019" s="2"/>
      <c r="F1019" s="19"/>
      <c r="G1019" s="2"/>
      <c r="H1019" s="2"/>
      <c r="I1019" s="2"/>
      <c r="J1019" s="2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E1019" s="20"/>
    </row>
    <row r="1020" spans="2:31" x14ac:dyDescent="0.25">
      <c r="B1020" s="2"/>
      <c r="C1020" s="19"/>
      <c r="D1020" s="2"/>
      <c r="E1020" s="2"/>
      <c r="F1020" s="19"/>
      <c r="G1020" s="2"/>
      <c r="H1020" s="2"/>
      <c r="I1020" s="2"/>
      <c r="J1020" s="2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E1020" s="20"/>
    </row>
    <row r="1021" spans="2:31" x14ac:dyDescent="0.25">
      <c r="B1021" s="2"/>
      <c r="C1021" s="19"/>
      <c r="D1021" s="2"/>
      <c r="E1021" s="2"/>
      <c r="F1021" s="19"/>
      <c r="G1021" s="2"/>
      <c r="H1021" s="2"/>
      <c r="I1021" s="2"/>
      <c r="J1021" s="2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E1021" s="20"/>
    </row>
    <row r="1022" spans="2:31" x14ac:dyDescent="0.25">
      <c r="B1022" s="2"/>
      <c r="C1022" s="19"/>
      <c r="D1022" s="2"/>
      <c r="E1022" s="2"/>
      <c r="F1022" s="19"/>
      <c r="G1022" s="2"/>
      <c r="H1022" s="2"/>
      <c r="I1022" s="2"/>
      <c r="J1022" s="2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E1022" s="20"/>
    </row>
    <row r="1023" spans="2:31" x14ac:dyDescent="0.25">
      <c r="B1023" s="2"/>
      <c r="C1023" s="19"/>
      <c r="D1023" s="2"/>
      <c r="E1023" s="2"/>
      <c r="F1023" s="19"/>
      <c r="G1023" s="2"/>
      <c r="H1023" s="2"/>
      <c r="I1023" s="2"/>
      <c r="J1023" s="2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E1023" s="20"/>
    </row>
    <row r="1024" spans="2:31" x14ac:dyDescent="0.25">
      <c r="B1024" s="2"/>
      <c r="C1024" s="19"/>
      <c r="D1024" s="2"/>
      <c r="E1024" s="2"/>
      <c r="F1024" s="19"/>
      <c r="G1024" s="2"/>
      <c r="H1024" s="2"/>
      <c r="I1024" s="2"/>
      <c r="J1024" s="2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E1024" s="20"/>
    </row>
    <row r="1025" spans="2:31" x14ac:dyDescent="0.25">
      <c r="B1025" s="2"/>
      <c r="C1025" s="19"/>
      <c r="D1025" s="2"/>
      <c r="E1025" s="2"/>
      <c r="F1025" s="19"/>
      <c r="G1025" s="2"/>
      <c r="H1025" s="2"/>
      <c r="I1025" s="2"/>
      <c r="J1025" s="2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E1025" s="20"/>
    </row>
    <row r="1026" spans="2:31" x14ac:dyDescent="0.25">
      <c r="B1026" s="2"/>
      <c r="C1026" s="19"/>
      <c r="D1026" s="2"/>
      <c r="E1026" s="2"/>
      <c r="F1026" s="19"/>
      <c r="G1026" s="2"/>
      <c r="H1026" s="2"/>
      <c r="I1026" s="2"/>
      <c r="J1026" s="2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E1026" s="20"/>
    </row>
    <row r="1027" spans="2:31" x14ac:dyDescent="0.25">
      <c r="B1027" s="2"/>
      <c r="C1027" s="19"/>
      <c r="D1027" s="2"/>
      <c r="E1027" s="2"/>
      <c r="F1027" s="19"/>
      <c r="G1027" s="2"/>
      <c r="H1027" s="2"/>
      <c r="I1027" s="2"/>
      <c r="J1027" s="2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E1027" s="20"/>
    </row>
    <row r="1028" spans="2:31" x14ac:dyDescent="0.25">
      <c r="B1028" s="2"/>
      <c r="C1028" s="19"/>
      <c r="D1028" s="2"/>
      <c r="E1028" s="2"/>
      <c r="F1028" s="19"/>
      <c r="G1028" s="2"/>
      <c r="H1028" s="2"/>
      <c r="I1028" s="2"/>
      <c r="J1028" s="2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E1028" s="20"/>
    </row>
    <row r="1029" spans="2:31" x14ac:dyDescent="0.25">
      <c r="B1029" s="2"/>
      <c r="C1029" s="19"/>
      <c r="D1029" s="2"/>
      <c r="E1029" s="2"/>
      <c r="F1029" s="19"/>
      <c r="G1029" s="2"/>
      <c r="H1029" s="2"/>
      <c r="I1029" s="2"/>
      <c r="J1029" s="2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E1029" s="20"/>
    </row>
    <row r="1030" spans="2:31" x14ac:dyDescent="0.25">
      <c r="B1030" s="2"/>
      <c r="C1030" s="19"/>
      <c r="D1030" s="2"/>
      <c r="E1030" s="2"/>
      <c r="F1030" s="19"/>
      <c r="G1030" s="2"/>
      <c r="H1030" s="2"/>
      <c r="I1030" s="2"/>
      <c r="J1030" s="2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E1030" s="20"/>
    </row>
    <row r="1031" spans="2:31" x14ac:dyDescent="0.25">
      <c r="B1031" s="2"/>
      <c r="C1031" s="19"/>
      <c r="D1031" s="2"/>
      <c r="E1031" s="2"/>
      <c r="F1031" s="19"/>
      <c r="G1031" s="2"/>
      <c r="H1031" s="2"/>
      <c r="I1031" s="2"/>
      <c r="J1031" s="2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E1031" s="20"/>
    </row>
    <row r="1032" spans="2:31" x14ac:dyDescent="0.25">
      <c r="B1032" s="2"/>
      <c r="C1032" s="19"/>
      <c r="D1032" s="2"/>
      <c r="E1032" s="2"/>
      <c r="F1032" s="19"/>
      <c r="G1032" s="2"/>
      <c r="H1032" s="2"/>
      <c r="I1032" s="2"/>
      <c r="J1032" s="2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E1032" s="20"/>
    </row>
    <row r="1033" spans="2:31" x14ac:dyDescent="0.25">
      <c r="B1033" s="2"/>
      <c r="C1033" s="19"/>
      <c r="D1033" s="2"/>
      <c r="E1033" s="2"/>
      <c r="F1033" s="19"/>
      <c r="G1033" s="2"/>
      <c r="H1033" s="2"/>
      <c r="I1033" s="2"/>
      <c r="J1033" s="2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E1033" s="20"/>
    </row>
    <row r="1034" spans="2:31" x14ac:dyDescent="0.25">
      <c r="B1034" s="2"/>
      <c r="C1034" s="19"/>
      <c r="D1034" s="2"/>
      <c r="E1034" s="2"/>
      <c r="F1034" s="19"/>
      <c r="G1034" s="2"/>
      <c r="H1034" s="2"/>
      <c r="I1034" s="2"/>
      <c r="J1034" s="2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  <c r="AE1034" s="20"/>
    </row>
    <row r="1035" spans="2:31" x14ac:dyDescent="0.25">
      <c r="B1035" s="2"/>
      <c r="C1035" s="19"/>
      <c r="D1035" s="2"/>
      <c r="E1035" s="2"/>
      <c r="F1035" s="19"/>
      <c r="G1035" s="2"/>
      <c r="H1035" s="2"/>
      <c r="I1035" s="2"/>
      <c r="J1035" s="2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  <c r="AE1035" s="20"/>
    </row>
    <row r="1036" spans="2:31" x14ac:dyDescent="0.25">
      <c r="B1036" s="2"/>
      <c r="C1036" s="19"/>
      <c r="D1036" s="2"/>
      <c r="E1036" s="2"/>
      <c r="F1036" s="19"/>
      <c r="G1036" s="2"/>
      <c r="H1036" s="2"/>
      <c r="I1036" s="2"/>
      <c r="J1036" s="2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  <c r="AE1036" s="20"/>
    </row>
    <row r="1037" spans="2:31" x14ac:dyDescent="0.25">
      <c r="B1037" s="2"/>
      <c r="C1037" s="19"/>
      <c r="D1037" s="2"/>
      <c r="E1037" s="2"/>
      <c r="F1037" s="19"/>
      <c r="G1037" s="2"/>
      <c r="H1037" s="2"/>
      <c r="I1037" s="2"/>
      <c r="J1037" s="2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  <c r="AA1037" s="20"/>
      <c r="AB1037" s="20"/>
      <c r="AC1037" s="20"/>
      <c r="AD1037" s="20"/>
      <c r="AE1037" s="20"/>
    </row>
    <row r="1038" spans="2:31" x14ac:dyDescent="0.25">
      <c r="B1038" s="2"/>
      <c r="C1038" s="19"/>
      <c r="D1038" s="2"/>
      <c r="E1038" s="2"/>
      <c r="F1038" s="19"/>
      <c r="G1038" s="2"/>
      <c r="H1038" s="2"/>
      <c r="I1038" s="2"/>
      <c r="J1038" s="2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  <c r="AA1038" s="20"/>
      <c r="AB1038" s="20"/>
      <c r="AC1038" s="20"/>
      <c r="AD1038" s="20"/>
      <c r="AE1038" s="20"/>
    </row>
    <row r="1039" spans="2:31" x14ac:dyDescent="0.25">
      <c r="B1039" s="2"/>
      <c r="C1039" s="19"/>
      <c r="D1039" s="2"/>
      <c r="E1039" s="2"/>
      <c r="F1039" s="19"/>
      <c r="G1039" s="2"/>
      <c r="H1039" s="2"/>
      <c r="I1039" s="2"/>
      <c r="J1039" s="2"/>
      <c r="L1039" s="20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  <c r="AA1039" s="20"/>
      <c r="AB1039" s="20"/>
      <c r="AC1039" s="20"/>
      <c r="AD1039" s="20"/>
      <c r="AE1039" s="20"/>
    </row>
    <row r="1040" spans="2:31" x14ac:dyDescent="0.25">
      <c r="B1040" s="2"/>
      <c r="C1040" s="19"/>
      <c r="D1040" s="2"/>
      <c r="E1040" s="2"/>
      <c r="F1040" s="19"/>
      <c r="G1040" s="2"/>
      <c r="H1040" s="2"/>
      <c r="I1040" s="2"/>
      <c r="J1040" s="2"/>
      <c r="L1040" s="2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  <c r="AA1040" s="20"/>
      <c r="AB1040" s="20"/>
      <c r="AC1040" s="20"/>
      <c r="AD1040" s="20"/>
      <c r="AE1040" s="20"/>
    </row>
    <row r="1041" spans="2:31" x14ac:dyDescent="0.25">
      <c r="B1041" s="2"/>
      <c r="C1041" s="19"/>
      <c r="D1041" s="2"/>
      <c r="E1041" s="2"/>
      <c r="F1041" s="19"/>
      <c r="G1041" s="2"/>
      <c r="H1041" s="2"/>
      <c r="I1041" s="2"/>
      <c r="J1041" s="2"/>
      <c r="L1041" s="20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  <c r="AA1041" s="20"/>
      <c r="AB1041" s="20"/>
      <c r="AC1041" s="20"/>
      <c r="AD1041" s="20"/>
      <c r="AE1041" s="20"/>
    </row>
    <row r="1042" spans="2:31" x14ac:dyDescent="0.25">
      <c r="B1042" s="2"/>
      <c r="C1042" s="19"/>
      <c r="D1042" s="2"/>
      <c r="E1042" s="2"/>
      <c r="F1042" s="19"/>
      <c r="G1042" s="2"/>
      <c r="H1042" s="2"/>
      <c r="I1042" s="2"/>
      <c r="J1042" s="2"/>
      <c r="L1042" s="2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  <c r="AA1042" s="20"/>
      <c r="AB1042" s="20"/>
      <c r="AC1042" s="20"/>
      <c r="AD1042" s="20"/>
      <c r="AE1042" s="20"/>
    </row>
    <row r="1043" spans="2:31" x14ac:dyDescent="0.25">
      <c r="B1043" s="2"/>
      <c r="C1043" s="19"/>
      <c r="D1043" s="2"/>
      <c r="E1043" s="2"/>
      <c r="F1043" s="19"/>
      <c r="G1043" s="2"/>
      <c r="H1043" s="2"/>
      <c r="I1043" s="2"/>
      <c r="J1043" s="2"/>
      <c r="L1043" s="20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  <c r="AA1043" s="20"/>
      <c r="AB1043" s="20"/>
      <c r="AC1043" s="20"/>
      <c r="AD1043" s="20"/>
      <c r="AE1043" s="20"/>
    </row>
    <row r="1044" spans="2:31" x14ac:dyDescent="0.25">
      <c r="B1044" s="2"/>
      <c r="C1044" s="19"/>
      <c r="D1044" s="2"/>
      <c r="E1044" s="2"/>
      <c r="F1044" s="19"/>
      <c r="G1044" s="2"/>
      <c r="H1044" s="2"/>
      <c r="I1044" s="2"/>
      <c r="J1044" s="2"/>
      <c r="L1044" s="20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  <c r="AA1044" s="20"/>
      <c r="AB1044" s="20"/>
      <c r="AC1044" s="20"/>
      <c r="AD1044" s="20"/>
      <c r="AE1044" s="20"/>
    </row>
    <row r="1045" spans="2:31" x14ac:dyDescent="0.25">
      <c r="B1045" s="2"/>
      <c r="C1045" s="19"/>
      <c r="D1045" s="2"/>
      <c r="E1045" s="2"/>
      <c r="F1045" s="19"/>
      <c r="G1045" s="2"/>
      <c r="H1045" s="2"/>
      <c r="I1045" s="2"/>
      <c r="J1045" s="2"/>
      <c r="L1045" s="20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  <c r="AA1045" s="20"/>
      <c r="AB1045" s="20"/>
      <c r="AC1045" s="20"/>
      <c r="AD1045" s="20"/>
      <c r="AE1045" s="20"/>
    </row>
    <row r="1046" spans="2:31" x14ac:dyDescent="0.25">
      <c r="B1046" s="2"/>
      <c r="C1046" s="19"/>
      <c r="D1046" s="2"/>
      <c r="E1046" s="2"/>
      <c r="F1046" s="19"/>
      <c r="G1046" s="2"/>
      <c r="H1046" s="2"/>
      <c r="I1046" s="2"/>
      <c r="J1046" s="2"/>
      <c r="L1046" s="20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  <c r="AA1046" s="20"/>
      <c r="AB1046" s="20"/>
      <c r="AC1046" s="20"/>
      <c r="AD1046" s="20"/>
      <c r="AE1046" s="20"/>
    </row>
    <row r="1047" spans="2:31" x14ac:dyDescent="0.25">
      <c r="B1047" s="2"/>
      <c r="C1047" s="19"/>
      <c r="D1047" s="2"/>
      <c r="E1047" s="2"/>
      <c r="F1047" s="19"/>
      <c r="G1047" s="2"/>
      <c r="H1047" s="2"/>
      <c r="I1047" s="2"/>
      <c r="J1047" s="2"/>
      <c r="L1047" s="20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  <c r="AA1047" s="20"/>
      <c r="AB1047" s="20"/>
      <c r="AC1047" s="20"/>
      <c r="AD1047" s="20"/>
      <c r="AE1047" s="20"/>
    </row>
    <row r="1048" spans="2:31" x14ac:dyDescent="0.25">
      <c r="B1048" s="2"/>
      <c r="C1048" s="19"/>
      <c r="D1048" s="2"/>
      <c r="E1048" s="2"/>
      <c r="F1048" s="19"/>
      <c r="G1048" s="2"/>
      <c r="H1048" s="2"/>
      <c r="I1048" s="2"/>
      <c r="J1048" s="2"/>
      <c r="L1048" s="20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  <c r="AA1048" s="20"/>
      <c r="AB1048" s="20"/>
      <c r="AC1048" s="20"/>
      <c r="AD1048" s="20"/>
      <c r="AE1048" s="20"/>
    </row>
    <row r="1049" spans="2:31" x14ac:dyDescent="0.25">
      <c r="B1049" s="2"/>
      <c r="C1049" s="19"/>
      <c r="D1049" s="2"/>
      <c r="E1049" s="2"/>
      <c r="F1049" s="19"/>
      <c r="G1049" s="2"/>
      <c r="H1049" s="2"/>
      <c r="I1049" s="2"/>
      <c r="J1049" s="2"/>
      <c r="L1049" s="20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  <c r="AA1049" s="20"/>
      <c r="AB1049" s="20"/>
      <c r="AC1049" s="20"/>
      <c r="AD1049" s="20"/>
      <c r="AE1049" s="20"/>
    </row>
    <row r="1050" spans="2:31" x14ac:dyDescent="0.25">
      <c r="B1050" s="2"/>
      <c r="C1050" s="19"/>
      <c r="D1050" s="2"/>
      <c r="E1050" s="2"/>
      <c r="F1050" s="19"/>
      <c r="G1050" s="2"/>
      <c r="H1050" s="2"/>
      <c r="I1050" s="2"/>
      <c r="J1050" s="2"/>
      <c r="L1050" s="20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  <c r="AA1050" s="20"/>
      <c r="AB1050" s="20"/>
      <c r="AC1050" s="20"/>
      <c r="AD1050" s="20"/>
      <c r="AE1050" s="20"/>
    </row>
    <row r="1051" spans="2:31" x14ac:dyDescent="0.25">
      <c r="B1051" s="2"/>
      <c r="C1051" s="19"/>
      <c r="D1051" s="2"/>
      <c r="E1051" s="2"/>
      <c r="F1051" s="19"/>
      <c r="G1051" s="2"/>
      <c r="H1051" s="2"/>
      <c r="I1051" s="2"/>
      <c r="J1051" s="2"/>
      <c r="L1051" s="20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  <c r="AA1051" s="20"/>
      <c r="AB1051" s="20"/>
      <c r="AC1051" s="20"/>
      <c r="AD1051" s="20"/>
      <c r="AE1051" s="20"/>
    </row>
    <row r="1052" spans="2:31" x14ac:dyDescent="0.25">
      <c r="B1052" s="2"/>
      <c r="C1052" s="19"/>
      <c r="D1052" s="2"/>
      <c r="E1052" s="2"/>
      <c r="F1052" s="19"/>
      <c r="G1052" s="2"/>
      <c r="H1052" s="2"/>
      <c r="I1052" s="2"/>
      <c r="J1052" s="2"/>
      <c r="L1052" s="20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  <c r="AA1052" s="20"/>
      <c r="AB1052" s="20"/>
      <c r="AC1052" s="20"/>
      <c r="AD1052" s="20"/>
      <c r="AE1052" s="20"/>
    </row>
    <row r="1053" spans="2:31" x14ac:dyDescent="0.25">
      <c r="B1053" s="2"/>
      <c r="C1053" s="19"/>
      <c r="D1053" s="2"/>
      <c r="E1053" s="2"/>
      <c r="F1053" s="19"/>
      <c r="G1053" s="2"/>
      <c r="H1053" s="2"/>
      <c r="I1053" s="2"/>
      <c r="J1053" s="2"/>
      <c r="L1053" s="20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  <c r="AA1053" s="20"/>
      <c r="AB1053" s="20"/>
      <c r="AC1053" s="20"/>
      <c r="AD1053" s="20"/>
      <c r="AE1053" s="20"/>
    </row>
    <row r="1054" spans="2:31" x14ac:dyDescent="0.25">
      <c r="B1054" s="2"/>
      <c r="C1054" s="19"/>
      <c r="D1054" s="2"/>
      <c r="E1054" s="2"/>
      <c r="F1054" s="19"/>
      <c r="G1054" s="2"/>
      <c r="H1054" s="2"/>
      <c r="I1054" s="2"/>
      <c r="J1054" s="2"/>
      <c r="L1054" s="20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  <c r="AA1054" s="20"/>
      <c r="AB1054" s="20"/>
      <c r="AC1054" s="20"/>
      <c r="AD1054" s="20"/>
      <c r="AE1054" s="20"/>
    </row>
    <row r="1055" spans="2:31" x14ac:dyDescent="0.25">
      <c r="B1055" s="2"/>
      <c r="C1055" s="19"/>
      <c r="D1055" s="2"/>
      <c r="E1055" s="2"/>
      <c r="F1055" s="19"/>
      <c r="G1055" s="2"/>
      <c r="H1055" s="2"/>
      <c r="I1055" s="2"/>
      <c r="J1055" s="2"/>
      <c r="L1055" s="20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  <c r="AA1055" s="20"/>
      <c r="AB1055" s="20"/>
      <c r="AC1055" s="20"/>
      <c r="AD1055" s="20"/>
      <c r="AE1055" s="20"/>
    </row>
    <row r="1056" spans="2:31" x14ac:dyDescent="0.25">
      <c r="B1056" s="2"/>
      <c r="C1056" s="19"/>
      <c r="D1056" s="2"/>
      <c r="E1056" s="2"/>
      <c r="F1056" s="19"/>
      <c r="G1056" s="2"/>
      <c r="H1056" s="2"/>
      <c r="I1056" s="2"/>
      <c r="J1056" s="2"/>
      <c r="L1056" s="20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  <c r="AA1056" s="20"/>
      <c r="AB1056" s="20"/>
      <c r="AC1056" s="20"/>
      <c r="AD1056" s="20"/>
      <c r="AE1056" s="20"/>
    </row>
    <row r="1057" spans="2:31" x14ac:dyDescent="0.25">
      <c r="B1057" s="2"/>
      <c r="C1057" s="19"/>
      <c r="D1057" s="2"/>
      <c r="E1057" s="2"/>
      <c r="F1057" s="19"/>
      <c r="G1057" s="2"/>
      <c r="H1057" s="2"/>
      <c r="I1057" s="2"/>
      <c r="J1057" s="2"/>
      <c r="L1057" s="20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  <c r="AA1057" s="20"/>
      <c r="AB1057" s="20"/>
      <c r="AC1057" s="20"/>
      <c r="AD1057" s="20"/>
      <c r="AE1057" s="20"/>
    </row>
    <row r="1058" spans="2:31" x14ac:dyDescent="0.25">
      <c r="B1058" s="2"/>
      <c r="C1058" s="19"/>
      <c r="D1058" s="2"/>
      <c r="E1058" s="2"/>
      <c r="F1058" s="19"/>
      <c r="G1058" s="2"/>
      <c r="H1058" s="2"/>
      <c r="I1058" s="2"/>
      <c r="J1058" s="2"/>
      <c r="L1058" s="20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  <c r="AA1058" s="20"/>
      <c r="AB1058" s="20"/>
      <c r="AC1058" s="20"/>
      <c r="AD1058" s="20"/>
      <c r="AE1058" s="20"/>
    </row>
    <row r="1059" spans="2:31" x14ac:dyDescent="0.25">
      <c r="B1059" s="2"/>
      <c r="C1059" s="19"/>
      <c r="D1059" s="2"/>
      <c r="E1059" s="2"/>
      <c r="F1059" s="19"/>
      <c r="G1059" s="2"/>
      <c r="H1059" s="2"/>
      <c r="I1059" s="2"/>
      <c r="J1059" s="2"/>
      <c r="L1059" s="20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  <c r="AA1059" s="20"/>
      <c r="AB1059" s="20"/>
      <c r="AC1059" s="20"/>
      <c r="AD1059" s="20"/>
      <c r="AE1059" s="20"/>
    </row>
    <row r="1060" spans="2:31" x14ac:dyDescent="0.25">
      <c r="B1060" s="2"/>
      <c r="C1060" s="19"/>
      <c r="D1060" s="2"/>
      <c r="E1060" s="2"/>
      <c r="F1060" s="19"/>
      <c r="G1060" s="2"/>
      <c r="H1060" s="2"/>
      <c r="I1060" s="2"/>
      <c r="J1060" s="2"/>
      <c r="L1060" s="20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  <c r="AA1060" s="20"/>
      <c r="AB1060" s="20"/>
      <c r="AC1060" s="20"/>
      <c r="AD1060" s="20"/>
      <c r="AE1060" s="20"/>
    </row>
    <row r="1061" spans="2:31" x14ac:dyDescent="0.25">
      <c r="B1061" s="2"/>
      <c r="C1061" s="19"/>
      <c r="D1061" s="2"/>
      <c r="E1061" s="2"/>
      <c r="F1061" s="19"/>
      <c r="G1061" s="2"/>
      <c r="H1061" s="2"/>
      <c r="I1061" s="2"/>
      <c r="J1061" s="2"/>
      <c r="L1061" s="20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  <c r="AA1061" s="20"/>
      <c r="AB1061" s="20"/>
      <c r="AC1061" s="20"/>
      <c r="AD1061" s="20"/>
      <c r="AE1061" s="20"/>
    </row>
    <row r="1062" spans="2:31" x14ac:dyDescent="0.25">
      <c r="B1062" s="2"/>
      <c r="C1062" s="19"/>
      <c r="D1062" s="2"/>
      <c r="E1062" s="2"/>
      <c r="F1062" s="19"/>
      <c r="G1062" s="2"/>
      <c r="H1062" s="2"/>
      <c r="I1062" s="2"/>
      <c r="J1062" s="2"/>
      <c r="L1062" s="20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  <c r="AA1062" s="20"/>
      <c r="AB1062" s="20"/>
      <c r="AC1062" s="20"/>
      <c r="AD1062" s="20"/>
      <c r="AE1062" s="20"/>
    </row>
    <row r="1063" spans="2:31" x14ac:dyDescent="0.25">
      <c r="B1063" s="2"/>
      <c r="C1063" s="19"/>
      <c r="D1063" s="2"/>
      <c r="E1063" s="2"/>
      <c r="F1063" s="19"/>
      <c r="G1063" s="2"/>
      <c r="H1063" s="2"/>
      <c r="I1063" s="2"/>
      <c r="J1063" s="2"/>
      <c r="L1063" s="20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  <c r="AA1063" s="20"/>
      <c r="AB1063" s="20"/>
      <c r="AC1063" s="20"/>
      <c r="AD1063" s="20"/>
      <c r="AE1063" s="20"/>
    </row>
    <row r="1064" spans="2:31" x14ac:dyDescent="0.25">
      <c r="B1064" s="2"/>
      <c r="C1064" s="19"/>
      <c r="D1064" s="2"/>
      <c r="E1064" s="2"/>
      <c r="F1064" s="19"/>
      <c r="G1064" s="2"/>
      <c r="H1064" s="2"/>
      <c r="I1064" s="2"/>
      <c r="J1064" s="2"/>
      <c r="L1064" s="20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  <c r="AA1064" s="20"/>
      <c r="AB1064" s="20"/>
      <c r="AC1064" s="20"/>
      <c r="AD1064" s="20"/>
      <c r="AE1064" s="20"/>
    </row>
    <row r="1065" spans="2:31" x14ac:dyDescent="0.25">
      <c r="B1065" s="2"/>
      <c r="C1065" s="19"/>
      <c r="D1065" s="2"/>
      <c r="E1065" s="2"/>
      <c r="F1065" s="19"/>
      <c r="G1065" s="2"/>
      <c r="H1065" s="2"/>
      <c r="I1065" s="2"/>
      <c r="J1065" s="2"/>
      <c r="L1065" s="20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  <c r="AA1065" s="20"/>
      <c r="AB1065" s="20"/>
      <c r="AC1065" s="20"/>
      <c r="AD1065" s="20"/>
      <c r="AE1065" s="20"/>
    </row>
    <row r="1066" spans="2:31" x14ac:dyDescent="0.25">
      <c r="B1066" s="2"/>
      <c r="C1066" s="19"/>
      <c r="D1066" s="2"/>
      <c r="E1066" s="2"/>
      <c r="F1066" s="19"/>
      <c r="G1066" s="2"/>
      <c r="H1066" s="2"/>
      <c r="I1066" s="2"/>
      <c r="J1066" s="2"/>
      <c r="L1066" s="20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  <c r="AA1066" s="20"/>
      <c r="AB1066" s="20"/>
      <c r="AC1066" s="20"/>
      <c r="AD1066" s="20"/>
      <c r="AE1066" s="20"/>
    </row>
    <row r="1067" spans="2:31" x14ac:dyDescent="0.25">
      <c r="B1067" s="2"/>
      <c r="C1067" s="19"/>
      <c r="D1067" s="2"/>
      <c r="E1067" s="2"/>
      <c r="F1067" s="19"/>
      <c r="G1067" s="2"/>
      <c r="H1067" s="2"/>
      <c r="I1067" s="2"/>
      <c r="J1067" s="2"/>
      <c r="L1067" s="20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  <c r="AA1067" s="20"/>
      <c r="AB1067" s="20"/>
      <c r="AC1067" s="20"/>
      <c r="AD1067" s="20"/>
      <c r="AE1067" s="20"/>
    </row>
    <row r="1068" spans="2:31" x14ac:dyDescent="0.25">
      <c r="B1068" s="2"/>
      <c r="C1068" s="19"/>
      <c r="D1068" s="2"/>
      <c r="E1068" s="2"/>
      <c r="F1068" s="19"/>
      <c r="G1068" s="2"/>
      <c r="H1068" s="2"/>
      <c r="I1068" s="2"/>
      <c r="J1068" s="2"/>
      <c r="L1068" s="20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  <c r="AA1068" s="20"/>
      <c r="AB1068" s="20"/>
      <c r="AC1068" s="20"/>
      <c r="AD1068" s="20"/>
      <c r="AE1068" s="20"/>
    </row>
    <row r="1069" spans="2:31" x14ac:dyDescent="0.25">
      <c r="B1069" s="2"/>
      <c r="C1069" s="19"/>
      <c r="D1069" s="2"/>
      <c r="E1069" s="2"/>
      <c r="F1069" s="19"/>
      <c r="G1069" s="2"/>
      <c r="H1069" s="2"/>
      <c r="I1069" s="2"/>
      <c r="J1069" s="2"/>
      <c r="L1069" s="20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  <c r="AA1069" s="20"/>
      <c r="AB1069" s="20"/>
      <c r="AC1069" s="20"/>
      <c r="AD1069" s="20"/>
      <c r="AE1069" s="20"/>
    </row>
    <row r="1070" spans="2:31" x14ac:dyDescent="0.25">
      <c r="B1070" s="2"/>
      <c r="C1070" s="19"/>
      <c r="D1070" s="2"/>
      <c r="E1070" s="2"/>
      <c r="F1070" s="19"/>
      <c r="G1070" s="2"/>
      <c r="H1070" s="2"/>
      <c r="I1070" s="2"/>
      <c r="J1070" s="2"/>
      <c r="L1070" s="20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  <c r="AA1070" s="20"/>
      <c r="AB1070" s="20"/>
      <c r="AC1070" s="20"/>
      <c r="AD1070" s="20"/>
      <c r="AE1070" s="20"/>
    </row>
    <row r="1071" spans="2:31" x14ac:dyDescent="0.25">
      <c r="B1071" s="2"/>
      <c r="C1071" s="19"/>
      <c r="D1071" s="2"/>
      <c r="E1071" s="2"/>
      <c r="F1071" s="19"/>
      <c r="G1071" s="2"/>
      <c r="H1071" s="2"/>
      <c r="I1071" s="2"/>
      <c r="J1071" s="2"/>
      <c r="L1071" s="20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  <c r="AA1071" s="20"/>
      <c r="AB1071" s="20"/>
      <c r="AC1071" s="20"/>
      <c r="AD1071" s="20"/>
      <c r="AE1071" s="20"/>
    </row>
    <row r="1072" spans="2:31" x14ac:dyDescent="0.25">
      <c r="B1072" s="2"/>
      <c r="C1072" s="19"/>
      <c r="D1072" s="2"/>
      <c r="E1072" s="2"/>
      <c r="F1072" s="19"/>
      <c r="G1072" s="2"/>
      <c r="H1072" s="2"/>
      <c r="I1072" s="2"/>
      <c r="J1072" s="2"/>
      <c r="L1072" s="20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  <c r="AA1072" s="20"/>
      <c r="AB1072" s="20"/>
      <c r="AC1072" s="20"/>
      <c r="AD1072" s="20"/>
      <c r="AE1072" s="20"/>
    </row>
    <row r="1073" spans="2:31" x14ac:dyDescent="0.25">
      <c r="B1073" s="2"/>
      <c r="C1073" s="19"/>
      <c r="D1073" s="2"/>
      <c r="E1073" s="2"/>
      <c r="F1073" s="19"/>
      <c r="G1073" s="2"/>
      <c r="H1073" s="2"/>
      <c r="I1073" s="2"/>
      <c r="J1073" s="2"/>
      <c r="L1073" s="20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  <c r="AA1073" s="20"/>
      <c r="AB1073" s="20"/>
      <c r="AC1073" s="20"/>
      <c r="AD1073" s="20"/>
      <c r="AE1073" s="20"/>
    </row>
    <row r="1074" spans="2:31" x14ac:dyDescent="0.25">
      <c r="B1074" s="2"/>
      <c r="C1074" s="19"/>
      <c r="D1074" s="2"/>
      <c r="E1074" s="2"/>
      <c r="F1074" s="19"/>
      <c r="G1074" s="2"/>
      <c r="H1074" s="2"/>
      <c r="I1074" s="2"/>
      <c r="J1074" s="2"/>
      <c r="L1074" s="20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  <c r="AA1074" s="20"/>
      <c r="AB1074" s="20"/>
      <c r="AC1074" s="20"/>
      <c r="AD1074" s="20"/>
      <c r="AE1074" s="20"/>
    </row>
    <row r="1075" spans="2:31" x14ac:dyDescent="0.25">
      <c r="B1075" s="2"/>
      <c r="C1075" s="19"/>
      <c r="D1075" s="2"/>
      <c r="E1075" s="2"/>
      <c r="F1075" s="19"/>
      <c r="G1075" s="2"/>
      <c r="H1075" s="2"/>
      <c r="I1075" s="2"/>
      <c r="J1075" s="2"/>
      <c r="L1075" s="20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  <c r="AA1075" s="20"/>
      <c r="AB1075" s="20"/>
      <c r="AC1075" s="20"/>
      <c r="AD1075" s="20"/>
      <c r="AE1075" s="20"/>
    </row>
    <row r="1076" spans="2:31" x14ac:dyDescent="0.25">
      <c r="B1076" s="2"/>
      <c r="C1076" s="19"/>
      <c r="D1076" s="2"/>
      <c r="E1076" s="2"/>
      <c r="F1076" s="19"/>
      <c r="G1076" s="2"/>
      <c r="H1076" s="2"/>
      <c r="I1076" s="2"/>
      <c r="J1076" s="2"/>
      <c r="L1076" s="20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  <c r="AA1076" s="20"/>
      <c r="AB1076" s="20"/>
      <c r="AC1076" s="20"/>
      <c r="AD1076" s="20"/>
      <c r="AE1076" s="20"/>
    </row>
    <row r="1077" spans="2:31" x14ac:dyDescent="0.25">
      <c r="B1077" s="2"/>
      <c r="C1077" s="19"/>
      <c r="D1077" s="2"/>
      <c r="E1077" s="2"/>
      <c r="F1077" s="19"/>
      <c r="G1077" s="2"/>
      <c r="H1077" s="2"/>
      <c r="I1077" s="2"/>
      <c r="J1077" s="2"/>
      <c r="L1077" s="20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  <c r="AA1077" s="20"/>
      <c r="AB1077" s="20"/>
      <c r="AC1077" s="20"/>
      <c r="AD1077" s="20"/>
      <c r="AE1077" s="20"/>
    </row>
    <row r="1078" spans="2:31" x14ac:dyDescent="0.25">
      <c r="B1078" s="2"/>
      <c r="C1078" s="19"/>
      <c r="D1078" s="2"/>
      <c r="E1078" s="2"/>
      <c r="F1078" s="19"/>
      <c r="G1078" s="2"/>
      <c r="H1078" s="2"/>
      <c r="I1078" s="2"/>
      <c r="J1078" s="2"/>
      <c r="L1078" s="20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  <c r="AA1078" s="20"/>
      <c r="AB1078" s="20"/>
      <c r="AC1078" s="20"/>
      <c r="AD1078" s="20"/>
      <c r="AE1078" s="20"/>
    </row>
    <row r="1079" spans="2:31" x14ac:dyDescent="0.25">
      <c r="B1079" s="2"/>
      <c r="C1079" s="19"/>
      <c r="D1079" s="2"/>
      <c r="E1079" s="2"/>
      <c r="F1079" s="19"/>
      <c r="G1079" s="2"/>
      <c r="H1079" s="2"/>
      <c r="I1079" s="2"/>
      <c r="J1079" s="2"/>
      <c r="L1079" s="20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  <c r="AA1079" s="20"/>
      <c r="AB1079" s="20"/>
      <c r="AC1079" s="20"/>
      <c r="AD1079" s="20"/>
      <c r="AE1079" s="20"/>
    </row>
    <row r="1080" spans="2:31" x14ac:dyDescent="0.25">
      <c r="B1080" s="2"/>
      <c r="C1080" s="19"/>
      <c r="D1080" s="2"/>
      <c r="E1080" s="2"/>
      <c r="F1080" s="19"/>
      <c r="G1080" s="2"/>
      <c r="H1080" s="2"/>
      <c r="I1080" s="2"/>
      <c r="J1080" s="2"/>
      <c r="L1080" s="20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  <c r="AA1080" s="20"/>
      <c r="AB1080" s="20"/>
      <c r="AC1080" s="20"/>
      <c r="AD1080" s="20"/>
      <c r="AE1080" s="20"/>
    </row>
    <row r="1081" spans="2:31" x14ac:dyDescent="0.25">
      <c r="B1081" s="2"/>
      <c r="C1081" s="19"/>
      <c r="D1081" s="2"/>
      <c r="E1081" s="2"/>
      <c r="F1081" s="19"/>
      <c r="G1081" s="2"/>
      <c r="H1081" s="2"/>
      <c r="I1081" s="2"/>
      <c r="J1081" s="2"/>
      <c r="L1081" s="20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  <c r="AA1081" s="20"/>
      <c r="AB1081" s="20"/>
      <c r="AC1081" s="20"/>
      <c r="AD1081" s="20"/>
      <c r="AE1081" s="20"/>
    </row>
    <row r="1082" spans="2:31" x14ac:dyDescent="0.25">
      <c r="B1082" s="2"/>
      <c r="C1082" s="19"/>
      <c r="D1082" s="2"/>
      <c r="E1082" s="2"/>
      <c r="F1082" s="19"/>
      <c r="G1082" s="2"/>
      <c r="H1082" s="2"/>
      <c r="I1082" s="2"/>
      <c r="J1082" s="2"/>
      <c r="L1082" s="20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  <c r="AA1082" s="20"/>
      <c r="AB1082" s="20"/>
      <c r="AC1082" s="20"/>
      <c r="AD1082" s="20"/>
      <c r="AE1082" s="20"/>
    </row>
    <row r="1083" spans="2:31" x14ac:dyDescent="0.25">
      <c r="B1083" s="2"/>
      <c r="C1083" s="19"/>
      <c r="D1083" s="2"/>
      <c r="E1083" s="2"/>
      <c r="F1083" s="19"/>
      <c r="G1083" s="2"/>
      <c r="H1083" s="2"/>
      <c r="I1083" s="2"/>
      <c r="J1083" s="2"/>
      <c r="L1083" s="20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  <c r="AA1083" s="20"/>
      <c r="AB1083" s="20"/>
      <c r="AC1083" s="20"/>
      <c r="AD1083" s="20"/>
      <c r="AE1083" s="20"/>
    </row>
    <row r="1084" spans="2:31" x14ac:dyDescent="0.25">
      <c r="B1084" s="2"/>
      <c r="C1084" s="19"/>
      <c r="D1084" s="2"/>
      <c r="E1084" s="2"/>
      <c r="F1084" s="19"/>
      <c r="G1084" s="2"/>
      <c r="H1084" s="2"/>
      <c r="I1084" s="2"/>
      <c r="J1084" s="2"/>
      <c r="L1084" s="20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  <c r="AA1084" s="20"/>
      <c r="AB1084" s="20"/>
      <c r="AC1084" s="20"/>
      <c r="AD1084" s="20"/>
      <c r="AE1084" s="20"/>
    </row>
    <row r="1085" spans="2:31" x14ac:dyDescent="0.25">
      <c r="B1085" s="2"/>
      <c r="C1085" s="19"/>
      <c r="D1085" s="2"/>
      <c r="E1085" s="2"/>
      <c r="F1085" s="19"/>
      <c r="G1085" s="2"/>
      <c r="H1085" s="2"/>
      <c r="I1085" s="2"/>
      <c r="J1085" s="2"/>
      <c r="L1085" s="20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  <c r="AA1085" s="20"/>
      <c r="AB1085" s="20"/>
      <c r="AC1085" s="20"/>
      <c r="AD1085" s="20"/>
      <c r="AE1085" s="20"/>
    </row>
    <row r="1086" spans="2:31" x14ac:dyDescent="0.25">
      <c r="B1086" s="2"/>
      <c r="C1086" s="19"/>
      <c r="D1086" s="2"/>
      <c r="E1086" s="2"/>
      <c r="F1086" s="19"/>
      <c r="G1086" s="2"/>
      <c r="H1086" s="2"/>
      <c r="I1086" s="2"/>
      <c r="J1086" s="2"/>
      <c r="L1086" s="20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  <c r="AA1086" s="20"/>
      <c r="AB1086" s="20"/>
      <c r="AC1086" s="20"/>
      <c r="AD1086" s="20"/>
      <c r="AE1086" s="20"/>
    </row>
    <row r="1087" spans="2:31" x14ac:dyDescent="0.25">
      <c r="B1087" s="2"/>
      <c r="C1087" s="19"/>
      <c r="D1087" s="2"/>
      <c r="E1087" s="2"/>
      <c r="F1087" s="19"/>
      <c r="G1087" s="2"/>
      <c r="H1087" s="2"/>
      <c r="I1087" s="2"/>
      <c r="J1087" s="2"/>
      <c r="L1087" s="20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  <c r="AA1087" s="20"/>
      <c r="AB1087" s="20"/>
      <c r="AC1087" s="20"/>
      <c r="AD1087" s="20"/>
      <c r="AE1087" s="20"/>
    </row>
    <row r="1088" spans="2:31" x14ac:dyDescent="0.25">
      <c r="B1088" s="2"/>
      <c r="C1088" s="19"/>
      <c r="D1088" s="2"/>
      <c r="E1088" s="2"/>
      <c r="F1088" s="19"/>
      <c r="G1088" s="2"/>
      <c r="H1088" s="2"/>
      <c r="I1088" s="2"/>
      <c r="J1088" s="2"/>
      <c r="L1088" s="20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  <c r="AA1088" s="20"/>
      <c r="AB1088" s="20"/>
      <c r="AC1088" s="20"/>
      <c r="AD1088" s="20"/>
      <c r="AE1088" s="20"/>
    </row>
    <row r="1089" spans="2:31" x14ac:dyDescent="0.25">
      <c r="B1089" s="2"/>
      <c r="C1089" s="19"/>
      <c r="D1089" s="2"/>
      <c r="E1089" s="2"/>
      <c r="F1089" s="19"/>
      <c r="G1089" s="2"/>
      <c r="H1089" s="2"/>
      <c r="I1089" s="2"/>
      <c r="J1089" s="2"/>
      <c r="L1089" s="20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  <c r="AA1089" s="20"/>
      <c r="AB1089" s="20"/>
      <c r="AC1089" s="20"/>
      <c r="AD1089" s="20"/>
      <c r="AE1089" s="20"/>
    </row>
    <row r="1090" spans="2:31" x14ac:dyDescent="0.25">
      <c r="B1090" s="2"/>
      <c r="C1090" s="19"/>
      <c r="D1090" s="2"/>
      <c r="E1090" s="2"/>
      <c r="F1090" s="19"/>
      <c r="G1090" s="2"/>
      <c r="H1090" s="2"/>
      <c r="I1090" s="2"/>
      <c r="J1090" s="2"/>
      <c r="L1090" s="20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  <c r="AA1090" s="20"/>
      <c r="AB1090" s="20"/>
      <c r="AC1090" s="20"/>
      <c r="AD1090" s="20"/>
      <c r="AE1090" s="20"/>
    </row>
    <row r="1091" spans="2:31" x14ac:dyDescent="0.25">
      <c r="B1091" s="2"/>
      <c r="C1091" s="19"/>
      <c r="D1091" s="2"/>
      <c r="E1091" s="2"/>
      <c r="F1091" s="19"/>
      <c r="G1091" s="2"/>
      <c r="H1091" s="2"/>
      <c r="I1091" s="2"/>
      <c r="J1091" s="2"/>
      <c r="L1091" s="20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  <c r="AA1091" s="20"/>
      <c r="AB1091" s="20"/>
      <c r="AC1091" s="20"/>
      <c r="AD1091" s="20"/>
      <c r="AE1091" s="20"/>
    </row>
    <row r="1092" spans="2:31" x14ac:dyDescent="0.25">
      <c r="B1092" s="2"/>
      <c r="C1092" s="19"/>
      <c r="D1092" s="2"/>
      <c r="E1092" s="2"/>
      <c r="F1092" s="19"/>
      <c r="G1092" s="2"/>
      <c r="H1092" s="2"/>
      <c r="I1092" s="2"/>
      <c r="J1092" s="2"/>
      <c r="L1092" s="20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  <c r="AA1092" s="20"/>
      <c r="AB1092" s="20"/>
      <c r="AC1092" s="20"/>
      <c r="AD1092" s="20"/>
      <c r="AE1092" s="20"/>
    </row>
    <row r="1093" spans="2:31" x14ac:dyDescent="0.25">
      <c r="B1093" s="2"/>
      <c r="C1093" s="19"/>
      <c r="D1093" s="2"/>
      <c r="E1093" s="2"/>
      <c r="F1093" s="19"/>
      <c r="G1093" s="2"/>
      <c r="H1093" s="2"/>
      <c r="I1093" s="2"/>
      <c r="J1093" s="2"/>
      <c r="L1093" s="20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  <c r="AA1093" s="20"/>
      <c r="AB1093" s="20"/>
      <c r="AC1093" s="20"/>
      <c r="AD1093" s="20"/>
      <c r="AE1093" s="20"/>
    </row>
    <row r="1094" spans="2:31" x14ac:dyDescent="0.25">
      <c r="B1094" s="2"/>
      <c r="C1094" s="19"/>
      <c r="D1094" s="2"/>
      <c r="E1094" s="2"/>
      <c r="F1094" s="19"/>
      <c r="G1094" s="2"/>
      <c r="H1094" s="2"/>
      <c r="I1094" s="2"/>
      <c r="J1094" s="2"/>
      <c r="L1094" s="20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  <c r="AA1094" s="20"/>
      <c r="AB1094" s="20"/>
      <c r="AC1094" s="20"/>
      <c r="AD1094" s="20"/>
      <c r="AE1094" s="20"/>
    </row>
    <row r="1095" spans="2:31" x14ac:dyDescent="0.25">
      <c r="B1095" s="2"/>
      <c r="C1095" s="19"/>
      <c r="D1095" s="2"/>
      <c r="E1095" s="2"/>
      <c r="F1095" s="19"/>
      <c r="G1095" s="2"/>
      <c r="H1095" s="2"/>
      <c r="I1095" s="2"/>
      <c r="J1095" s="2"/>
      <c r="L1095" s="20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  <c r="AA1095" s="20"/>
      <c r="AB1095" s="20"/>
      <c r="AC1095" s="20"/>
      <c r="AD1095" s="20"/>
      <c r="AE1095" s="20"/>
    </row>
    <row r="1096" spans="2:31" x14ac:dyDescent="0.25">
      <c r="B1096" s="2"/>
      <c r="C1096" s="19"/>
      <c r="D1096" s="2"/>
      <c r="E1096" s="2"/>
      <c r="F1096" s="19"/>
      <c r="G1096" s="2"/>
      <c r="H1096" s="2"/>
      <c r="I1096" s="2"/>
      <c r="J1096" s="2"/>
      <c r="L1096" s="20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  <c r="AA1096" s="20"/>
      <c r="AB1096" s="20"/>
      <c r="AC1096" s="20"/>
      <c r="AD1096" s="20"/>
      <c r="AE1096" s="20"/>
    </row>
    <row r="1097" spans="2:31" x14ac:dyDescent="0.25">
      <c r="B1097" s="2"/>
      <c r="C1097" s="19"/>
      <c r="D1097" s="2"/>
      <c r="E1097" s="2"/>
      <c r="F1097" s="19"/>
      <c r="G1097" s="2"/>
      <c r="H1097" s="2"/>
      <c r="I1097" s="2"/>
      <c r="J1097" s="2"/>
      <c r="L1097" s="20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  <c r="AA1097" s="20"/>
      <c r="AB1097" s="20"/>
      <c r="AC1097" s="20"/>
      <c r="AD1097" s="20"/>
      <c r="AE1097" s="20"/>
    </row>
    <row r="1098" spans="2:31" x14ac:dyDescent="0.25">
      <c r="B1098" s="2"/>
      <c r="C1098" s="19"/>
      <c r="D1098" s="2"/>
      <c r="E1098" s="2"/>
      <c r="F1098" s="19"/>
      <c r="G1098" s="2"/>
      <c r="H1098" s="2"/>
      <c r="I1098" s="2"/>
      <c r="J1098" s="2"/>
      <c r="L1098" s="20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  <c r="AA1098" s="20"/>
      <c r="AB1098" s="20"/>
      <c r="AC1098" s="20"/>
      <c r="AD1098" s="20"/>
      <c r="AE1098" s="20"/>
    </row>
    <row r="1099" spans="2:31" x14ac:dyDescent="0.25">
      <c r="B1099" s="2"/>
      <c r="C1099" s="19"/>
      <c r="D1099" s="2"/>
      <c r="E1099" s="2"/>
      <c r="F1099" s="19"/>
      <c r="G1099" s="2"/>
      <c r="H1099" s="2"/>
      <c r="I1099" s="2"/>
      <c r="J1099" s="2"/>
      <c r="L1099" s="20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  <c r="AA1099" s="20"/>
      <c r="AB1099" s="20"/>
      <c r="AC1099" s="20"/>
      <c r="AD1099" s="20"/>
      <c r="AE1099" s="20"/>
    </row>
    <row r="1100" spans="2:31" x14ac:dyDescent="0.25">
      <c r="B1100" s="2"/>
      <c r="C1100" s="19"/>
      <c r="D1100" s="2"/>
      <c r="E1100" s="2"/>
      <c r="F1100" s="19"/>
      <c r="G1100" s="2"/>
      <c r="H1100" s="2"/>
      <c r="I1100" s="2"/>
      <c r="J1100" s="2"/>
      <c r="L1100" s="20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  <c r="AA1100" s="20"/>
      <c r="AB1100" s="20"/>
      <c r="AC1100" s="20"/>
      <c r="AD1100" s="20"/>
      <c r="AE1100" s="20"/>
    </row>
    <row r="1101" spans="2:31" x14ac:dyDescent="0.25">
      <c r="B1101" s="2"/>
      <c r="C1101" s="19"/>
      <c r="D1101" s="2"/>
      <c r="E1101" s="2"/>
      <c r="F1101" s="19"/>
      <c r="G1101" s="2"/>
      <c r="H1101" s="2"/>
      <c r="I1101" s="2"/>
      <c r="J1101" s="2"/>
      <c r="L1101" s="20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  <c r="AA1101" s="20"/>
      <c r="AB1101" s="20"/>
      <c r="AC1101" s="20"/>
      <c r="AD1101" s="20"/>
      <c r="AE1101" s="20"/>
    </row>
    <row r="1102" spans="2:31" x14ac:dyDescent="0.25">
      <c r="B1102" s="2"/>
      <c r="C1102" s="19"/>
      <c r="D1102" s="2"/>
      <c r="E1102" s="2"/>
      <c r="F1102" s="19"/>
      <c r="G1102" s="2"/>
      <c r="H1102" s="2"/>
      <c r="I1102" s="2"/>
      <c r="J1102" s="2"/>
      <c r="L1102" s="20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  <c r="AA1102" s="20"/>
      <c r="AB1102" s="20"/>
      <c r="AC1102" s="20"/>
      <c r="AD1102" s="20"/>
      <c r="AE1102" s="20"/>
    </row>
    <row r="1103" spans="2:31" x14ac:dyDescent="0.25">
      <c r="B1103" s="2"/>
      <c r="C1103" s="19"/>
      <c r="D1103" s="2"/>
      <c r="E1103" s="2"/>
      <c r="F1103" s="19"/>
      <c r="G1103" s="2"/>
      <c r="H1103" s="2"/>
      <c r="I1103" s="2"/>
      <c r="J1103" s="2"/>
      <c r="L1103" s="20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  <c r="AA1103" s="20"/>
      <c r="AB1103" s="20"/>
      <c r="AC1103" s="20"/>
      <c r="AD1103" s="20"/>
      <c r="AE1103" s="20"/>
    </row>
    <row r="1104" spans="2:31" x14ac:dyDescent="0.25">
      <c r="B1104" s="2"/>
      <c r="C1104" s="19"/>
      <c r="D1104" s="2"/>
      <c r="E1104" s="2"/>
      <c r="F1104" s="19"/>
      <c r="G1104" s="2"/>
      <c r="H1104" s="2"/>
      <c r="I1104" s="2"/>
      <c r="J1104" s="2"/>
      <c r="L1104" s="20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  <c r="AA1104" s="20"/>
      <c r="AB1104" s="20"/>
      <c r="AC1104" s="20"/>
      <c r="AD1104" s="20"/>
      <c r="AE1104" s="20"/>
    </row>
    <row r="1105" spans="2:31" x14ac:dyDescent="0.25">
      <c r="B1105" s="2"/>
      <c r="C1105" s="19"/>
      <c r="D1105" s="2"/>
      <c r="E1105" s="2"/>
      <c r="F1105" s="19"/>
      <c r="G1105" s="2"/>
      <c r="H1105" s="2"/>
      <c r="I1105" s="2"/>
      <c r="J1105" s="2"/>
      <c r="L1105" s="20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  <c r="AA1105" s="20"/>
      <c r="AB1105" s="20"/>
      <c r="AC1105" s="20"/>
      <c r="AD1105" s="20"/>
      <c r="AE1105" s="20"/>
    </row>
    <row r="1106" spans="2:31" x14ac:dyDescent="0.25">
      <c r="B1106" s="2"/>
      <c r="C1106" s="19"/>
      <c r="D1106" s="2"/>
      <c r="E1106" s="2"/>
      <c r="F1106" s="19"/>
      <c r="G1106" s="2"/>
      <c r="H1106" s="2"/>
      <c r="I1106" s="2"/>
      <c r="J1106" s="2"/>
      <c r="L1106" s="20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  <c r="AA1106" s="20"/>
      <c r="AB1106" s="20"/>
      <c r="AC1106" s="20"/>
      <c r="AD1106" s="20"/>
      <c r="AE1106" s="20"/>
    </row>
    <row r="1107" spans="2:31" x14ac:dyDescent="0.25">
      <c r="B1107" s="2"/>
      <c r="C1107" s="19"/>
      <c r="D1107" s="2"/>
      <c r="E1107" s="2"/>
      <c r="F1107" s="19"/>
      <c r="G1107" s="2"/>
      <c r="H1107" s="2"/>
      <c r="I1107" s="2"/>
      <c r="J1107" s="2"/>
      <c r="L1107" s="20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  <c r="AA1107" s="20"/>
      <c r="AB1107" s="20"/>
      <c r="AC1107" s="20"/>
      <c r="AD1107" s="20"/>
      <c r="AE1107" s="20"/>
    </row>
    <row r="1108" spans="2:31" x14ac:dyDescent="0.25">
      <c r="B1108" s="2"/>
      <c r="C1108" s="19"/>
      <c r="D1108" s="2"/>
      <c r="E1108" s="2"/>
      <c r="F1108" s="19"/>
      <c r="G1108" s="2"/>
      <c r="H1108" s="2"/>
      <c r="I1108" s="2"/>
      <c r="J1108" s="2"/>
      <c r="L1108" s="20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  <c r="AA1108" s="20"/>
      <c r="AB1108" s="20"/>
      <c r="AC1108" s="20"/>
      <c r="AD1108" s="20"/>
      <c r="AE1108" s="20"/>
    </row>
    <row r="1109" spans="2:31" x14ac:dyDescent="0.25">
      <c r="B1109" s="2"/>
      <c r="C1109" s="19"/>
      <c r="D1109" s="2"/>
      <c r="E1109" s="2"/>
      <c r="F1109" s="19"/>
      <c r="G1109" s="2"/>
      <c r="H1109" s="2"/>
      <c r="I1109" s="2"/>
      <c r="J1109" s="2"/>
      <c r="L1109" s="20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  <c r="AA1109" s="20"/>
      <c r="AB1109" s="20"/>
      <c r="AC1109" s="20"/>
      <c r="AD1109" s="20"/>
      <c r="AE1109" s="20"/>
    </row>
    <row r="1110" spans="2:31" x14ac:dyDescent="0.25">
      <c r="B1110" s="2"/>
      <c r="C1110" s="19"/>
      <c r="D1110" s="2"/>
      <c r="E1110" s="2"/>
      <c r="F1110" s="19"/>
      <c r="G1110" s="2"/>
      <c r="H1110" s="2"/>
      <c r="I1110" s="2"/>
      <c r="J1110" s="2"/>
      <c r="L1110" s="20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  <c r="AA1110" s="20"/>
      <c r="AB1110" s="20"/>
      <c r="AC1110" s="20"/>
      <c r="AD1110" s="20"/>
      <c r="AE1110" s="20"/>
    </row>
    <row r="1111" spans="2:31" x14ac:dyDescent="0.25">
      <c r="B1111" s="2"/>
      <c r="C1111" s="19"/>
      <c r="D1111" s="2"/>
      <c r="E1111" s="2"/>
      <c r="F1111" s="19"/>
      <c r="G1111" s="2"/>
      <c r="H1111" s="2"/>
      <c r="I1111" s="2"/>
      <c r="J1111" s="2"/>
      <c r="L1111" s="20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  <c r="AA1111" s="20"/>
      <c r="AB1111" s="20"/>
      <c r="AC1111" s="20"/>
      <c r="AD1111" s="20"/>
      <c r="AE1111" s="20"/>
    </row>
    <row r="1112" spans="2:31" x14ac:dyDescent="0.25">
      <c r="B1112" s="2"/>
      <c r="C1112" s="19"/>
      <c r="D1112" s="2"/>
      <c r="E1112" s="2"/>
      <c r="F1112" s="19"/>
      <c r="G1112" s="2"/>
      <c r="H1112" s="2"/>
      <c r="I1112" s="2"/>
      <c r="J1112" s="2"/>
      <c r="L1112" s="20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  <c r="AA1112" s="20"/>
      <c r="AB1112" s="20"/>
      <c r="AC1112" s="20"/>
      <c r="AD1112" s="20"/>
      <c r="AE1112" s="20"/>
    </row>
    <row r="1113" spans="2:31" x14ac:dyDescent="0.25">
      <c r="B1113" s="2"/>
      <c r="C1113" s="19"/>
      <c r="D1113" s="2"/>
      <c r="E1113" s="2"/>
      <c r="F1113" s="19"/>
      <c r="G1113" s="2"/>
      <c r="H1113" s="2"/>
      <c r="I1113" s="2"/>
      <c r="J1113" s="2"/>
      <c r="L1113" s="20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  <c r="AA1113" s="20"/>
      <c r="AB1113" s="20"/>
      <c r="AC1113" s="20"/>
      <c r="AD1113" s="20"/>
      <c r="AE1113" s="20"/>
    </row>
    <row r="1114" spans="2:31" x14ac:dyDescent="0.25">
      <c r="B1114" s="2"/>
      <c r="C1114" s="19"/>
      <c r="D1114" s="2"/>
      <c r="E1114" s="2"/>
      <c r="F1114" s="19"/>
      <c r="G1114" s="2"/>
      <c r="H1114" s="2"/>
      <c r="I1114" s="2"/>
      <c r="J1114" s="2"/>
      <c r="L1114" s="20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  <c r="AA1114" s="20"/>
      <c r="AB1114" s="20"/>
      <c r="AC1114" s="20"/>
      <c r="AD1114" s="20"/>
      <c r="AE1114" s="20"/>
    </row>
    <row r="1115" spans="2:31" x14ac:dyDescent="0.25">
      <c r="B1115" s="2"/>
      <c r="C1115" s="19"/>
      <c r="D1115" s="2"/>
      <c r="E1115" s="2"/>
      <c r="F1115" s="19"/>
      <c r="G1115" s="2"/>
      <c r="H1115" s="2"/>
      <c r="I1115" s="2"/>
      <c r="J1115" s="2"/>
      <c r="L1115" s="20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  <c r="AA1115" s="20"/>
      <c r="AB1115" s="20"/>
      <c r="AC1115" s="20"/>
      <c r="AD1115" s="20"/>
      <c r="AE1115" s="20"/>
    </row>
    <row r="1116" spans="2:31" x14ac:dyDescent="0.25">
      <c r="B1116" s="2"/>
      <c r="C1116" s="19"/>
      <c r="D1116" s="2"/>
      <c r="E1116" s="2"/>
      <c r="F1116" s="19"/>
      <c r="G1116" s="2"/>
      <c r="H1116" s="2"/>
      <c r="I1116" s="2"/>
      <c r="J1116" s="2"/>
      <c r="L1116" s="20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  <c r="AA1116" s="20"/>
      <c r="AB1116" s="20"/>
      <c r="AC1116" s="20"/>
      <c r="AD1116" s="20"/>
      <c r="AE1116" s="20"/>
    </row>
    <row r="1117" spans="2:31" x14ac:dyDescent="0.25">
      <c r="B1117" s="2"/>
      <c r="C1117" s="19"/>
      <c r="D1117" s="2"/>
      <c r="E1117" s="2"/>
      <c r="F1117" s="19"/>
      <c r="G1117" s="2"/>
      <c r="H1117" s="2"/>
      <c r="I1117" s="2"/>
      <c r="J1117" s="2"/>
      <c r="L1117" s="20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  <c r="AA1117" s="20"/>
      <c r="AB1117" s="20"/>
      <c r="AC1117" s="20"/>
      <c r="AD1117" s="20"/>
      <c r="AE1117" s="20"/>
    </row>
    <row r="1118" spans="2:31" x14ac:dyDescent="0.25">
      <c r="B1118" s="2"/>
      <c r="C1118" s="19"/>
      <c r="D1118" s="2"/>
      <c r="E1118" s="2"/>
      <c r="F1118" s="19"/>
      <c r="G1118" s="2"/>
      <c r="H1118" s="2"/>
      <c r="I1118" s="2"/>
      <c r="J1118" s="2"/>
      <c r="L1118" s="20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  <c r="AA1118" s="20"/>
      <c r="AB1118" s="20"/>
      <c r="AC1118" s="20"/>
      <c r="AD1118" s="20"/>
      <c r="AE1118" s="20"/>
    </row>
    <row r="1119" spans="2:31" x14ac:dyDescent="0.25">
      <c r="B1119" s="2"/>
      <c r="C1119" s="19"/>
      <c r="D1119" s="2"/>
      <c r="E1119" s="2"/>
      <c r="F1119" s="19"/>
      <c r="G1119" s="2"/>
      <c r="H1119" s="2"/>
      <c r="I1119" s="2"/>
      <c r="J1119" s="2"/>
      <c r="L1119" s="20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  <c r="AA1119" s="20"/>
      <c r="AB1119" s="20"/>
      <c r="AC1119" s="20"/>
      <c r="AD1119" s="20"/>
      <c r="AE1119" s="20"/>
    </row>
    <row r="1120" spans="2:31" x14ac:dyDescent="0.25">
      <c r="B1120" s="2"/>
      <c r="C1120" s="19"/>
      <c r="D1120" s="2"/>
      <c r="E1120" s="2"/>
      <c r="F1120" s="19"/>
      <c r="G1120" s="2"/>
      <c r="H1120" s="2"/>
      <c r="I1120" s="2"/>
      <c r="J1120" s="2"/>
      <c r="L1120" s="20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  <c r="AA1120" s="20"/>
      <c r="AB1120" s="20"/>
      <c r="AC1120" s="20"/>
      <c r="AD1120" s="20"/>
      <c r="AE1120" s="20"/>
    </row>
    <row r="1121" spans="2:31" x14ac:dyDescent="0.25">
      <c r="B1121" s="2"/>
      <c r="C1121" s="19"/>
      <c r="D1121" s="2"/>
      <c r="E1121" s="2"/>
      <c r="F1121" s="19"/>
      <c r="G1121" s="2"/>
      <c r="H1121" s="2"/>
      <c r="I1121" s="2"/>
      <c r="J1121" s="2"/>
      <c r="L1121" s="20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  <c r="AA1121" s="20"/>
      <c r="AB1121" s="20"/>
      <c r="AC1121" s="20"/>
      <c r="AD1121" s="20"/>
      <c r="AE1121" s="20"/>
    </row>
    <row r="1122" spans="2:31" x14ac:dyDescent="0.25">
      <c r="B1122" s="2"/>
      <c r="C1122" s="19"/>
      <c r="D1122" s="2"/>
      <c r="E1122" s="2"/>
      <c r="F1122" s="19"/>
      <c r="G1122" s="2"/>
      <c r="H1122" s="2"/>
      <c r="I1122" s="2"/>
      <c r="J1122" s="2"/>
      <c r="L1122" s="20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  <c r="AA1122" s="20"/>
      <c r="AB1122" s="20"/>
      <c r="AC1122" s="20"/>
      <c r="AD1122" s="20"/>
      <c r="AE1122" s="20"/>
    </row>
    <row r="1123" spans="2:31" x14ac:dyDescent="0.25">
      <c r="B1123" s="2"/>
      <c r="C1123" s="19"/>
      <c r="D1123" s="2"/>
      <c r="E1123" s="2"/>
      <c r="F1123" s="19"/>
      <c r="G1123" s="2"/>
      <c r="H1123" s="2"/>
      <c r="I1123" s="2"/>
      <c r="J1123" s="2"/>
      <c r="L1123" s="20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  <c r="AA1123" s="20"/>
      <c r="AB1123" s="20"/>
      <c r="AC1123" s="20"/>
      <c r="AD1123" s="20"/>
      <c r="AE1123" s="20"/>
    </row>
    <row r="1124" spans="2:31" x14ac:dyDescent="0.25">
      <c r="B1124" s="2"/>
      <c r="C1124" s="19"/>
      <c r="D1124" s="2"/>
      <c r="E1124" s="2"/>
      <c r="F1124" s="19"/>
      <c r="G1124" s="2"/>
      <c r="H1124" s="2"/>
      <c r="I1124" s="2"/>
      <c r="J1124" s="2"/>
      <c r="L1124" s="20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  <c r="AA1124" s="20"/>
      <c r="AB1124" s="20"/>
      <c r="AC1124" s="20"/>
      <c r="AD1124" s="20"/>
      <c r="AE1124" s="20"/>
    </row>
    <row r="1125" spans="2:31" x14ac:dyDescent="0.25">
      <c r="B1125" s="2"/>
      <c r="C1125" s="19"/>
      <c r="D1125" s="2"/>
      <c r="E1125" s="2"/>
      <c r="F1125" s="19"/>
      <c r="G1125" s="2"/>
      <c r="H1125" s="2"/>
      <c r="I1125" s="2"/>
      <c r="J1125" s="2"/>
      <c r="L1125" s="20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  <c r="AA1125" s="20"/>
      <c r="AB1125" s="20"/>
      <c r="AC1125" s="20"/>
      <c r="AD1125" s="20"/>
      <c r="AE1125" s="20"/>
    </row>
    <row r="1126" spans="2:31" x14ac:dyDescent="0.25">
      <c r="B1126" s="2"/>
      <c r="C1126" s="19"/>
      <c r="D1126" s="2"/>
      <c r="E1126" s="2"/>
      <c r="F1126" s="19"/>
      <c r="G1126" s="2"/>
      <c r="H1126" s="2"/>
      <c r="I1126" s="2"/>
      <c r="J1126" s="2"/>
      <c r="L1126" s="2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  <c r="AA1126" s="20"/>
      <c r="AB1126" s="20"/>
      <c r="AC1126" s="20"/>
      <c r="AD1126" s="20"/>
      <c r="AE1126" s="20"/>
    </row>
    <row r="1127" spans="2:31" x14ac:dyDescent="0.25">
      <c r="B1127" s="2"/>
      <c r="C1127" s="19"/>
      <c r="D1127" s="2"/>
      <c r="E1127" s="2"/>
      <c r="F1127" s="19"/>
      <c r="G1127" s="2"/>
      <c r="H1127" s="2"/>
      <c r="I1127" s="2"/>
      <c r="J1127" s="2"/>
      <c r="L1127" s="20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  <c r="AA1127" s="20"/>
      <c r="AB1127" s="20"/>
      <c r="AC1127" s="20"/>
      <c r="AD1127" s="20"/>
      <c r="AE1127" s="20"/>
    </row>
    <row r="1128" spans="2:31" x14ac:dyDescent="0.25">
      <c r="B1128" s="2"/>
      <c r="C1128" s="19"/>
      <c r="D1128" s="2"/>
      <c r="E1128" s="2"/>
      <c r="F1128" s="19"/>
      <c r="G1128" s="2"/>
      <c r="H1128" s="2"/>
      <c r="I1128" s="2"/>
      <c r="J1128" s="2"/>
      <c r="L1128" s="20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  <c r="AA1128" s="20"/>
      <c r="AB1128" s="20"/>
      <c r="AC1128" s="20"/>
      <c r="AD1128" s="20"/>
      <c r="AE1128" s="20"/>
    </row>
    <row r="1129" spans="2:31" x14ac:dyDescent="0.25">
      <c r="B1129" s="2"/>
      <c r="C1129" s="19"/>
      <c r="D1129" s="2"/>
      <c r="E1129" s="2"/>
      <c r="F1129" s="19"/>
      <c r="G1129" s="2"/>
      <c r="H1129" s="2"/>
      <c r="I1129" s="2"/>
      <c r="J1129" s="2"/>
      <c r="L1129" s="20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  <c r="AA1129" s="20"/>
      <c r="AB1129" s="20"/>
      <c r="AC1129" s="20"/>
      <c r="AD1129" s="20"/>
      <c r="AE1129" s="20"/>
    </row>
    <row r="1130" spans="2:31" x14ac:dyDescent="0.25">
      <c r="B1130" s="2"/>
      <c r="C1130" s="19"/>
      <c r="D1130" s="2"/>
      <c r="E1130" s="2"/>
      <c r="F1130" s="19"/>
      <c r="G1130" s="2"/>
      <c r="H1130" s="2"/>
      <c r="I1130" s="2"/>
      <c r="J1130" s="2"/>
      <c r="L1130" s="20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  <c r="AA1130" s="20"/>
      <c r="AB1130" s="20"/>
      <c r="AC1130" s="20"/>
      <c r="AD1130" s="20"/>
      <c r="AE1130" s="20"/>
    </row>
    <row r="1131" spans="2:31" x14ac:dyDescent="0.25">
      <c r="B1131" s="2"/>
      <c r="C1131" s="19"/>
      <c r="D1131" s="2"/>
      <c r="E1131" s="2"/>
      <c r="F1131" s="19"/>
      <c r="G1131" s="2"/>
      <c r="H1131" s="2"/>
      <c r="I1131" s="2"/>
      <c r="J1131" s="2"/>
      <c r="L1131" s="20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  <c r="AA1131" s="20"/>
      <c r="AB1131" s="20"/>
      <c r="AC1131" s="20"/>
      <c r="AD1131" s="20"/>
      <c r="AE1131" s="20"/>
    </row>
    <row r="1132" spans="2:31" x14ac:dyDescent="0.25">
      <c r="B1132" s="2"/>
      <c r="C1132" s="19"/>
      <c r="D1132" s="2"/>
      <c r="E1132" s="2"/>
      <c r="F1132" s="19"/>
      <c r="G1132" s="2"/>
      <c r="H1132" s="2"/>
      <c r="I1132" s="2"/>
      <c r="J1132" s="2"/>
      <c r="L1132" s="20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  <c r="AA1132" s="20"/>
      <c r="AB1132" s="20"/>
      <c r="AC1132" s="20"/>
      <c r="AD1132" s="20"/>
      <c r="AE1132" s="20"/>
    </row>
    <row r="1133" spans="2:31" x14ac:dyDescent="0.25">
      <c r="B1133" s="2"/>
      <c r="C1133" s="19"/>
      <c r="D1133" s="2"/>
      <c r="E1133" s="2"/>
      <c r="F1133" s="19"/>
      <c r="G1133" s="2"/>
      <c r="H1133" s="2"/>
      <c r="I1133" s="2"/>
      <c r="J1133" s="2"/>
      <c r="L1133" s="20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  <c r="AA1133" s="20"/>
      <c r="AB1133" s="20"/>
      <c r="AC1133" s="20"/>
      <c r="AD1133" s="20"/>
      <c r="AE1133" s="20"/>
    </row>
    <row r="1134" spans="2:31" x14ac:dyDescent="0.25">
      <c r="B1134" s="2"/>
      <c r="C1134" s="19"/>
      <c r="D1134" s="2"/>
      <c r="E1134" s="2"/>
      <c r="F1134" s="19"/>
      <c r="G1134" s="2"/>
      <c r="H1134" s="2"/>
      <c r="I1134" s="2"/>
      <c r="J1134" s="2"/>
      <c r="L1134" s="20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  <c r="AA1134" s="20"/>
      <c r="AB1134" s="20"/>
      <c r="AC1134" s="20"/>
      <c r="AD1134" s="20"/>
      <c r="AE1134" s="20"/>
    </row>
    <row r="1135" spans="2:31" x14ac:dyDescent="0.25">
      <c r="B1135" s="2"/>
      <c r="C1135" s="19"/>
      <c r="D1135" s="2"/>
      <c r="E1135" s="2"/>
      <c r="F1135" s="19"/>
      <c r="G1135" s="2"/>
      <c r="H1135" s="2"/>
      <c r="I1135" s="2"/>
      <c r="J1135" s="2"/>
      <c r="L1135" s="20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  <c r="AA1135" s="20"/>
      <c r="AB1135" s="20"/>
      <c r="AC1135" s="20"/>
      <c r="AD1135" s="20"/>
      <c r="AE1135" s="20"/>
    </row>
    <row r="1136" spans="2:31" x14ac:dyDescent="0.25">
      <c r="B1136" s="2"/>
      <c r="C1136" s="19"/>
      <c r="D1136" s="2"/>
      <c r="E1136" s="2"/>
      <c r="F1136" s="19"/>
      <c r="G1136" s="2"/>
      <c r="H1136" s="2"/>
      <c r="I1136" s="2"/>
      <c r="J1136" s="2"/>
      <c r="L1136" s="20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  <c r="AA1136" s="20"/>
      <c r="AB1136" s="20"/>
      <c r="AC1136" s="20"/>
      <c r="AD1136" s="20"/>
      <c r="AE1136" s="20"/>
    </row>
    <row r="1137" spans="2:31" x14ac:dyDescent="0.25">
      <c r="B1137" s="2"/>
      <c r="C1137" s="19"/>
      <c r="D1137" s="2"/>
      <c r="E1137" s="2"/>
      <c r="F1137" s="19"/>
      <c r="G1137" s="2"/>
      <c r="H1137" s="2"/>
      <c r="I1137" s="2"/>
      <c r="J1137" s="2"/>
      <c r="L1137" s="20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  <c r="AA1137" s="20"/>
      <c r="AB1137" s="20"/>
      <c r="AC1137" s="20"/>
      <c r="AD1137" s="20"/>
      <c r="AE1137" s="20"/>
    </row>
    <row r="1138" spans="2:31" x14ac:dyDescent="0.25">
      <c r="B1138" s="2"/>
      <c r="C1138" s="19"/>
      <c r="D1138" s="2"/>
      <c r="E1138" s="2"/>
      <c r="F1138" s="19"/>
      <c r="G1138" s="2"/>
      <c r="H1138" s="2"/>
      <c r="I1138" s="2"/>
      <c r="J1138" s="2"/>
      <c r="L1138" s="20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  <c r="AA1138" s="20"/>
      <c r="AB1138" s="20"/>
      <c r="AC1138" s="20"/>
      <c r="AD1138" s="20"/>
      <c r="AE1138" s="20"/>
    </row>
    <row r="1139" spans="2:31" x14ac:dyDescent="0.25">
      <c r="B1139" s="2"/>
      <c r="C1139" s="19"/>
      <c r="D1139" s="2"/>
      <c r="E1139" s="2"/>
      <c r="F1139" s="19"/>
      <c r="G1139" s="2"/>
      <c r="H1139" s="2"/>
      <c r="I1139" s="2"/>
      <c r="J1139" s="2"/>
      <c r="L1139" s="20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  <c r="AA1139" s="20"/>
      <c r="AB1139" s="20"/>
      <c r="AC1139" s="20"/>
      <c r="AD1139" s="20"/>
      <c r="AE1139" s="20"/>
    </row>
    <row r="1140" spans="2:31" x14ac:dyDescent="0.25">
      <c r="B1140" s="2"/>
      <c r="C1140" s="19"/>
      <c r="D1140" s="2"/>
      <c r="E1140" s="2"/>
      <c r="F1140" s="19"/>
      <c r="G1140" s="2"/>
      <c r="H1140" s="2"/>
      <c r="I1140" s="2"/>
      <c r="J1140" s="2"/>
      <c r="L1140" s="20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  <c r="AA1140" s="20"/>
      <c r="AB1140" s="20"/>
      <c r="AC1140" s="20"/>
      <c r="AD1140" s="20"/>
      <c r="AE1140" s="20"/>
    </row>
    <row r="1141" spans="2:31" x14ac:dyDescent="0.25">
      <c r="B1141" s="2"/>
      <c r="C1141" s="19"/>
      <c r="D1141" s="2"/>
      <c r="E1141" s="2"/>
      <c r="F1141" s="19"/>
      <c r="G1141" s="2"/>
      <c r="H1141" s="2"/>
      <c r="I1141" s="2"/>
      <c r="J1141" s="2"/>
      <c r="L1141" s="20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  <c r="AA1141" s="20"/>
      <c r="AB1141" s="20"/>
      <c r="AC1141" s="20"/>
      <c r="AD1141" s="20"/>
      <c r="AE1141" s="20"/>
    </row>
    <row r="1142" spans="2:31" x14ac:dyDescent="0.25">
      <c r="B1142" s="2"/>
      <c r="C1142" s="19"/>
      <c r="D1142" s="2"/>
      <c r="E1142" s="2"/>
      <c r="F1142" s="19"/>
      <c r="G1142" s="2"/>
      <c r="H1142" s="2"/>
      <c r="I1142" s="2"/>
      <c r="J1142" s="2"/>
      <c r="L1142" s="20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  <c r="AA1142" s="20"/>
      <c r="AB1142" s="20"/>
      <c r="AC1142" s="20"/>
      <c r="AD1142" s="20"/>
      <c r="AE1142" s="20"/>
    </row>
    <row r="1143" spans="2:31" x14ac:dyDescent="0.25">
      <c r="B1143" s="2"/>
      <c r="C1143" s="19"/>
      <c r="D1143" s="2"/>
      <c r="E1143" s="2"/>
      <c r="F1143" s="19"/>
      <c r="G1143" s="2"/>
      <c r="H1143" s="2"/>
      <c r="I1143" s="2"/>
      <c r="J1143" s="2"/>
      <c r="L1143" s="20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  <c r="AA1143" s="20"/>
      <c r="AB1143" s="20"/>
      <c r="AC1143" s="20"/>
      <c r="AD1143" s="20"/>
      <c r="AE1143" s="20"/>
    </row>
    <row r="1144" spans="2:31" x14ac:dyDescent="0.25">
      <c r="B1144" s="2"/>
      <c r="C1144" s="19"/>
      <c r="D1144" s="2"/>
      <c r="E1144" s="2"/>
      <c r="F1144" s="19"/>
      <c r="G1144" s="2"/>
      <c r="H1144" s="2"/>
      <c r="I1144" s="2"/>
      <c r="J1144" s="2"/>
      <c r="L1144" s="20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  <c r="AA1144" s="20"/>
      <c r="AB1144" s="20"/>
      <c r="AC1144" s="20"/>
      <c r="AD1144" s="20"/>
      <c r="AE1144" s="20"/>
    </row>
    <row r="1145" spans="2:31" x14ac:dyDescent="0.25">
      <c r="B1145" s="2"/>
      <c r="C1145" s="19"/>
      <c r="D1145" s="2"/>
      <c r="E1145" s="2"/>
      <c r="F1145" s="19"/>
      <c r="G1145" s="2"/>
      <c r="H1145" s="2"/>
      <c r="I1145" s="2"/>
      <c r="J1145" s="2"/>
      <c r="L1145" s="20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  <c r="AA1145" s="20"/>
      <c r="AB1145" s="20"/>
      <c r="AC1145" s="20"/>
      <c r="AD1145" s="20"/>
      <c r="AE1145" s="20"/>
    </row>
    <row r="1146" spans="2:31" x14ac:dyDescent="0.25">
      <c r="B1146" s="2"/>
      <c r="C1146" s="19"/>
      <c r="D1146" s="2"/>
      <c r="E1146" s="2"/>
      <c r="F1146" s="19"/>
      <c r="G1146" s="2"/>
      <c r="H1146" s="2"/>
      <c r="I1146" s="2"/>
      <c r="J1146" s="2"/>
      <c r="L1146" s="20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  <c r="AA1146" s="20"/>
      <c r="AB1146" s="20"/>
      <c r="AC1146" s="20"/>
      <c r="AD1146" s="20"/>
      <c r="AE1146" s="20"/>
    </row>
    <row r="1147" spans="2:31" x14ac:dyDescent="0.25">
      <c r="B1147" s="2"/>
      <c r="C1147" s="19"/>
      <c r="D1147" s="2"/>
      <c r="E1147" s="2"/>
      <c r="F1147" s="19"/>
      <c r="G1147" s="2"/>
      <c r="H1147" s="2"/>
      <c r="I1147" s="2"/>
      <c r="J1147" s="2"/>
      <c r="L1147" s="20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  <c r="AA1147" s="20"/>
      <c r="AB1147" s="20"/>
      <c r="AC1147" s="20"/>
      <c r="AD1147" s="20"/>
      <c r="AE1147" s="20"/>
    </row>
    <row r="1148" spans="2:31" x14ac:dyDescent="0.25">
      <c r="B1148" s="2"/>
      <c r="C1148" s="19"/>
      <c r="D1148" s="2"/>
      <c r="E1148" s="2"/>
      <c r="F1148" s="19"/>
      <c r="G1148" s="2"/>
      <c r="H1148" s="2"/>
      <c r="I1148" s="2"/>
      <c r="J1148" s="2"/>
      <c r="L1148" s="20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  <c r="AA1148" s="20"/>
      <c r="AB1148" s="20"/>
      <c r="AC1148" s="20"/>
      <c r="AD1148" s="20"/>
      <c r="AE1148" s="20"/>
    </row>
    <row r="1149" spans="2:31" x14ac:dyDescent="0.25">
      <c r="B1149" s="2"/>
      <c r="C1149" s="19"/>
      <c r="D1149" s="2"/>
      <c r="E1149" s="2"/>
      <c r="F1149" s="19"/>
      <c r="G1149" s="2"/>
      <c r="H1149" s="2"/>
      <c r="I1149" s="2"/>
      <c r="J1149" s="2"/>
      <c r="L1149" s="20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  <c r="AA1149" s="20"/>
      <c r="AB1149" s="20"/>
      <c r="AC1149" s="20"/>
      <c r="AD1149" s="20"/>
      <c r="AE1149" s="20"/>
    </row>
    <row r="1150" spans="2:31" x14ac:dyDescent="0.25">
      <c r="B1150" s="2"/>
      <c r="C1150" s="19"/>
      <c r="D1150" s="2"/>
      <c r="E1150" s="2"/>
      <c r="F1150" s="19"/>
      <c r="G1150" s="2"/>
      <c r="H1150" s="2"/>
      <c r="I1150" s="2"/>
      <c r="J1150" s="2"/>
      <c r="L1150" s="20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  <c r="AA1150" s="20"/>
      <c r="AB1150" s="20"/>
      <c r="AC1150" s="20"/>
      <c r="AD1150" s="20"/>
      <c r="AE1150" s="20"/>
    </row>
    <row r="1151" spans="2:31" x14ac:dyDescent="0.25">
      <c r="B1151" s="2"/>
      <c r="C1151" s="19"/>
      <c r="D1151" s="2"/>
      <c r="E1151" s="2"/>
      <c r="F1151" s="19"/>
      <c r="G1151" s="2"/>
      <c r="H1151" s="2"/>
      <c r="I1151" s="2"/>
      <c r="J1151" s="2"/>
      <c r="L1151" s="20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  <c r="AA1151" s="20"/>
      <c r="AB1151" s="20"/>
      <c r="AC1151" s="20"/>
      <c r="AD1151" s="20"/>
      <c r="AE1151" s="20"/>
    </row>
    <row r="1152" spans="2:31" x14ac:dyDescent="0.25">
      <c r="B1152" s="2"/>
      <c r="C1152" s="19"/>
      <c r="D1152" s="2"/>
      <c r="E1152" s="2"/>
      <c r="F1152" s="19"/>
      <c r="G1152" s="2"/>
      <c r="H1152" s="2"/>
      <c r="I1152" s="2"/>
      <c r="J1152" s="2"/>
      <c r="L1152" s="20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  <c r="AA1152" s="20"/>
      <c r="AB1152" s="20"/>
      <c r="AC1152" s="20"/>
      <c r="AD1152" s="20"/>
      <c r="AE1152" s="20"/>
    </row>
    <row r="1153" spans="2:31" x14ac:dyDescent="0.25">
      <c r="B1153" s="2"/>
      <c r="C1153" s="19"/>
      <c r="D1153" s="2"/>
      <c r="E1153" s="2"/>
      <c r="F1153" s="19"/>
      <c r="G1153" s="2"/>
      <c r="H1153" s="2"/>
      <c r="I1153" s="2"/>
      <c r="J1153" s="2"/>
      <c r="L1153" s="20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  <c r="AA1153" s="20"/>
      <c r="AB1153" s="20"/>
      <c r="AC1153" s="20"/>
      <c r="AD1153" s="20"/>
      <c r="AE1153" s="20"/>
    </row>
    <row r="1154" spans="2:31" x14ac:dyDescent="0.25">
      <c r="B1154" s="2"/>
      <c r="C1154" s="19"/>
      <c r="D1154" s="2"/>
      <c r="E1154" s="2"/>
      <c r="F1154" s="19"/>
      <c r="G1154" s="2"/>
      <c r="H1154" s="2"/>
      <c r="I1154" s="2"/>
      <c r="J1154" s="2"/>
      <c r="L1154" s="20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  <c r="AA1154" s="20"/>
      <c r="AB1154" s="20"/>
      <c r="AC1154" s="20"/>
      <c r="AD1154" s="20"/>
      <c r="AE1154" s="20"/>
    </row>
    <row r="1155" spans="2:31" x14ac:dyDescent="0.25">
      <c r="B1155" s="2"/>
      <c r="C1155" s="19"/>
      <c r="D1155" s="2"/>
      <c r="E1155" s="2"/>
      <c r="F1155" s="19"/>
      <c r="G1155" s="2"/>
      <c r="H1155" s="2"/>
      <c r="I1155" s="2"/>
      <c r="J1155" s="2"/>
      <c r="L1155" s="20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  <c r="AA1155" s="20"/>
      <c r="AB1155" s="20"/>
      <c r="AC1155" s="20"/>
      <c r="AD1155" s="20"/>
      <c r="AE1155" s="20"/>
    </row>
    <row r="1156" spans="2:31" x14ac:dyDescent="0.25">
      <c r="B1156" s="2"/>
      <c r="C1156" s="19"/>
      <c r="D1156" s="2"/>
      <c r="E1156" s="2"/>
      <c r="F1156" s="19"/>
      <c r="G1156" s="2"/>
      <c r="H1156" s="2"/>
      <c r="I1156" s="2"/>
      <c r="J1156" s="2"/>
      <c r="L1156" s="20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  <c r="AA1156" s="20"/>
      <c r="AB1156" s="20"/>
      <c r="AC1156" s="20"/>
      <c r="AD1156" s="20"/>
      <c r="AE1156" s="20"/>
    </row>
    <row r="1157" spans="2:31" x14ac:dyDescent="0.25">
      <c r="B1157" s="2"/>
      <c r="C1157" s="19"/>
      <c r="D1157" s="2"/>
      <c r="E1157" s="2"/>
      <c r="F1157" s="19"/>
      <c r="G1157" s="2"/>
      <c r="H1157" s="2"/>
      <c r="I1157" s="2"/>
      <c r="J1157" s="2"/>
      <c r="L1157" s="20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  <c r="AA1157" s="20"/>
      <c r="AB1157" s="20"/>
      <c r="AC1157" s="20"/>
      <c r="AD1157" s="20"/>
      <c r="AE1157" s="20"/>
    </row>
    <row r="1158" spans="2:31" x14ac:dyDescent="0.25">
      <c r="B1158" s="2"/>
      <c r="C1158" s="19"/>
      <c r="D1158" s="2"/>
      <c r="E1158" s="2"/>
      <c r="F1158" s="19"/>
      <c r="G1158" s="2"/>
      <c r="H1158" s="2"/>
      <c r="I1158" s="2"/>
      <c r="J1158" s="2"/>
      <c r="L1158" s="20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  <c r="AA1158" s="20"/>
      <c r="AB1158" s="20"/>
      <c r="AC1158" s="20"/>
      <c r="AD1158" s="20"/>
      <c r="AE1158" s="20"/>
    </row>
    <row r="1159" spans="2:31" x14ac:dyDescent="0.25">
      <c r="B1159" s="2"/>
      <c r="C1159" s="19"/>
      <c r="D1159" s="2"/>
      <c r="E1159" s="2"/>
      <c r="F1159" s="19"/>
      <c r="G1159" s="2"/>
      <c r="H1159" s="2"/>
      <c r="I1159" s="2"/>
      <c r="J1159" s="2"/>
      <c r="L1159" s="20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  <c r="AA1159" s="20"/>
      <c r="AB1159" s="20"/>
      <c r="AC1159" s="20"/>
      <c r="AD1159" s="20"/>
      <c r="AE1159" s="20"/>
    </row>
    <row r="1160" spans="2:31" x14ac:dyDescent="0.25">
      <c r="B1160" s="2"/>
      <c r="C1160" s="19"/>
      <c r="D1160" s="2"/>
      <c r="E1160" s="2"/>
      <c r="F1160" s="19"/>
      <c r="G1160" s="2"/>
      <c r="H1160" s="2"/>
      <c r="I1160" s="2"/>
      <c r="J1160" s="2"/>
      <c r="L1160" s="20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  <c r="AA1160" s="20"/>
      <c r="AB1160" s="20"/>
      <c r="AC1160" s="20"/>
      <c r="AD1160" s="20"/>
      <c r="AE1160" s="20"/>
    </row>
    <row r="1161" spans="2:31" x14ac:dyDescent="0.25">
      <c r="B1161" s="2"/>
      <c r="C1161" s="19"/>
      <c r="D1161" s="2"/>
      <c r="E1161" s="2"/>
      <c r="F1161" s="19"/>
      <c r="G1161" s="2"/>
      <c r="H1161" s="2"/>
      <c r="I1161" s="2"/>
      <c r="J1161" s="2"/>
      <c r="L1161" s="20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  <c r="AA1161" s="20"/>
      <c r="AB1161" s="20"/>
      <c r="AC1161" s="20"/>
      <c r="AD1161" s="20"/>
      <c r="AE1161" s="20"/>
    </row>
    <row r="1162" spans="2:31" x14ac:dyDescent="0.25">
      <c r="B1162" s="2"/>
      <c r="C1162" s="19"/>
      <c r="D1162" s="2"/>
      <c r="E1162" s="2"/>
      <c r="F1162" s="19"/>
      <c r="G1162" s="2"/>
      <c r="H1162" s="2"/>
      <c r="I1162" s="2"/>
      <c r="J1162" s="2"/>
      <c r="L1162" s="20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  <c r="AA1162" s="20"/>
      <c r="AB1162" s="20"/>
      <c r="AC1162" s="20"/>
      <c r="AD1162" s="20"/>
      <c r="AE1162" s="20"/>
    </row>
    <row r="1163" spans="2:31" x14ac:dyDescent="0.25">
      <c r="B1163" s="2"/>
      <c r="C1163" s="19"/>
      <c r="D1163" s="2"/>
      <c r="E1163" s="2"/>
      <c r="F1163" s="19"/>
      <c r="G1163" s="2"/>
      <c r="H1163" s="2"/>
      <c r="I1163" s="2"/>
      <c r="J1163" s="2"/>
      <c r="L1163" s="20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  <c r="AA1163" s="20"/>
      <c r="AB1163" s="20"/>
      <c r="AC1163" s="20"/>
      <c r="AD1163" s="20"/>
      <c r="AE1163" s="20"/>
    </row>
    <row r="1164" spans="2:31" x14ac:dyDescent="0.25">
      <c r="B1164" s="2"/>
      <c r="C1164" s="19"/>
      <c r="D1164" s="2"/>
      <c r="E1164" s="2"/>
      <c r="F1164" s="19"/>
      <c r="G1164" s="2"/>
      <c r="H1164" s="2"/>
      <c r="I1164" s="2"/>
      <c r="J1164" s="2"/>
      <c r="L1164" s="20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  <c r="AA1164" s="20"/>
      <c r="AB1164" s="20"/>
      <c r="AC1164" s="20"/>
      <c r="AD1164" s="20"/>
      <c r="AE1164" s="20"/>
    </row>
    <row r="1165" spans="2:31" x14ac:dyDescent="0.25">
      <c r="B1165" s="2"/>
      <c r="C1165" s="19"/>
      <c r="D1165" s="2"/>
      <c r="E1165" s="2"/>
      <c r="F1165" s="19"/>
      <c r="G1165" s="2"/>
      <c r="H1165" s="2"/>
      <c r="I1165" s="2"/>
      <c r="J1165" s="2"/>
      <c r="L1165" s="20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  <c r="AA1165" s="20"/>
      <c r="AB1165" s="20"/>
      <c r="AC1165" s="20"/>
      <c r="AD1165" s="20"/>
      <c r="AE1165" s="20"/>
    </row>
    <row r="1166" spans="2:31" x14ac:dyDescent="0.25">
      <c r="B1166" s="2"/>
      <c r="C1166" s="19"/>
      <c r="D1166" s="2"/>
      <c r="E1166" s="2"/>
      <c r="F1166" s="19"/>
      <c r="G1166" s="2"/>
      <c r="H1166" s="2"/>
      <c r="I1166" s="2"/>
      <c r="J1166" s="2"/>
      <c r="L1166" s="20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  <c r="AA1166" s="20"/>
      <c r="AB1166" s="20"/>
      <c r="AC1166" s="20"/>
      <c r="AD1166" s="20"/>
      <c r="AE1166" s="20"/>
    </row>
    <row r="1167" spans="2:31" x14ac:dyDescent="0.25">
      <c r="B1167" s="2"/>
      <c r="C1167" s="19"/>
      <c r="D1167" s="2"/>
      <c r="E1167" s="2"/>
      <c r="F1167" s="19"/>
      <c r="G1167" s="2"/>
      <c r="H1167" s="2"/>
      <c r="I1167" s="2"/>
      <c r="J1167" s="2"/>
      <c r="L1167" s="20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  <c r="AA1167" s="20"/>
      <c r="AB1167" s="20"/>
      <c r="AC1167" s="20"/>
      <c r="AD1167" s="20"/>
      <c r="AE1167" s="20"/>
    </row>
    <row r="1168" spans="2:31" x14ac:dyDescent="0.25">
      <c r="B1168" s="2"/>
      <c r="C1168" s="19"/>
      <c r="D1168" s="2"/>
      <c r="E1168" s="2"/>
      <c r="F1168" s="19"/>
      <c r="G1168" s="2"/>
      <c r="H1168" s="2"/>
      <c r="I1168" s="2"/>
      <c r="J1168" s="2"/>
      <c r="L1168" s="20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  <c r="AA1168" s="20"/>
      <c r="AB1168" s="20"/>
      <c r="AC1168" s="20"/>
      <c r="AD1168" s="20"/>
      <c r="AE1168" s="20"/>
    </row>
    <row r="1169" spans="2:31" x14ac:dyDescent="0.25">
      <c r="B1169" s="2"/>
      <c r="C1169" s="19"/>
      <c r="D1169" s="2"/>
      <c r="E1169" s="2"/>
      <c r="F1169" s="19"/>
      <c r="G1169" s="2"/>
      <c r="H1169" s="2"/>
      <c r="I1169" s="2"/>
      <c r="J1169" s="2"/>
      <c r="L1169" s="20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  <c r="AA1169" s="20"/>
      <c r="AB1169" s="20"/>
      <c r="AC1169" s="20"/>
      <c r="AD1169" s="20"/>
      <c r="AE1169" s="20"/>
    </row>
    <row r="1170" spans="2:31" x14ac:dyDescent="0.25">
      <c r="B1170" s="2"/>
      <c r="C1170" s="19"/>
      <c r="D1170" s="2"/>
      <c r="E1170" s="2"/>
      <c r="F1170" s="19"/>
      <c r="G1170" s="2"/>
      <c r="H1170" s="2"/>
      <c r="I1170" s="2"/>
      <c r="J1170" s="2"/>
      <c r="L1170" s="20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  <c r="AA1170" s="20"/>
      <c r="AB1170" s="20"/>
      <c r="AC1170" s="20"/>
      <c r="AD1170" s="20"/>
      <c r="AE1170" s="20"/>
    </row>
    <row r="1171" spans="2:31" x14ac:dyDescent="0.25">
      <c r="B1171" s="2"/>
      <c r="C1171" s="19"/>
      <c r="D1171" s="2"/>
      <c r="E1171" s="2"/>
      <c r="F1171" s="19"/>
      <c r="G1171" s="2"/>
      <c r="H1171" s="2"/>
      <c r="I1171" s="2"/>
      <c r="J1171" s="2"/>
      <c r="L1171" s="20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  <c r="AA1171" s="20"/>
      <c r="AB1171" s="20"/>
      <c r="AC1171" s="20"/>
      <c r="AD1171" s="20"/>
      <c r="AE1171" s="20"/>
    </row>
    <row r="1172" spans="2:31" x14ac:dyDescent="0.25">
      <c r="B1172" s="2"/>
      <c r="C1172" s="19"/>
      <c r="D1172" s="2"/>
      <c r="E1172" s="2"/>
      <c r="F1172" s="19"/>
      <c r="G1172" s="2"/>
      <c r="H1172" s="2"/>
      <c r="I1172" s="2"/>
      <c r="J1172" s="2"/>
      <c r="L1172" s="20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  <c r="AA1172" s="20"/>
      <c r="AB1172" s="20"/>
      <c r="AC1172" s="20"/>
      <c r="AD1172" s="20"/>
      <c r="AE1172" s="20"/>
    </row>
    <row r="1173" spans="2:31" x14ac:dyDescent="0.25">
      <c r="B1173" s="2"/>
      <c r="C1173" s="19"/>
      <c r="D1173" s="2"/>
      <c r="E1173" s="2"/>
      <c r="F1173" s="19"/>
      <c r="G1173" s="2"/>
      <c r="H1173" s="2"/>
      <c r="I1173" s="2"/>
      <c r="J1173" s="2"/>
      <c r="L1173" s="20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  <c r="AA1173" s="20"/>
      <c r="AB1173" s="20"/>
      <c r="AC1173" s="20"/>
      <c r="AD1173" s="20"/>
      <c r="AE1173" s="20"/>
    </row>
    <row r="1174" spans="2:31" x14ac:dyDescent="0.25">
      <c r="B1174" s="2"/>
      <c r="C1174" s="19"/>
      <c r="D1174" s="2"/>
      <c r="E1174" s="2"/>
      <c r="F1174" s="19"/>
      <c r="G1174" s="2"/>
      <c r="H1174" s="2"/>
      <c r="I1174" s="2"/>
      <c r="J1174" s="2"/>
      <c r="L1174" s="20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  <c r="AA1174" s="20"/>
      <c r="AB1174" s="20"/>
      <c r="AC1174" s="20"/>
      <c r="AD1174" s="20"/>
      <c r="AE1174" s="20"/>
    </row>
    <row r="1175" spans="2:31" x14ac:dyDescent="0.25">
      <c r="B1175" s="2"/>
      <c r="C1175" s="19"/>
      <c r="D1175" s="2"/>
      <c r="E1175" s="2"/>
      <c r="F1175" s="19"/>
      <c r="G1175" s="2"/>
      <c r="H1175" s="2"/>
      <c r="I1175" s="2"/>
      <c r="J1175" s="2"/>
      <c r="L1175" s="20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  <c r="AA1175" s="20"/>
      <c r="AB1175" s="20"/>
      <c r="AC1175" s="20"/>
      <c r="AD1175" s="20"/>
      <c r="AE1175" s="20"/>
    </row>
    <row r="1176" spans="2:31" x14ac:dyDescent="0.25">
      <c r="B1176" s="2"/>
      <c r="C1176" s="19"/>
      <c r="D1176" s="2"/>
      <c r="E1176" s="2"/>
      <c r="F1176" s="19"/>
      <c r="G1176" s="2"/>
      <c r="H1176" s="2"/>
      <c r="I1176" s="2"/>
      <c r="J1176" s="2"/>
      <c r="L1176" s="20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  <c r="AA1176" s="20"/>
      <c r="AB1176" s="20"/>
      <c r="AC1176" s="20"/>
      <c r="AD1176" s="20"/>
      <c r="AE1176" s="20"/>
    </row>
    <row r="1177" spans="2:31" x14ac:dyDescent="0.25">
      <c r="B1177" s="2"/>
      <c r="C1177" s="19"/>
      <c r="D1177" s="2"/>
      <c r="E1177" s="2"/>
      <c r="F1177" s="19"/>
      <c r="G1177" s="2"/>
      <c r="H1177" s="2"/>
      <c r="I1177" s="2"/>
      <c r="J1177" s="2"/>
      <c r="L1177" s="20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  <c r="AA1177" s="20"/>
      <c r="AB1177" s="20"/>
      <c r="AC1177" s="20"/>
      <c r="AD1177" s="20"/>
      <c r="AE1177" s="20"/>
    </row>
    <row r="1178" spans="2:31" x14ac:dyDescent="0.25">
      <c r="B1178" s="2"/>
      <c r="C1178" s="19"/>
      <c r="D1178" s="2"/>
      <c r="E1178" s="2"/>
      <c r="F1178" s="19"/>
      <c r="G1178" s="2"/>
      <c r="H1178" s="2"/>
      <c r="I1178" s="2"/>
      <c r="J1178" s="2"/>
      <c r="L1178" s="20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  <c r="AA1178" s="20"/>
      <c r="AB1178" s="20"/>
      <c r="AC1178" s="20"/>
      <c r="AD1178" s="20"/>
      <c r="AE1178" s="20"/>
    </row>
    <row r="1179" spans="2:31" x14ac:dyDescent="0.25">
      <c r="B1179" s="2"/>
      <c r="C1179" s="19"/>
      <c r="D1179" s="2"/>
      <c r="E1179" s="2"/>
      <c r="F1179" s="19"/>
      <c r="G1179" s="2"/>
      <c r="H1179" s="2"/>
      <c r="I1179" s="2"/>
      <c r="J1179" s="2"/>
      <c r="L1179" s="20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  <c r="AA1179" s="20"/>
      <c r="AB1179" s="20"/>
      <c r="AC1179" s="20"/>
      <c r="AD1179" s="20"/>
      <c r="AE1179" s="20"/>
    </row>
    <row r="1180" spans="2:31" x14ac:dyDescent="0.25">
      <c r="B1180" s="2"/>
      <c r="C1180" s="19"/>
      <c r="D1180" s="2"/>
      <c r="E1180" s="2"/>
      <c r="F1180" s="19"/>
      <c r="G1180" s="2"/>
      <c r="H1180" s="2"/>
      <c r="I1180" s="2"/>
      <c r="J1180" s="2"/>
      <c r="L1180" s="20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  <c r="AA1180" s="20"/>
      <c r="AB1180" s="20"/>
      <c r="AC1180" s="20"/>
      <c r="AD1180" s="20"/>
      <c r="AE1180" s="20"/>
    </row>
    <row r="1181" spans="2:31" x14ac:dyDescent="0.25">
      <c r="B1181" s="2"/>
      <c r="C1181" s="19"/>
      <c r="D1181" s="2"/>
      <c r="E1181" s="2"/>
      <c r="F1181" s="19"/>
      <c r="G1181" s="2"/>
      <c r="H1181" s="2"/>
      <c r="I1181" s="2"/>
      <c r="J1181" s="2"/>
      <c r="L1181" s="20"/>
      <c r="M1181" s="20"/>
      <c r="N1181" s="20"/>
      <c r="O1181" s="20"/>
      <c r="P1181" s="20"/>
      <c r="Q1181" s="20"/>
      <c r="R1181" s="20"/>
      <c r="S1181" s="20"/>
      <c r="T1181" s="20"/>
      <c r="U1181" s="20"/>
      <c r="V1181" s="20"/>
      <c r="W1181" s="20"/>
      <c r="X1181" s="20"/>
      <c r="Y1181" s="20"/>
      <c r="Z1181" s="20"/>
      <c r="AA1181" s="20"/>
      <c r="AB1181" s="20"/>
      <c r="AC1181" s="20"/>
      <c r="AD1181" s="20"/>
      <c r="AE1181" s="20"/>
    </row>
    <row r="1182" spans="2:31" x14ac:dyDescent="0.25">
      <c r="B1182" s="2"/>
      <c r="C1182" s="19"/>
      <c r="D1182" s="2"/>
      <c r="E1182" s="2"/>
      <c r="F1182" s="19"/>
      <c r="G1182" s="2"/>
      <c r="H1182" s="2"/>
      <c r="I1182" s="2"/>
      <c r="J1182" s="2"/>
      <c r="L1182" s="20"/>
      <c r="M1182" s="20"/>
      <c r="N1182" s="20"/>
      <c r="O1182" s="20"/>
      <c r="P1182" s="20"/>
      <c r="Q1182" s="20"/>
      <c r="R1182" s="20"/>
      <c r="S1182" s="20"/>
      <c r="T1182" s="20"/>
      <c r="U1182" s="20"/>
      <c r="V1182" s="20"/>
      <c r="W1182" s="20"/>
      <c r="X1182" s="20"/>
      <c r="Y1182" s="20"/>
      <c r="Z1182" s="20"/>
      <c r="AA1182" s="20"/>
      <c r="AB1182" s="20"/>
      <c r="AC1182" s="20"/>
      <c r="AD1182" s="20"/>
      <c r="AE1182" s="20"/>
    </row>
    <row r="1183" spans="2:31" x14ac:dyDescent="0.25">
      <c r="B1183" s="2"/>
      <c r="C1183" s="19"/>
      <c r="D1183" s="2"/>
      <c r="E1183" s="2"/>
      <c r="F1183" s="19"/>
      <c r="G1183" s="2"/>
      <c r="H1183" s="2"/>
      <c r="I1183" s="2"/>
      <c r="J1183" s="2"/>
      <c r="L1183" s="20"/>
      <c r="M1183" s="20"/>
      <c r="N1183" s="20"/>
      <c r="O1183" s="20"/>
      <c r="P1183" s="20"/>
      <c r="Q1183" s="20"/>
      <c r="R1183" s="20"/>
      <c r="S1183" s="20"/>
      <c r="T1183" s="20"/>
      <c r="U1183" s="20"/>
      <c r="V1183" s="20"/>
      <c r="W1183" s="20"/>
      <c r="X1183" s="20"/>
      <c r="Y1183" s="20"/>
      <c r="Z1183" s="20"/>
      <c r="AA1183" s="20"/>
      <c r="AB1183" s="20"/>
      <c r="AC1183" s="20"/>
      <c r="AD1183" s="20"/>
      <c r="AE1183" s="20"/>
    </row>
    <row r="1184" spans="2:31" x14ac:dyDescent="0.25">
      <c r="B1184" s="2"/>
      <c r="C1184" s="19"/>
      <c r="D1184" s="2"/>
      <c r="E1184" s="2"/>
      <c r="F1184" s="19"/>
      <c r="G1184" s="2"/>
      <c r="H1184" s="2"/>
      <c r="I1184" s="2"/>
      <c r="J1184" s="2"/>
      <c r="L1184" s="20"/>
      <c r="M1184" s="20"/>
      <c r="N1184" s="20"/>
      <c r="O1184" s="20"/>
      <c r="P1184" s="20"/>
      <c r="Q1184" s="20"/>
      <c r="R1184" s="20"/>
      <c r="S1184" s="20"/>
      <c r="T1184" s="20"/>
      <c r="U1184" s="20"/>
      <c r="V1184" s="20"/>
      <c r="W1184" s="20"/>
      <c r="X1184" s="20"/>
      <c r="Y1184" s="20"/>
      <c r="Z1184" s="20"/>
      <c r="AA1184" s="20"/>
      <c r="AB1184" s="20"/>
      <c r="AC1184" s="20"/>
      <c r="AD1184" s="20"/>
      <c r="AE1184" s="20"/>
    </row>
    <row r="1185" spans="2:31" x14ac:dyDescent="0.25">
      <c r="B1185" s="2"/>
      <c r="C1185" s="19"/>
      <c r="D1185" s="2"/>
      <c r="E1185" s="2"/>
      <c r="F1185" s="19"/>
      <c r="G1185" s="2"/>
      <c r="H1185" s="2"/>
      <c r="I1185" s="2"/>
      <c r="J1185" s="2"/>
      <c r="L1185" s="20"/>
      <c r="M1185" s="20"/>
      <c r="N1185" s="20"/>
      <c r="O1185" s="20"/>
      <c r="P1185" s="20"/>
      <c r="Q1185" s="20"/>
      <c r="R1185" s="20"/>
      <c r="S1185" s="20"/>
      <c r="T1185" s="20"/>
      <c r="U1185" s="20"/>
      <c r="V1185" s="20"/>
      <c r="W1185" s="20"/>
      <c r="X1185" s="20"/>
      <c r="Y1185" s="20"/>
      <c r="Z1185" s="20"/>
      <c r="AA1185" s="20"/>
      <c r="AB1185" s="20"/>
      <c r="AC1185" s="20"/>
      <c r="AD1185" s="20"/>
      <c r="AE1185" s="20"/>
    </row>
    <row r="1186" spans="2:31" x14ac:dyDescent="0.25">
      <c r="B1186" s="2"/>
      <c r="C1186" s="19"/>
      <c r="D1186" s="2"/>
      <c r="E1186" s="2"/>
      <c r="F1186" s="19"/>
      <c r="G1186" s="2"/>
      <c r="H1186" s="2"/>
      <c r="I1186" s="2"/>
      <c r="J1186" s="2"/>
      <c r="L1186" s="20"/>
      <c r="M1186" s="20"/>
      <c r="N1186" s="20"/>
      <c r="O1186" s="20"/>
      <c r="P1186" s="20"/>
      <c r="Q1186" s="20"/>
      <c r="R1186" s="20"/>
      <c r="S1186" s="20"/>
      <c r="T1186" s="20"/>
      <c r="U1186" s="20"/>
      <c r="V1186" s="20"/>
      <c r="W1186" s="20"/>
      <c r="X1186" s="20"/>
      <c r="Y1186" s="20"/>
      <c r="Z1186" s="20"/>
      <c r="AA1186" s="20"/>
      <c r="AB1186" s="20"/>
      <c r="AC1186" s="20"/>
      <c r="AD1186" s="20"/>
      <c r="AE1186" s="20"/>
    </row>
    <row r="1187" spans="2:31" x14ac:dyDescent="0.25">
      <c r="B1187" s="2"/>
      <c r="C1187" s="19"/>
      <c r="D1187" s="2"/>
      <c r="E1187" s="2"/>
      <c r="F1187" s="19"/>
      <c r="G1187" s="2"/>
      <c r="H1187" s="2"/>
      <c r="I1187" s="2"/>
      <c r="J1187" s="2"/>
      <c r="L1187" s="20"/>
      <c r="M1187" s="20"/>
      <c r="N1187" s="20"/>
      <c r="O1187" s="20"/>
      <c r="P1187" s="20"/>
      <c r="Q1187" s="20"/>
      <c r="R1187" s="20"/>
      <c r="S1187" s="20"/>
      <c r="T1187" s="20"/>
      <c r="U1187" s="20"/>
      <c r="V1187" s="20"/>
      <c r="W1187" s="20"/>
      <c r="X1187" s="20"/>
      <c r="Y1187" s="20"/>
      <c r="Z1187" s="20"/>
      <c r="AA1187" s="20"/>
      <c r="AB1187" s="20"/>
      <c r="AC1187" s="20"/>
      <c r="AD1187" s="20"/>
      <c r="AE1187" s="20"/>
    </row>
    <row r="1188" spans="2:31" x14ac:dyDescent="0.25">
      <c r="B1188" s="2"/>
      <c r="C1188" s="19"/>
      <c r="D1188" s="2"/>
      <c r="E1188" s="2"/>
      <c r="F1188" s="19"/>
      <c r="G1188" s="2"/>
      <c r="H1188" s="2"/>
      <c r="I1188" s="2"/>
      <c r="J1188" s="2"/>
      <c r="L1188" s="20"/>
      <c r="M1188" s="20"/>
      <c r="N1188" s="20"/>
      <c r="O1188" s="20"/>
      <c r="P1188" s="20"/>
      <c r="Q1188" s="20"/>
      <c r="R1188" s="20"/>
      <c r="S1188" s="20"/>
      <c r="T1188" s="20"/>
      <c r="U1188" s="20"/>
      <c r="V1188" s="20"/>
      <c r="W1188" s="20"/>
      <c r="X1188" s="20"/>
      <c r="Y1188" s="20"/>
      <c r="Z1188" s="20"/>
      <c r="AA1188" s="20"/>
      <c r="AB1188" s="20"/>
      <c r="AC1188" s="20"/>
      <c r="AD1188" s="20"/>
      <c r="AE1188" s="20"/>
    </row>
    <row r="1189" spans="2:31" x14ac:dyDescent="0.25">
      <c r="B1189" s="2"/>
      <c r="C1189" s="19"/>
      <c r="D1189" s="2"/>
      <c r="E1189" s="2"/>
      <c r="F1189" s="19"/>
      <c r="G1189" s="2"/>
      <c r="H1189" s="2"/>
      <c r="I1189" s="2"/>
      <c r="J1189" s="2"/>
      <c r="L1189" s="20"/>
      <c r="M1189" s="20"/>
      <c r="N1189" s="20"/>
      <c r="O1189" s="20"/>
      <c r="P1189" s="20"/>
      <c r="Q1189" s="20"/>
      <c r="R1189" s="20"/>
      <c r="S1189" s="20"/>
      <c r="T1189" s="20"/>
      <c r="U1189" s="20"/>
      <c r="V1189" s="20"/>
      <c r="W1189" s="20"/>
      <c r="X1189" s="20"/>
      <c r="Y1189" s="20"/>
      <c r="Z1189" s="20"/>
      <c r="AA1189" s="20"/>
      <c r="AB1189" s="20"/>
      <c r="AC1189" s="20"/>
      <c r="AD1189" s="20"/>
      <c r="AE1189" s="20"/>
    </row>
    <row r="1190" spans="2:31" x14ac:dyDescent="0.25">
      <c r="B1190" s="2"/>
      <c r="C1190" s="19"/>
      <c r="D1190" s="2"/>
      <c r="E1190" s="2"/>
      <c r="F1190" s="19"/>
      <c r="G1190" s="2"/>
      <c r="H1190" s="2"/>
      <c r="I1190" s="2"/>
      <c r="J1190" s="2"/>
      <c r="L1190" s="20"/>
      <c r="M1190" s="20"/>
      <c r="N1190" s="20"/>
      <c r="O1190" s="20"/>
      <c r="P1190" s="20"/>
      <c r="Q1190" s="20"/>
      <c r="R1190" s="20"/>
      <c r="S1190" s="20"/>
      <c r="T1190" s="20"/>
      <c r="U1190" s="20"/>
      <c r="V1190" s="20"/>
      <c r="W1190" s="20"/>
      <c r="X1190" s="20"/>
      <c r="Y1190" s="20"/>
      <c r="Z1190" s="20"/>
      <c r="AA1190" s="20"/>
      <c r="AB1190" s="20"/>
      <c r="AC1190" s="20"/>
      <c r="AD1190" s="20"/>
      <c r="AE1190" s="20"/>
    </row>
    <row r="1191" spans="2:31" x14ac:dyDescent="0.25">
      <c r="B1191" s="2"/>
      <c r="C1191" s="19"/>
      <c r="D1191" s="2"/>
      <c r="E1191" s="2"/>
      <c r="F1191" s="19"/>
      <c r="G1191" s="2"/>
      <c r="H1191" s="2"/>
      <c r="I1191" s="2"/>
      <c r="J1191" s="2"/>
      <c r="L1191" s="20"/>
      <c r="M1191" s="20"/>
      <c r="N1191" s="20"/>
      <c r="O1191" s="20"/>
      <c r="P1191" s="20"/>
      <c r="Q1191" s="20"/>
      <c r="R1191" s="20"/>
      <c r="S1191" s="20"/>
      <c r="T1191" s="20"/>
      <c r="U1191" s="20"/>
      <c r="V1191" s="20"/>
      <c r="W1191" s="20"/>
      <c r="X1191" s="20"/>
      <c r="Y1191" s="20"/>
      <c r="Z1191" s="20"/>
      <c r="AA1191" s="20"/>
      <c r="AB1191" s="20"/>
      <c r="AC1191" s="20"/>
      <c r="AD1191" s="20"/>
      <c r="AE1191" s="20"/>
    </row>
    <row r="1192" spans="2:31" x14ac:dyDescent="0.25">
      <c r="B1192" s="2"/>
      <c r="C1192" s="19"/>
      <c r="D1192" s="2"/>
      <c r="E1192" s="2"/>
      <c r="F1192" s="19"/>
      <c r="G1192" s="2"/>
      <c r="H1192" s="2"/>
      <c r="I1192" s="2"/>
      <c r="J1192" s="2"/>
      <c r="L1192" s="20"/>
      <c r="M1192" s="20"/>
      <c r="N1192" s="20"/>
      <c r="O1192" s="20"/>
      <c r="P1192" s="20"/>
      <c r="Q1192" s="20"/>
      <c r="R1192" s="20"/>
      <c r="S1192" s="20"/>
      <c r="T1192" s="20"/>
      <c r="U1192" s="20"/>
      <c r="V1192" s="20"/>
      <c r="W1192" s="20"/>
      <c r="X1192" s="20"/>
      <c r="Y1192" s="20"/>
      <c r="Z1192" s="20"/>
      <c r="AA1192" s="20"/>
      <c r="AB1192" s="20"/>
      <c r="AC1192" s="20"/>
      <c r="AD1192" s="20"/>
      <c r="AE1192" s="20"/>
    </row>
    <row r="1193" spans="2:31" x14ac:dyDescent="0.25">
      <c r="B1193" s="2"/>
      <c r="C1193" s="19"/>
      <c r="D1193" s="2"/>
      <c r="E1193" s="2"/>
      <c r="F1193" s="19"/>
      <c r="G1193" s="2"/>
      <c r="H1193" s="2"/>
      <c r="I1193" s="2"/>
      <c r="J1193" s="2"/>
      <c r="L1193" s="20"/>
      <c r="M1193" s="20"/>
      <c r="N1193" s="20"/>
      <c r="O1193" s="20"/>
      <c r="P1193" s="20"/>
      <c r="Q1193" s="20"/>
      <c r="R1193" s="20"/>
      <c r="S1193" s="20"/>
      <c r="T1193" s="20"/>
      <c r="U1193" s="20"/>
      <c r="V1193" s="20"/>
      <c r="W1193" s="20"/>
      <c r="X1193" s="20"/>
      <c r="Y1193" s="20"/>
      <c r="Z1193" s="20"/>
      <c r="AA1193" s="20"/>
      <c r="AB1193" s="20"/>
      <c r="AC1193" s="20"/>
      <c r="AD1193" s="20"/>
      <c r="AE1193" s="20"/>
    </row>
    <row r="1194" spans="2:31" x14ac:dyDescent="0.25">
      <c r="B1194" s="2"/>
      <c r="C1194" s="19"/>
      <c r="D1194" s="2"/>
      <c r="E1194" s="2"/>
      <c r="F1194" s="19"/>
      <c r="G1194" s="2"/>
      <c r="H1194" s="2"/>
      <c r="I1194" s="2"/>
      <c r="J1194" s="2"/>
      <c r="L1194" s="20"/>
      <c r="M1194" s="20"/>
      <c r="N1194" s="20"/>
      <c r="O1194" s="20"/>
      <c r="P1194" s="20"/>
      <c r="Q1194" s="20"/>
      <c r="R1194" s="20"/>
      <c r="S1194" s="20"/>
      <c r="T1194" s="20"/>
      <c r="U1194" s="20"/>
      <c r="V1194" s="20"/>
      <c r="W1194" s="20"/>
      <c r="X1194" s="20"/>
      <c r="Y1194" s="20"/>
      <c r="Z1194" s="20"/>
      <c r="AA1194" s="20"/>
      <c r="AB1194" s="20"/>
      <c r="AC1194" s="20"/>
      <c r="AD1194" s="20"/>
      <c r="AE1194" s="20"/>
    </row>
    <row r="1195" spans="2:31" x14ac:dyDescent="0.25">
      <c r="B1195" s="2"/>
      <c r="C1195" s="19"/>
      <c r="D1195" s="2"/>
      <c r="E1195" s="2"/>
      <c r="F1195" s="19"/>
      <c r="G1195" s="2"/>
      <c r="H1195" s="2"/>
      <c r="I1195" s="2"/>
      <c r="J1195" s="2"/>
      <c r="L1195" s="20"/>
      <c r="M1195" s="20"/>
      <c r="N1195" s="20"/>
      <c r="O1195" s="20"/>
      <c r="P1195" s="20"/>
      <c r="Q1195" s="20"/>
      <c r="R1195" s="20"/>
      <c r="S1195" s="20"/>
      <c r="T1195" s="20"/>
      <c r="U1195" s="20"/>
      <c r="V1195" s="20"/>
      <c r="W1195" s="20"/>
      <c r="X1195" s="20"/>
      <c r="Y1195" s="20"/>
      <c r="Z1195" s="20"/>
      <c r="AA1195" s="20"/>
      <c r="AB1195" s="20"/>
      <c r="AC1195" s="20"/>
      <c r="AD1195" s="20"/>
      <c r="AE1195" s="20"/>
    </row>
    <row r="1196" spans="2:31" x14ac:dyDescent="0.25">
      <c r="B1196" s="2"/>
      <c r="C1196" s="19"/>
      <c r="D1196" s="2"/>
      <c r="E1196" s="2"/>
      <c r="F1196" s="19"/>
      <c r="G1196" s="2"/>
      <c r="H1196" s="2"/>
      <c r="I1196" s="2"/>
      <c r="J1196" s="2"/>
      <c r="L1196" s="20"/>
      <c r="M1196" s="20"/>
      <c r="N1196" s="20"/>
      <c r="O1196" s="20"/>
      <c r="P1196" s="20"/>
      <c r="Q1196" s="20"/>
      <c r="R1196" s="20"/>
      <c r="S1196" s="20"/>
      <c r="T1196" s="20"/>
      <c r="U1196" s="20"/>
      <c r="V1196" s="20"/>
      <c r="W1196" s="20"/>
      <c r="X1196" s="20"/>
      <c r="Y1196" s="20"/>
      <c r="Z1196" s="20"/>
      <c r="AA1196" s="20"/>
      <c r="AB1196" s="20"/>
      <c r="AC1196" s="20"/>
      <c r="AD1196" s="20"/>
      <c r="AE1196" s="20"/>
    </row>
    <row r="1197" spans="2:31" x14ac:dyDescent="0.25">
      <c r="B1197" s="2"/>
      <c r="C1197" s="19"/>
      <c r="D1197" s="2"/>
      <c r="E1197" s="2"/>
      <c r="F1197" s="19"/>
      <c r="G1197" s="2"/>
      <c r="H1197" s="2"/>
      <c r="I1197" s="2"/>
      <c r="J1197" s="2"/>
      <c r="L1197" s="20"/>
      <c r="M1197" s="20"/>
      <c r="N1197" s="20"/>
      <c r="O1197" s="20"/>
      <c r="P1197" s="20"/>
      <c r="Q1197" s="20"/>
      <c r="R1197" s="20"/>
      <c r="S1197" s="20"/>
      <c r="T1197" s="20"/>
      <c r="U1197" s="20"/>
      <c r="V1197" s="20"/>
      <c r="W1197" s="20"/>
      <c r="X1197" s="20"/>
      <c r="Y1197" s="20"/>
      <c r="Z1197" s="20"/>
      <c r="AA1197" s="20"/>
      <c r="AB1197" s="20"/>
      <c r="AC1197" s="20"/>
      <c r="AD1197" s="20"/>
      <c r="AE1197" s="20"/>
    </row>
    <row r="1198" spans="2:31" x14ac:dyDescent="0.25">
      <c r="B1198" s="2"/>
      <c r="C1198" s="19"/>
      <c r="D1198" s="2"/>
      <c r="E1198" s="2"/>
      <c r="F1198" s="19"/>
      <c r="G1198" s="2"/>
      <c r="H1198" s="2"/>
      <c r="I1198" s="2"/>
      <c r="J1198" s="2"/>
      <c r="L1198" s="20"/>
      <c r="M1198" s="20"/>
      <c r="N1198" s="20"/>
      <c r="O1198" s="20"/>
      <c r="P1198" s="20"/>
      <c r="Q1198" s="20"/>
      <c r="R1198" s="20"/>
      <c r="S1198" s="20"/>
      <c r="T1198" s="20"/>
      <c r="U1198" s="20"/>
      <c r="V1198" s="20"/>
      <c r="W1198" s="20"/>
      <c r="X1198" s="20"/>
      <c r="Y1198" s="20"/>
      <c r="Z1198" s="20"/>
      <c r="AA1198" s="20"/>
      <c r="AB1198" s="20"/>
      <c r="AC1198" s="20"/>
      <c r="AD1198" s="20"/>
      <c r="AE1198" s="20"/>
    </row>
    <row r="1199" spans="2:31" x14ac:dyDescent="0.25">
      <c r="B1199" s="2"/>
      <c r="C1199" s="19"/>
      <c r="D1199" s="2"/>
      <c r="E1199" s="2"/>
      <c r="F1199" s="19"/>
      <c r="G1199" s="2"/>
      <c r="H1199" s="2"/>
      <c r="I1199" s="2"/>
      <c r="J1199" s="2"/>
      <c r="L1199" s="20"/>
      <c r="M1199" s="20"/>
      <c r="N1199" s="20"/>
      <c r="O1199" s="20"/>
      <c r="P1199" s="20"/>
      <c r="Q1199" s="20"/>
      <c r="R1199" s="20"/>
      <c r="S1199" s="20"/>
      <c r="T1199" s="20"/>
      <c r="U1199" s="20"/>
      <c r="V1199" s="20"/>
      <c r="W1199" s="20"/>
      <c r="X1199" s="20"/>
      <c r="Y1199" s="20"/>
      <c r="Z1199" s="20"/>
      <c r="AA1199" s="20"/>
      <c r="AB1199" s="20"/>
      <c r="AC1199" s="20"/>
      <c r="AD1199" s="20"/>
      <c r="AE1199" s="20"/>
    </row>
    <row r="1200" spans="2:31" x14ac:dyDescent="0.25">
      <c r="B1200" s="2"/>
      <c r="C1200" s="19"/>
      <c r="D1200" s="2"/>
      <c r="E1200" s="2"/>
      <c r="F1200" s="19"/>
      <c r="G1200" s="2"/>
      <c r="H1200" s="2"/>
      <c r="I1200" s="2"/>
      <c r="J1200" s="2"/>
      <c r="L1200" s="20"/>
      <c r="M1200" s="20"/>
      <c r="N1200" s="20"/>
      <c r="O1200" s="20"/>
      <c r="P1200" s="20"/>
      <c r="Q1200" s="20"/>
      <c r="R1200" s="20"/>
      <c r="S1200" s="20"/>
      <c r="T1200" s="20"/>
      <c r="U1200" s="20"/>
      <c r="V1200" s="20"/>
      <c r="W1200" s="20"/>
      <c r="X1200" s="20"/>
      <c r="Y1200" s="20"/>
      <c r="Z1200" s="20"/>
      <c r="AA1200" s="20"/>
      <c r="AB1200" s="20"/>
      <c r="AC1200" s="20"/>
      <c r="AD1200" s="20"/>
      <c r="AE1200" s="20"/>
    </row>
    <row r="1201" spans="2:31" x14ac:dyDescent="0.25">
      <c r="B1201" s="2"/>
      <c r="C1201" s="19"/>
      <c r="D1201" s="2"/>
      <c r="E1201" s="2"/>
      <c r="F1201" s="19"/>
      <c r="G1201" s="2"/>
      <c r="H1201" s="2"/>
      <c r="I1201" s="2"/>
      <c r="J1201" s="2"/>
      <c r="L1201" s="20"/>
      <c r="M1201" s="20"/>
      <c r="N1201" s="20"/>
      <c r="O1201" s="20"/>
      <c r="P1201" s="20"/>
      <c r="Q1201" s="20"/>
      <c r="R1201" s="20"/>
      <c r="S1201" s="20"/>
      <c r="T1201" s="20"/>
      <c r="U1201" s="20"/>
      <c r="V1201" s="20"/>
      <c r="W1201" s="20"/>
      <c r="X1201" s="20"/>
      <c r="Y1201" s="20"/>
      <c r="Z1201" s="20"/>
      <c r="AA1201" s="20"/>
      <c r="AB1201" s="20"/>
      <c r="AC1201" s="20"/>
      <c r="AD1201" s="20"/>
      <c r="AE1201" s="20"/>
    </row>
    <row r="1202" spans="2:31" x14ac:dyDescent="0.25">
      <c r="B1202" s="2"/>
      <c r="C1202" s="19"/>
      <c r="D1202" s="2"/>
      <c r="E1202" s="2"/>
      <c r="F1202" s="19"/>
      <c r="G1202" s="2"/>
      <c r="H1202" s="2"/>
      <c r="I1202" s="2"/>
      <c r="J1202" s="2"/>
      <c r="L1202" s="20"/>
      <c r="M1202" s="20"/>
      <c r="N1202" s="20"/>
      <c r="O1202" s="20"/>
      <c r="P1202" s="20"/>
      <c r="Q1202" s="20"/>
      <c r="R1202" s="20"/>
      <c r="S1202" s="20"/>
      <c r="T1202" s="20"/>
      <c r="U1202" s="20"/>
      <c r="V1202" s="20"/>
      <c r="W1202" s="20"/>
      <c r="X1202" s="20"/>
      <c r="Y1202" s="20"/>
      <c r="Z1202" s="20"/>
      <c r="AA1202" s="20"/>
      <c r="AB1202" s="20"/>
      <c r="AC1202" s="20"/>
      <c r="AD1202" s="20"/>
      <c r="AE1202" s="20"/>
    </row>
    <row r="1203" spans="2:31" x14ac:dyDescent="0.25">
      <c r="B1203" s="2"/>
      <c r="C1203" s="19"/>
      <c r="D1203" s="2"/>
      <c r="E1203" s="2"/>
      <c r="F1203" s="19"/>
      <c r="G1203" s="2"/>
      <c r="H1203" s="2"/>
      <c r="I1203" s="2"/>
      <c r="J1203" s="2"/>
      <c r="L1203" s="20"/>
      <c r="M1203" s="20"/>
      <c r="N1203" s="20"/>
      <c r="O1203" s="20"/>
      <c r="P1203" s="20"/>
      <c r="Q1203" s="20"/>
      <c r="R1203" s="20"/>
      <c r="S1203" s="20"/>
      <c r="T1203" s="20"/>
      <c r="U1203" s="20"/>
      <c r="V1203" s="20"/>
      <c r="W1203" s="20"/>
      <c r="X1203" s="20"/>
      <c r="Y1203" s="20"/>
      <c r="Z1203" s="20"/>
      <c r="AA1203" s="20"/>
      <c r="AB1203" s="20"/>
      <c r="AC1203" s="20"/>
      <c r="AD1203" s="20"/>
      <c r="AE1203" s="20"/>
    </row>
    <row r="1204" spans="2:31" x14ac:dyDescent="0.25">
      <c r="B1204" s="2"/>
      <c r="C1204" s="19"/>
      <c r="D1204" s="2"/>
      <c r="E1204" s="2"/>
      <c r="F1204" s="19"/>
      <c r="G1204" s="2"/>
      <c r="H1204" s="2"/>
      <c r="I1204" s="2"/>
      <c r="J1204" s="2"/>
      <c r="L1204" s="20"/>
      <c r="M1204" s="20"/>
      <c r="N1204" s="20"/>
      <c r="O1204" s="20"/>
      <c r="P1204" s="20"/>
      <c r="Q1204" s="20"/>
      <c r="R1204" s="20"/>
      <c r="S1204" s="20"/>
      <c r="T1204" s="20"/>
      <c r="U1204" s="20"/>
      <c r="V1204" s="20"/>
      <c r="W1204" s="20"/>
      <c r="X1204" s="20"/>
      <c r="Y1204" s="20"/>
      <c r="Z1204" s="20"/>
      <c r="AA1204" s="20"/>
      <c r="AB1204" s="20"/>
      <c r="AC1204" s="20"/>
      <c r="AD1204" s="20"/>
      <c r="AE1204" s="20"/>
    </row>
    <row r="1205" spans="2:31" x14ac:dyDescent="0.25">
      <c r="B1205" s="2"/>
      <c r="C1205" s="19"/>
      <c r="D1205" s="2"/>
      <c r="E1205" s="2"/>
      <c r="F1205" s="19"/>
      <c r="G1205" s="2"/>
      <c r="H1205" s="2"/>
      <c r="I1205" s="2"/>
      <c r="J1205" s="2"/>
      <c r="L1205" s="20"/>
      <c r="M1205" s="20"/>
      <c r="N1205" s="20"/>
      <c r="O1205" s="20"/>
      <c r="P1205" s="20"/>
      <c r="Q1205" s="20"/>
      <c r="R1205" s="20"/>
      <c r="S1205" s="20"/>
      <c r="T1205" s="20"/>
      <c r="U1205" s="20"/>
      <c r="V1205" s="20"/>
      <c r="W1205" s="20"/>
      <c r="X1205" s="20"/>
      <c r="Y1205" s="20"/>
      <c r="Z1205" s="20"/>
      <c r="AA1205" s="20"/>
      <c r="AB1205" s="20"/>
      <c r="AC1205" s="20"/>
      <c r="AD1205" s="20"/>
      <c r="AE1205" s="20"/>
    </row>
    <row r="1206" spans="2:31" x14ac:dyDescent="0.25">
      <c r="B1206" s="2"/>
      <c r="C1206" s="19"/>
      <c r="D1206" s="2"/>
      <c r="E1206" s="2"/>
      <c r="F1206" s="19"/>
      <c r="G1206" s="2"/>
      <c r="H1206" s="2"/>
      <c r="I1206" s="2"/>
      <c r="J1206" s="2"/>
      <c r="L1206" s="20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  <c r="AA1206" s="20"/>
      <c r="AB1206" s="20"/>
      <c r="AC1206" s="20"/>
      <c r="AD1206" s="20"/>
      <c r="AE1206" s="20"/>
    </row>
    <row r="1207" spans="2:31" x14ac:dyDescent="0.25">
      <c r="B1207" s="2"/>
      <c r="C1207" s="19"/>
      <c r="D1207" s="2"/>
      <c r="E1207" s="2"/>
      <c r="F1207" s="19"/>
      <c r="G1207" s="2"/>
      <c r="H1207" s="2"/>
      <c r="I1207" s="2"/>
      <c r="J1207" s="2"/>
      <c r="L1207" s="20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  <c r="AA1207" s="20"/>
      <c r="AB1207" s="20"/>
      <c r="AC1207" s="20"/>
      <c r="AD1207" s="20"/>
      <c r="AE1207" s="20"/>
    </row>
    <row r="1208" spans="2:31" x14ac:dyDescent="0.25">
      <c r="B1208" s="2"/>
      <c r="C1208" s="19"/>
      <c r="D1208" s="2"/>
      <c r="E1208" s="2"/>
      <c r="F1208" s="19"/>
      <c r="G1208" s="2"/>
      <c r="H1208" s="2"/>
      <c r="I1208" s="2"/>
      <c r="J1208" s="2"/>
      <c r="L1208" s="20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  <c r="AA1208" s="20"/>
      <c r="AB1208" s="20"/>
      <c r="AC1208" s="20"/>
      <c r="AD1208" s="20"/>
      <c r="AE1208" s="20"/>
    </row>
    <row r="1209" spans="2:31" x14ac:dyDescent="0.25">
      <c r="B1209" s="2"/>
      <c r="C1209" s="19"/>
      <c r="D1209" s="2"/>
      <c r="E1209" s="2"/>
      <c r="F1209" s="19"/>
      <c r="G1209" s="2"/>
      <c r="H1209" s="2"/>
      <c r="I1209" s="2"/>
      <c r="J1209" s="2"/>
      <c r="L1209" s="20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  <c r="AA1209" s="20"/>
      <c r="AB1209" s="20"/>
      <c r="AC1209" s="20"/>
      <c r="AD1209" s="20"/>
      <c r="AE1209" s="20"/>
    </row>
    <row r="1210" spans="2:31" x14ac:dyDescent="0.25">
      <c r="B1210" s="2"/>
      <c r="C1210" s="19"/>
      <c r="D1210" s="2"/>
      <c r="E1210" s="2"/>
      <c r="F1210" s="19"/>
      <c r="G1210" s="2"/>
      <c r="H1210" s="2"/>
      <c r="I1210" s="2"/>
      <c r="J1210" s="2"/>
      <c r="L1210" s="20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  <c r="AA1210" s="20"/>
      <c r="AB1210" s="20"/>
      <c r="AC1210" s="20"/>
      <c r="AD1210" s="20"/>
      <c r="AE1210" s="20"/>
    </row>
    <row r="1211" spans="2:31" x14ac:dyDescent="0.25">
      <c r="B1211" s="2"/>
      <c r="C1211" s="19"/>
      <c r="D1211" s="2"/>
      <c r="E1211" s="2"/>
      <c r="F1211" s="19"/>
      <c r="G1211" s="2"/>
      <c r="H1211" s="2"/>
      <c r="I1211" s="2"/>
      <c r="J1211" s="2"/>
      <c r="L1211" s="20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  <c r="AA1211" s="20"/>
      <c r="AB1211" s="20"/>
      <c r="AC1211" s="20"/>
      <c r="AD1211" s="20"/>
      <c r="AE1211" s="20"/>
    </row>
    <row r="1212" spans="2:31" x14ac:dyDescent="0.25">
      <c r="B1212" s="2"/>
      <c r="C1212" s="19"/>
      <c r="D1212" s="2"/>
      <c r="E1212" s="2"/>
      <c r="F1212" s="19"/>
      <c r="G1212" s="2"/>
      <c r="H1212" s="2"/>
      <c r="I1212" s="2"/>
      <c r="J1212" s="2"/>
      <c r="L1212" s="20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  <c r="AA1212" s="20"/>
      <c r="AB1212" s="20"/>
      <c r="AC1212" s="20"/>
      <c r="AD1212" s="20"/>
      <c r="AE1212" s="20"/>
    </row>
    <row r="1213" spans="2:31" x14ac:dyDescent="0.25">
      <c r="B1213" s="2"/>
      <c r="C1213" s="19"/>
      <c r="D1213" s="2"/>
      <c r="E1213" s="2"/>
      <c r="F1213" s="19"/>
      <c r="G1213" s="2"/>
      <c r="H1213" s="2"/>
      <c r="I1213" s="2"/>
      <c r="J1213" s="2"/>
      <c r="L1213" s="20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  <c r="AA1213" s="20"/>
      <c r="AB1213" s="20"/>
      <c r="AC1213" s="20"/>
      <c r="AD1213" s="20"/>
      <c r="AE1213" s="20"/>
    </row>
    <row r="1214" spans="2:31" x14ac:dyDescent="0.25">
      <c r="B1214" s="2"/>
      <c r="C1214" s="19"/>
      <c r="D1214" s="2"/>
      <c r="E1214" s="2"/>
      <c r="F1214" s="19"/>
      <c r="G1214" s="2"/>
      <c r="H1214" s="2"/>
      <c r="I1214" s="2"/>
      <c r="J1214" s="2"/>
      <c r="L1214" s="20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  <c r="AA1214" s="20"/>
      <c r="AB1214" s="20"/>
      <c r="AC1214" s="20"/>
      <c r="AD1214" s="20"/>
      <c r="AE1214" s="20"/>
    </row>
    <row r="1215" spans="2:31" x14ac:dyDescent="0.25">
      <c r="B1215" s="2"/>
      <c r="C1215" s="19"/>
      <c r="D1215" s="2"/>
      <c r="E1215" s="2"/>
      <c r="F1215" s="19"/>
      <c r="G1215" s="2"/>
      <c r="H1215" s="2"/>
      <c r="I1215" s="2"/>
      <c r="J1215" s="2"/>
      <c r="L1215" s="20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  <c r="AA1215" s="20"/>
      <c r="AB1215" s="20"/>
      <c r="AC1215" s="20"/>
      <c r="AD1215" s="20"/>
      <c r="AE1215" s="20"/>
    </row>
    <row r="1216" spans="2:31" x14ac:dyDescent="0.25">
      <c r="B1216" s="2"/>
      <c r="C1216" s="19"/>
      <c r="D1216" s="2"/>
      <c r="E1216" s="2"/>
      <c r="F1216" s="19"/>
      <c r="G1216" s="2"/>
      <c r="H1216" s="2"/>
      <c r="I1216" s="2"/>
      <c r="J1216" s="2"/>
      <c r="L1216" s="20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  <c r="AA1216" s="20"/>
      <c r="AB1216" s="20"/>
      <c r="AC1216" s="20"/>
      <c r="AD1216" s="20"/>
      <c r="AE1216" s="20"/>
    </row>
    <row r="1217" spans="2:31" x14ac:dyDescent="0.25">
      <c r="B1217" s="2"/>
      <c r="C1217" s="19"/>
      <c r="D1217" s="2"/>
      <c r="E1217" s="2"/>
      <c r="F1217" s="19"/>
      <c r="G1217" s="2"/>
      <c r="H1217" s="2"/>
      <c r="I1217" s="2"/>
      <c r="J1217" s="2"/>
      <c r="L1217" s="20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  <c r="AA1217" s="20"/>
      <c r="AB1217" s="20"/>
      <c r="AC1217" s="20"/>
      <c r="AD1217" s="20"/>
      <c r="AE1217" s="20"/>
    </row>
    <row r="1218" spans="2:31" x14ac:dyDescent="0.25">
      <c r="B1218" s="2"/>
      <c r="C1218" s="19"/>
      <c r="D1218" s="2"/>
      <c r="E1218" s="2"/>
      <c r="F1218" s="19"/>
      <c r="G1218" s="2"/>
      <c r="H1218" s="2"/>
      <c r="I1218" s="2"/>
      <c r="J1218" s="2"/>
      <c r="L1218" s="20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  <c r="AA1218" s="20"/>
      <c r="AB1218" s="20"/>
      <c r="AC1218" s="20"/>
      <c r="AD1218" s="20"/>
      <c r="AE1218" s="20"/>
    </row>
    <row r="1219" spans="2:31" x14ac:dyDescent="0.25">
      <c r="B1219" s="2"/>
      <c r="C1219" s="19"/>
      <c r="D1219" s="2"/>
      <c r="E1219" s="2"/>
      <c r="F1219" s="19"/>
      <c r="G1219" s="2"/>
      <c r="H1219" s="2"/>
      <c r="I1219" s="2"/>
      <c r="J1219" s="2"/>
      <c r="L1219" s="20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  <c r="AA1219" s="20"/>
      <c r="AB1219" s="20"/>
      <c r="AC1219" s="20"/>
      <c r="AD1219" s="20"/>
      <c r="AE1219" s="20"/>
    </row>
    <row r="1220" spans="2:31" x14ac:dyDescent="0.25">
      <c r="B1220" s="2"/>
      <c r="C1220" s="19"/>
      <c r="D1220" s="2"/>
      <c r="E1220" s="2"/>
      <c r="F1220" s="19"/>
      <c r="G1220" s="2"/>
      <c r="H1220" s="2"/>
      <c r="I1220" s="2"/>
      <c r="J1220" s="2"/>
      <c r="L1220" s="20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  <c r="AA1220" s="20"/>
      <c r="AB1220" s="20"/>
      <c r="AC1220" s="20"/>
      <c r="AD1220" s="20"/>
      <c r="AE1220" s="20"/>
    </row>
    <row r="1221" spans="2:31" x14ac:dyDescent="0.25">
      <c r="B1221" s="2"/>
      <c r="C1221" s="19"/>
      <c r="D1221" s="2"/>
      <c r="E1221" s="2"/>
      <c r="F1221" s="19"/>
      <c r="G1221" s="2"/>
      <c r="H1221" s="2"/>
      <c r="I1221" s="2"/>
      <c r="J1221" s="2"/>
      <c r="L1221" s="20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  <c r="AA1221" s="20"/>
      <c r="AB1221" s="20"/>
      <c r="AC1221" s="20"/>
      <c r="AD1221" s="20"/>
      <c r="AE1221" s="20"/>
    </row>
    <row r="1222" spans="2:31" x14ac:dyDescent="0.25">
      <c r="B1222" s="2"/>
      <c r="C1222" s="19"/>
      <c r="D1222" s="2"/>
      <c r="E1222" s="2"/>
      <c r="F1222" s="19"/>
      <c r="G1222" s="2"/>
      <c r="H1222" s="2"/>
      <c r="I1222" s="2"/>
      <c r="J1222" s="2"/>
      <c r="L1222" s="20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  <c r="AA1222" s="20"/>
      <c r="AB1222" s="20"/>
      <c r="AC1222" s="20"/>
      <c r="AD1222" s="20"/>
      <c r="AE1222" s="20"/>
    </row>
    <row r="1223" spans="2:31" x14ac:dyDescent="0.25">
      <c r="B1223" s="2"/>
      <c r="C1223" s="19"/>
      <c r="D1223" s="2"/>
      <c r="E1223" s="2"/>
      <c r="F1223" s="19"/>
      <c r="G1223" s="2"/>
      <c r="H1223" s="2"/>
      <c r="I1223" s="2"/>
      <c r="J1223" s="2"/>
      <c r="L1223" s="20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  <c r="AA1223" s="20"/>
      <c r="AB1223" s="20"/>
      <c r="AC1223" s="20"/>
      <c r="AD1223" s="20"/>
      <c r="AE1223" s="20"/>
    </row>
    <row r="1224" spans="2:31" x14ac:dyDescent="0.25">
      <c r="B1224" s="2"/>
      <c r="C1224" s="19"/>
      <c r="D1224" s="2"/>
      <c r="E1224" s="2"/>
      <c r="F1224" s="19"/>
      <c r="G1224" s="2"/>
      <c r="H1224" s="2"/>
      <c r="I1224" s="2"/>
      <c r="J1224" s="2"/>
      <c r="L1224" s="20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  <c r="AA1224" s="20"/>
      <c r="AB1224" s="20"/>
      <c r="AC1224" s="20"/>
      <c r="AD1224" s="20"/>
      <c r="AE1224" s="20"/>
    </row>
    <row r="1225" spans="2:31" x14ac:dyDescent="0.25">
      <c r="B1225" s="2"/>
      <c r="C1225" s="19"/>
      <c r="D1225" s="2"/>
      <c r="E1225" s="2"/>
      <c r="F1225" s="19"/>
      <c r="G1225" s="2"/>
      <c r="H1225" s="2"/>
      <c r="I1225" s="2"/>
      <c r="J1225" s="2"/>
      <c r="L1225" s="20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  <c r="AA1225" s="20"/>
      <c r="AB1225" s="20"/>
      <c r="AC1225" s="20"/>
      <c r="AD1225" s="20"/>
      <c r="AE1225" s="20"/>
    </row>
    <row r="1226" spans="2:31" x14ac:dyDescent="0.25">
      <c r="B1226" s="2"/>
      <c r="C1226" s="19"/>
      <c r="D1226" s="2"/>
      <c r="E1226" s="2"/>
      <c r="F1226" s="19"/>
      <c r="G1226" s="2"/>
      <c r="H1226" s="2"/>
      <c r="I1226" s="2"/>
      <c r="J1226" s="2"/>
      <c r="L1226" s="20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  <c r="AA1226" s="20"/>
      <c r="AB1226" s="20"/>
      <c r="AC1226" s="20"/>
      <c r="AD1226" s="20"/>
      <c r="AE1226" s="20"/>
    </row>
    <row r="1227" spans="2:31" x14ac:dyDescent="0.25">
      <c r="B1227" s="2"/>
      <c r="C1227" s="19"/>
      <c r="D1227" s="2"/>
      <c r="E1227" s="2"/>
      <c r="F1227" s="19"/>
      <c r="G1227" s="2"/>
      <c r="H1227" s="2"/>
      <c r="I1227" s="2"/>
      <c r="J1227" s="2"/>
      <c r="L1227" s="20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  <c r="AA1227" s="20"/>
      <c r="AB1227" s="20"/>
      <c r="AC1227" s="20"/>
      <c r="AD1227" s="20"/>
      <c r="AE1227" s="20"/>
    </row>
    <row r="1228" spans="2:31" x14ac:dyDescent="0.25">
      <c r="B1228" s="2"/>
      <c r="C1228" s="19"/>
      <c r="D1228" s="2"/>
      <c r="E1228" s="2"/>
      <c r="F1228" s="19"/>
      <c r="G1228" s="2"/>
      <c r="H1228" s="2"/>
      <c r="I1228" s="2"/>
      <c r="J1228" s="2"/>
      <c r="L1228" s="20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  <c r="AA1228" s="20"/>
      <c r="AB1228" s="20"/>
      <c r="AC1228" s="20"/>
      <c r="AD1228" s="20"/>
      <c r="AE1228" s="20"/>
    </row>
    <row r="1229" spans="2:31" x14ac:dyDescent="0.25">
      <c r="B1229" s="2"/>
      <c r="C1229" s="19"/>
      <c r="D1229" s="2"/>
      <c r="E1229" s="2"/>
      <c r="F1229" s="19"/>
      <c r="G1229" s="2"/>
      <c r="H1229" s="2"/>
      <c r="I1229" s="2"/>
      <c r="J1229" s="2"/>
      <c r="L1229" s="20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  <c r="AA1229" s="20"/>
      <c r="AB1229" s="20"/>
      <c r="AC1229" s="20"/>
      <c r="AD1229" s="20"/>
      <c r="AE1229" s="20"/>
    </row>
    <row r="1230" spans="2:31" x14ac:dyDescent="0.25">
      <c r="B1230" s="2"/>
      <c r="C1230" s="19"/>
      <c r="D1230" s="2"/>
      <c r="E1230" s="2"/>
      <c r="F1230" s="19"/>
      <c r="G1230" s="2"/>
      <c r="H1230" s="2"/>
      <c r="I1230" s="2"/>
      <c r="J1230" s="2"/>
      <c r="L1230" s="20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  <c r="AA1230" s="20"/>
      <c r="AB1230" s="20"/>
      <c r="AC1230" s="20"/>
      <c r="AD1230" s="20"/>
      <c r="AE1230" s="20"/>
    </row>
    <row r="1231" spans="2:31" x14ac:dyDescent="0.25">
      <c r="B1231" s="2"/>
      <c r="C1231" s="19"/>
      <c r="D1231" s="2"/>
      <c r="E1231" s="2"/>
      <c r="F1231" s="19"/>
      <c r="G1231" s="2"/>
      <c r="H1231" s="2"/>
      <c r="I1231" s="2"/>
      <c r="J1231" s="2"/>
      <c r="L1231" s="20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  <c r="AA1231" s="20"/>
      <c r="AB1231" s="20"/>
      <c r="AC1231" s="20"/>
      <c r="AD1231" s="20"/>
      <c r="AE1231" s="20"/>
    </row>
    <row r="1232" spans="2:31" x14ac:dyDescent="0.25">
      <c r="B1232" s="2"/>
      <c r="C1232" s="19"/>
      <c r="D1232" s="2"/>
      <c r="E1232" s="2"/>
      <c r="F1232" s="19"/>
      <c r="G1232" s="2"/>
      <c r="H1232" s="2"/>
      <c r="I1232" s="2"/>
      <c r="J1232" s="2"/>
      <c r="L1232" s="20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  <c r="AA1232" s="20"/>
      <c r="AB1232" s="20"/>
      <c r="AC1232" s="20"/>
      <c r="AD1232" s="20"/>
      <c r="AE1232" s="20"/>
    </row>
    <row r="1233" spans="2:31" x14ac:dyDescent="0.25">
      <c r="B1233" s="2"/>
      <c r="C1233" s="19"/>
      <c r="D1233" s="2"/>
      <c r="E1233" s="2"/>
      <c r="F1233" s="19"/>
      <c r="G1233" s="2"/>
      <c r="H1233" s="2"/>
      <c r="I1233" s="2"/>
      <c r="J1233" s="2"/>
      <c r="L1233" s="20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  <c r="AA1233" s="20"/>
      <c r="AB1233" s="20"/>
      <c r="AC1233" s="20"/>
      <c r="AD1233" s="20"/>
      <c r="AE1233" s="20"/>
    </row>
    <row r="1234" spans="2:31" x14ac:dyDescent="0.25">
      <c r="B1234" s="2"/>
      <c r="C1234" s="19"/>
      <c r="D1234" s="2"/>
      <c r="E1234" s="2"/>
      <c r="F1234" s="19"/>
      <c r="G1234" s="2"/>
      <c r="H1234" s="2"/>
      <c r="I1234" s="2"/>
      <c r="J1234" s="2"/>
      <c r="L1234" s="20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  <c r="AA1234" s="20"/>
      <c r="AB1234" s="20"/>
      <c r="AC1234" s="20"/>
      <c r="AD1234" s="20"/>
      <c r="AE1234" s="20"/>
    </row>
    <row r="1235" spans="2:31" x14ac:dyDescent="0.25">
      <c r="B1235" s="2"/>
      <c r="C1235" s="19"/>
      <c r="D1235" s="2"/>
      <c r="E1235" s="2"/>
      <c r="F1235" s="19"/>
      <c r="G1235" s="2"/>
      <c r="H1235" s="2"/>
      <c r="I1235" s="2"/>
      <c r="J1235" s="2"/>
      <c r="L1235" s="20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  <c r="AA1235" s="20"/>
      <c r="AB1235" s="20"/>
      <c r="AC1235" s="20"/>
      <c r="AD1235" s="20"/>
      <c r="AE1235" s="20"/>
    </row>
    <row r="1236" spans="2:31" x14ac:dyDescent="0.25">
      <c r="B1236" s="2"/>
      <c r="C1236" s="19"/>
      <c r="D1236" s="2"/>
      <c r="E1236" s="2"/>
      <c r="F1236" s="19"/>
      <c r="G1236" s="2"/>
      <c r="H1236" s="2"/>
      <c r="I1236" s="2"/>
      <c r="J1236" s="2"/>
      <c r="L1236" s="20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  <c r="AA1236" s="20"/>
      <c r="AB1236" s="20"/>
      <c r="AC1236" s="20"/>
      <c r="AD1236" s="20"/>
      <c r="AE1236" s="20"/>
    </row>
    <row r="1237" spans="2:31" x14ac:dyDescent="0.25">
      <c r="B1237" s="2"/>
      <c r="C1237" s="19"/>
      <c r="D1237" s="2"/>
      <c r="E1237" s="2"/>
      <c r="F1237" s="19"/>
      <c r="G1237" s="2"/>
      <c r="H1237" s="2"/>
      <c r="I1237" s="2"/>
      <c r="J1237" s="2"/>
      <c r="L1237" s="20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  <c r="AA1237" s="20"/>
      <c r="AB1237" s="20"/>
      <c r="AC1237" s="20"/>
      <c r="AD1237" s="20"/>
      <c r="AE1237" s="20"/>
    </row>
    <row r="1238" spans="2:31" x14ac:dyDescent="0.25">
      <c r="B1238" s="2"/>
      <c r="C1238" s="19"/>
      <c r="D1238" s="2"/>
      <c r="E1238" s="2"/>
      <c r="F1238" s="19"/>
      <c r="G1238" s="2"/>
      <c r="H1238" s="2"/>
      <c r="I1238" s="2"/>
      <c r="J1238" s="2"/>
      <c r="L1238" s="20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  <c r="AA1238" s="20"/>
      <c r="AB1238" s="20"/>
      <c r="AC1238" s="20"/>
      <c r="AD1238" s="20"/>
      <c r="AE1238" s="20"/>
    </row>
    <row r="1239" spans="2:31" x14ac:dyDescent="0.25">
      <c r="B1239" s="2"/>
      <c r="C1239" s="19"/>
      <c r="D1239" s="2"/>
      <c r="E1239" s="2"/>
      <c r="F1239" s="19"/>
      <c r="G1239" s="2"/>
      <c r="H1239" s="2"/>
      <c r="I1239" s="2"/>
      <c r="J1239" s="2"/>
      <c r="L1239" s="20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  <c r="AA1239" s="20"/>
      <c r="AB1239" s="20"/>
      <c r="AC1239" s="20"/>
      <c r="AD1239" s="20"/>
      <c r="AE1239" s="20"/>
    </row>
    <row r="1240" spans="2:31" x14ac:dyDescent="0.25">
      <c r="B1240" s="2"/>
      <c r="C1240" s="19"/>
      <c r="D1240" s="2"/>
      <c r="E1240" s="2"/>
      <c r="F1240" s="19"/>
      <c r="G1240" s="2"/>
      <c r="H1240" s="2"/>
      <c r="I1240" s="2"/>
      <c r="J1240" s="2"/>
      <c r="L1240" s="20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  <c r="AA1240" s="20"/>
      <c r="AB1240" s="20"/>
      <c r="AC1240" s="20"/>
      <c r="AD1240" s="20"/>
      <c r="AE1240" s="20"/>
    </row>
    <row r="1241" spans="2:31" x14ac:dyDescent="0.25">
      <c r="B1241" s="2"/>
      <c r="C1241" s="19"/>
      <c r="D1241" s="2"/>
      <c r="E1241" s="2"/>
      <c r="F1241" s="19"/>
      <c r="G1241" s="2"/>
      <c r="H1241" s="2"/>
      <c r="I1241" s="2"/>
      <c r="J1241" s="2"/>
      <c r="L1241" s="20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  <c r="AA1241" s="20"/>
      <c r="AB1241" s="20"/>
      <c r="AC1241" s="20"/>
      <c r="AD1241" s="20"/>
      <c r="AE1241" s="20"/>
    </row>
    <row r="1242" spans="2:31" x14ac:dyDescent="0.25">
      <c r="B1242" s="2"/>
      <c r="C1242" s="19"/>
      <c r="D1242" s="2"/>
      <c r="E1242" s="2"/>
      <c r="F1242" s="19"/>
      <c r="G1242" s="2"/>
      <c r="H1242" s="2"/>
      <c r="I1242" s="2"/>
      <c r="J1242" s="2"/>
      <c r="L1242" s="20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  <c r="AA1242" s="20"/>
      <c r="AB1242" s="20"/>
      <c r="AC1242" s="20"/>
      <c r="AD1242" s="20"/>
      <c r="AE1242" s="20"/>
    </row>
    <row r="1243" spans="2:31" x14ac:dyDescent="0.25">
      <c r="B1243" s="2"/>
      <c r="C1243" s="19"/>
      <c r="D1243" s="2"/>
      <c r="E1243" s="2"/>
      <c r="F1243" s="19"/>
      <c r="G1243" s="2"/>
      <c r="H1243" s="2"/>
      <c r="I1243" s="2"/>
      <c r="J1243" s="2"/>
      <c r="L1243" s="2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  <c r="AA1243" s="20"/>
      <c r="AB1243" s="20"/>
      <c r="AC1243" s="20"/>
      <c r="AD1243" s="20"/>
      <c r="AE1243" s="20"/>
    </row>
    <row r="1244" spans="2:31" x14ac:dyDescent="0.25">
      <c r="B1244" s="2"/>
      <c r="C1244" s="19"/>
      <c r="D1244" s="2"/>
      <c r="E1244" s="2"/>
      <c r="F1244" s="19"/>
      <c r="G1244" s="2"/>
      <c r="H1244" s="2"/>
      <c r="I1244" s="2"/>
      <c r="J1244" s="2"/>
      <c r="L1244" s="20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  <c r="AA1244" s="20"/>
      <c r="AB1244" s="20"/>
      <c r="AC1244" s="20"/>
      <c r="AD1244" s="20"/>
      <c r="AE1244" s="20"/>
    </row>
    <row r="1245" spans="2:31" x14ac:dyDescent="0.25">
      <c r="B1245" s="2"/>
      <c r="C1245" s="19"/>
      <c r="D1245" s="2"/>
      <c r="E1245" s="2"/>
      <c r="F1245" s="19"/>
      <c r="G1245" s="2"/>
      <c r="H1245" s="2"/>
      <c r="I1245" s="2"/>
      <c r="J1245" s="2"/>
      <c r="L1245" s="20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  <c r="AA1245" s="20"/>
      <c r="AB1245" s="20"/>
      <c r="AC1245" s="20"/>
      <c r="AD1245" s="20"/>
      <c r="AE1245" s="20"/>
    </row>
    <row r="1246" spans="2:31" x14ac:dyDescent="0.25">
      <c r="B1246" s="2"/>
      <c r="C1246" s="19"/>
      <c r="D1246" s="2"/>
      <c r="E1246" s="2"/>
      <c r="F1246" s="19"/>
      <c r="G1246" s="2"/>
      <c r="H1246" s="2"/>
      <c r="I1246" s="2"/>
      <c r="J1246" s="2"/>
      <c r="L1246" s="20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  <c r="AA1246" s="20"/>
      <c r="AB1246" s="20"/>
      <c r="AC1246" s="20"/>
      <c r="AD1246" s="20"/>
      <c r="AE1246" s="20"/>
    </row>
    <row r="1247" spans="2:31" x14ac:dyDescent="0.25">
      <c r="B1247" s="2"/>
      <c r="C1247" s="19"/>
      <c r="D1247" s="2"/>
      <c r="E1247" s="2"/>
      <c r="F1247" s="19"/>
      <c r="G1247" s="2"/>
      <c r="H1247" s="2"/>
      <c r="I1247" s="2"/>
      <c r="J1247" s="2"/>
      <c r="L1247" s="20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  <c r="AA1247" s="20"/>
      <c r="AB1247" s="20"/>
      <c r="AC1247" s="20"/>
      <c r="AD1247" s="20"/>
      <c r="AE1247" s="20"/>
    </row>
    <row r="1248" spans="2:31" x14ac:dyDescent="0.25">
      <c r="B1248" s="2"/>
      <c r="C1248" s="19"/>
      <c r="D1248" s="2"/>
      <c r="E1248" s="2"/>
      <c r="F1248" s="19"/>
      <c r="G1248" s="2"/>
      <c r="H1248" s="2"/>
      <c r="I1248" s="2"/>
      <c r="J1248" s="2"/>
      <c r="L1248" s="20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  <c r="AA1248" s="20"/>
      <c r="AB1248" s="20"/>
      <c r="AC1248" s="20"/>
      <c r="AD1248" s="20"/>
      <c r="AE1248" s="20"/>
    </row>
    <row r="1249" spans="2:31" x14ac:dyDescent="0.25">
      <c r="B1249" s="2"/>
      <c r="C1249" s="19"/>
      <c r="D1249" s="2"/>
      <c r="E1249" s="2"/>
      <c r="F1249" s="19"/>
      <c r="G1249" s="2"/>
      <c r="H1249" s="2"/>
      <c r="I1249" s="2"/>
      <c r="J1249" s="2"/>
      <c r="L1249" s="20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  <c r="AA1249" s="20"/>
      <c r="AB1249" s="20"/>
      <c r="AC1249" s="20"/>
      <c r="AD1249" s="20"/>
      <c r="AE1249" s="20"/>
    </row>
    <row r="1250" spans="2:31" x14ac:dyDescent="0.25">
      <c r="B1250" s="2"/>
      <c r="C1250" s="19"/>
      <c r="D1250" s="2"/>
      <c r="E1250" s="2"/>
      <c r="F1250" s="19"/>
      <c r="G1250" s="2"/>
      <c r="H1250" s="2"/>
      <c r="I1250" s="2"/>
      <c r="J1250" s="2"/>
      <c r="L1250" s="20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  <c r="AA1250" s="20"/>
      <c r="AB1250" s="20"/>
      <c r="AC1250" s="20"/>
      <c r="AD1250" s="20"/>
      <c r="AE1250" s="20"/>
    </row>
    <row r="1251" spans="2:31" x14ac:dyDescent="0.25">
      <c r="B1251" s="2"/>
      <c r="C1251" s="19"/>
      <c r="D1251" s="2"/>
      <c r="E1251" s="2"/>
      <c r="F1251" s="19"/>
      <c r="G1251" s="2"/>
      <c r="H1251" s="2"/>
      <c r="I1251" s="2"/>
      <c r="J1251" s="2"/>
      <c r="L1251" s="20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  <c r="AA1251" s="20"/>
      <c r="AB1251" s="20"/>
      <c r="AC1251" s="20"/>
      <c r="AD1251" s="20"/>
      <c r="AE1251" s="20"/>
    </row>
    <row r="1252" spans="2:31" x14ac:dyDescent="0.25">
      <c r="B1252" s="2"/>
      <c r="C1252" s="19"/>
      <c r="D1252" s="2"/>
      <c r="E1252" s="2"/>
      <c r="F1252" s="19"/>
      <c r="G1252" s="2"/>
      <c r="H1252" s="2"/>
      <c r="I1252" s="2"/>
      <c r="J1252" s="2"/>
      <c r="L1252" s="20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  <c r="AA1252" s="20"/>
      <c r="AB1252" s="20"/>
      <c r="AC1252" s="20"/>
      <c r="AD1252" s="20"/>
      <c r="AE1252" s="20"/>
    </row>
    <row r="1253" spans="2:31" x14ac:dyDescent="0.25">
      <c r="B1253" s="2"/>
      <c r="C1253" s="19"/>
      <c r="D1253" s="2"/>
      <c r="E1253" s="2"/>
      <c r="F1253" s="19"/>
      <c r="G1253" s="2"/>
      <c r="H1253" s="2"/>
      <c r="I1253" s="2"/>
      <c r="J1253" s="2"/>
      <c r="L1253" s="20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  <c r="AA1253" s="20"/>
      <c r="AB1253" s="20"/>
      <c r="AC1253" s="20"/>
      <c r="AD1253" s="20"/>
      <c r="AE1253" s="20"/>
    </row>
    <row r="1254" spans="2:31" x14ac:dyDescent="0.25">
      <c r="B1254" s="2"/>
      <c r="C1254" s="19"/>
      <c r="D1254" s="2"/>
      <c r="E1254" s="2"/>
      <c r="F1254" s="19"/>
      <c r="G1254" s="2"/>
      <c r="H1254" s="2"/>
      <c r="I1254" s="2"/>
      <c r="J1254" s="2"/>
      <c r="L1254" s="20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  <c r="AA1254" s="20"/>
      <c r="AB1254" s="20"/>
      <c r="AC1254" s="20"/>
      <c r="AD1254" s="20"/>
      <c r="AE1254" s="20"/>
    </row>
    <row r="1255" spans="2:31" x14ac:dyDescent="0.25">
      <c r="B1255" s="2"/>
      <c r="C1255" s="19"/>
      <c r="D1255" s="2"/>
      <c r="E1255" s="2"/>
      <c r="F1255" s="19"/>
      <c r="G1255" s="2"/>
      <c r="H1255" s="2"/>
      <c r="I1255" s="2"/>
      <c r="J1255" s="2"/>
      <c r="L1255" s="20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  <c r="AA1255" s="20"/>
      <c r="AB1255" s="20"/>
      <c r="AC1255" s="20"/>
      <c r="AD1255" s="20"/>
      <c r="AE1255" s="20"/>
    </row>
    <row r="1256" spans="2:31" x14ac:dyDescent="0.25">
      <c r="B1256" s="2"/>
      <c r="C1256" s="19"/>
      <c r="D1256" s="2"/>
      <c r="E1256" s="2"/>
      <c r="F1256" s="19"/>
      <c r="G1256" s="2"/>
      <c r="H1256" s="2"/>
      <c r="I1256" s="2"/>
      <c r="J1256" s="2"/>
      <c r="L1256" s="20"/>
      <c r="M1256" s="20"/>
      <c r="N1256" s="20"/>
      <c r="O1256" s="20"/>
      <c r="P1256" s="20"/>
      <c r="Q1256" s="20"/>
      <c r="R1256" s="20"/>
      <c r="S1256" s="20"/>
      <c r="T1256" s="20"/>
      <c r="U1256" s="20"/>
      <c r="V1256" s="20"/>
      <c r="W1256" s="20"/>
      <c r="X1256" s="20"/>
      <c r="Y1256" s="20"/>
      <c r="Z1256" s="20"/>
      <c r="AA1256" s="20"/>
      <c r="AB1256" s="20"/>
      <c r="AC1256" s="20"/>
      <c r="AD1256" s="20"/>
      <c r="AE1256" s="20"/>
    </row>
    <row r="1257" spans="2:31" x14ac:dyDescent="0.25">
      <c r="B1257" s="2"/>
      <c r="C1257" s="19"/>
      <c r="D1257" s="2"/>
      <c r="E1257" s="2"/>
      <c r="F1257" s="19"/>
      <c r="G1257" s="2"/>
      <c r="H1257" s="2"/>
      <c r="I1257" s="2"/>
      <c r="J1257" s="2"/>
      <c r="L1257" s="20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  <c r="AA1257" s="20"/>
      <c r="AB1257" s="20"/>
      <c r="AC1257" s="20"/>
      <c r="AD1257" s="20"/>
      <c r="AE1257" s="20"/>
    </row>
    <row r="1258" spans="2:31" x14ac:dyDescent="0.25">
      <c r="B1258" s="2"/>
      <c r="C1258" s="19"/>
      <c r="D1258" s="2"/>
      <c r="E1258" s="2"/>
      <c r="F1258" s="19"/>
      <c r="G1258" s="2"/>
      <c r="H1258" s="2"/>
      <c r="I1258" s="2"/>
      <c r="J1258" s="2"/>
      <c r="L1258" s="20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  <c r="AA1258" s="20"/>
      <c r="AB1258" s="20"/>
      <c r="AC1258" s="20"/>
      <c r="AD1258" s="20"/>
      <c r="AE1258" s="20"/>
    </row>
    <row r="1259" spans="2:31" x14ac:dyDescent="0.25">
      <c r="B1259" s="2"/>
      <c r="C1259" s="19"/>
      <c r="D1259" s="2"/>
      <c r="E1259" s="2"/>
      <c r="F1259" s="19"/>
      <c r="G1259" s="2"/>
      <c r="H1259" s="2"/>
      <c r="I1259" s="2"/>
      <c r="J1259" s="2"/>
      <c r="L1259" s="20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  <c r="AA1259" s="20"/>
      <c r="AB1259" s="20"/>
      <c r="AC1259" s="20"/>
      <c r="AD1259" s="20"/>
      <c r="AE1259" s="20"/>
    </row>
    <row r="1260" spans="2:31" x14ac:dyDescent="0.25">
      <c r="B1260" s="2"/>
      <c r="C1260" s="19"/>
      <c r="D1260" s="2"/>
      <c r="E1260" s="2"/>
      <c r="F1260" s="19"/>
      <c r="G1260" s="2"/>
      <c r="H1260" s="2"/>
      <c r="I1260" s="2"/>
      <c r="J1260" s="2"/>
      <c r="L1260" s="20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  <c r="AA1260" s="20"/>
      <c r="AB1260" s="20"/>
      <c r="AC1260" s="20"/>
      <c r="AD1260" s="20"/>
      <c r="AE1260" s="20"/>
    </row>
    <row r="1261" spans="2:31" x14ac:dyDescent="0.25">
      <c r="B1261" s="2"/>
      <c r="C1261" s="19"/>
      <c r="D1261" s="2"/>
      <c r="E1261" s="2"/>
      <c r="F1261" s="19"/>
      <c r="G1261" s="2"/>
      <c r="H1261" s="2"/>
      <c r="I1261" s="2"/>
      <c r="J1261" s="2"/>
      <c r="L1261" s="20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  <c r="AA1261" s="20"/>
      <c r="AB1261" s="20"/>
      <c r="AC1261" s="20"/>
      <c r="AD1261" s="20"/>
      <c r="AE1261" s="20"/>
    </row>
    <row r="1262" spans="2:31" x14ac:dyDescent="0.25">
      <c r="B1262" s="2"/>
      <c r="C1262" s="19"/>
      <c r="D1262" s="2"/>
      <c r="E1262" s="2"/>
      <c r="F1262" s="19"/>
      <c r="G1262" s="2"/>
      <c r="H1262" s="2"/>
      <c r="I1262" s="2"/>
      <c r="J1262" s="2"/>
      <c r="L1262" s="20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  <c r="AA1262" s="20"/>
      <c r="AB1262" s="20"/>
      <c r="AC1262" s="20"/>
      <c r="AD1262" s="20"/>
      <c r="AE1262" s="20"/>
    </row>
    <row r="1263" spans="2:31" x14ac:dyDescent="0.25">
      <c r="B1263" s="2"/>
      <c r="C1263" s="19"/>
      <c r="D1263" s="2"/>
      <c r="E1263" s="2"/>
      <c r="F1263" s="19"/>
      <c r="G1263" s="2"/>
      <c r="H1263" s="2"/>
      <c r="I1263" s="2"/>
      <c r="J1263" s="2"/>
      <c r="L1263" s="20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  <c r="AA1263" s="20"/>
      <c r="AB1263" s="20"/>
      <c r="AC1263" s="20"/>
      <c r="AD1263" s="20"/>
      <c r="AE1263" s="20"/>
    </row>
    <row r="1264" spans="2:31" x14ac:dyDescent="0.25">
      <c r="B1264" s="2"/>
      <c r="C1264" s="19"/>
      <c r="D1264" s="2"/>
      <c r="E1264" s="2"/>
      <c r="F1264" s="19"/>
      <c r="G1264" s="2"/>
      <c r="H1264" s="2"/>
      <c r="I1264" s="2"/>
      <c r="J1264" s="2"/>
      <c r="L1264" s="20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  <c r="AA1264" s="20"/>
      <c r="AB1264" s="20"/>
      <c r="AC1264" s="20"/>
      <c r="AD1264" s="20"/>
      <c r="AE1264" s="20"/>
    </row>
    <row r="1265" spans="2:31" x14ac:dyDescent="0.25">
      <c r="B1265" s="2"/>
      <c r="C1265" s="19"/>
      <c r="D1265" s="2"/>
      <c r="E1265" s="2"/>
      <c r="F1265" s="19"/>
      <c r="G1265" s="2"/>
      <c r="H1265" s="2"/>
      <c r="I1265" s="2"/>
      <c r="J1265" s="2"/>
      <c r="L1265" s="20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  <c r="AA1265" s="20"/>
      <c r="AB1265" s="20"/>
      <c r="AC1265" s="20"/>
      <c r="AD1265" s="20"/>
      <c r="AE1265" s="20"/>
    </row>
    <row r="1266" spans="2:31" x14ac:dyDescent="0.25">
      <c r="B1266" s="2"/>
      <c r="C1266" s="19"/>
      <c r="D1266" s="2"/>
      <c r="E1266" s="2"/>
      <c r="F1266" s="19"/>
      <c r="G1266" s="2"/>
      <c r="H1266" s="2"/>
      <c r="I1266" s="2"/>
      <c r="J1266" s="2"/>
      <c r="L1266" s="20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  <c r="AA1266" s="20"/>
      <c r="AB1266" s="20"/>
      <c r="AC1266" s="20"/>
      <c r="AD1266" s="20"/>
      <c r="AE1266" s="20"/>
    </row>
    <row r="1267" spans="2:31" x14ac:dyDescent="0.25">
      <c r="B1267" s="2"/>
      <c r="C1267" s="19"/>
      <c r="D1267" s="2"/>
      <c r="E1267" s="2"/>
      <c r="F1267" s="19"/>
      <c r="G1267" s="2"/>
      <c r="H1267" s="2"/>
      <c r="I1267" s="2"/>
      <c r="J1267" s="2"/>
      <c r="L1267" s="20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  <c r="AA1267" s="20"/>
      <c r="AB1267" s="20"/>
      <c r="AC1267" s="20"/>
      <c r="AD1267" s="20"/>
      <c r="AE1267" s="20"/>
    </row>
    <row r="1268" spans="2:31" x14ac:dyDescent="0.25">
      <c r="B1268" s="2"/>
      <c r="C1268" s="19"/>
      <c r="D1268" s="2"/>
      <c r="E1268" s="2"/>
      <c r="F1268" s="19"/>
      <c r="G1268" s="2"/>
      <c r="H1268" s="2"/>
      <c r="I1268" s="2"/>
      <c r="J1268" s="2"/>
      <c r="L1268" s="20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  <c r="AA1268" s="20"/>
      <c r="AB1268" s="20"/>
      <c r="AC1268" s="20"/>
      <c r="AD1268" s="20"/>
      <c r="AE1268" s="20"/>
    </row>
    <row r="1269" spans="2:31" x14ac:dyDescent="0.25">
      <c r="B1269" s="2"/>
      <c r="C1269" s="19"/>
      <c r="D1269" s="2"/>
      <c r="E1269" s="2"/>
      <c r="F1269" s="19"/>
      <c r="G1269" s="2"/>
      <c r="H1269" s="2"/>
      <c r="I1269" s="2"/>
      <c r="J1269" s="2"/>
      <c r="L1269" s="20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  <c r="AA1269" s="20"/>
      <c r="AB1269" s="20"/>
      <c r="AC1269" s="20"/>
      <c r="AD1269" s="20"/>
      <c r="AE1269" s="20"/>
    </row>
    <row r="1270" spans="2:31" x14ac:dyDescent="0.25">
      <c r="B1270" s="2"/>
      <c r="C1270" s="19"/>
      <c r="D1270" s="2"/>
      <c r="E1270" s="2"/>
      <c r="F1270" s="19"/>
      <c r="G1270" s="2"/>
      <c r="H1270" s="2"/>
      <c r="I1270" s="2"/>
      <c r="J1270" s="2"/>
      <c r="L1270" s="20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  <c r="AA1270" s="20"/>
      <c r="AB1270" s="20"/>
      <c r="AC1270" s="20"/>
      <c r="AD1270" s="20"/>
      <c r="AE1270" s="20"/>
    </row>
    <row r="1271" spans="2:31" x14ac:dyDescent="0.25">
      <c r="B1271" s="2"/>
      <c r="C1271" s="19"/>
      <c r="D1271" s="2"/>
      <c r="E1271" s="2"/>
      <c r="F1271" s="19"/>
      <c r="G1271" s="2"/>
      <c r="H1271" s="2"/>
      <c r="I1271" s="2"/>
      <c r="J1271" s="2"/>
      <c r="L1271" s="20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  <c r="AA1271" s="20"/>
      <c r="AB1271" s="20"/>
      <c r="AC1271" s="20"/>
      <c r="AD1271" s="20"/>
      <c r="AE1271" s="20"/>
    </row>
    <row r="1272" spans="2:31" x14ac:dyDescent="0.25">
      <c r="B1272" s="2"/>
      <c r="C1272" s="19"/>
      <c r="D1272" s="2"/>
      <c r="E1272" s="2"/>
      <c r="F1272" s="19"/>
      <c r="G1272" s="2"/>
      <c r="H1272" s="2"/>
      <c r="I1272" s="2"/>
      <c r="J1272" s="2"/>
      <c r="L1272" s="20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  <c r="AA1272" s="20"/>
      <c r="AB1272" s="20"/>
      <c r="AC1272" s="20"/>
      <c r="AD1272" s="20"/>
      <c r="AE1272" s="20"/>
    </row>
    <row r="1273" spans="2:31" x14ac:dyDescent="0.25">
      <c r="B1273" s="2"/>
      <c r="C1273" s="19"/>
      <c r="D1273" s="2"/>
      <c r="E1273" s="2"/>
      <c r="F1273" s="19"/>
      <c r="G1273" s="2"/>
      <c r="H1273" s="2"/>
      <c r="I1273" s="2"/>
      <c r="J1273" s="2"/>
      <c r="L1273" s="20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  <c r="AA1273" s="20"/>
      <c r="AB1273" s="20"/>
      <c r="AC1273" s="20"/>
      <c r="AD1273" s="20"/>
      <c r="AE1273" s="20"/>
    </row>
    <row r="1274" spans="2:31" x14ac:dyDescent="0.25">
      <c r="B1274" s="2"/>
      <c r="C1274" s="19"/>
      <c r="D1274" s="2"/>
      <c r="E1274" s="2"/>
      <c r="F1274" s="19"/>
      <c r="G1274" s="2"/>
      <c r="H1274" s="2"/>
      <c r="I1274" s="2"/>
      <c r="J1274" s="2"/>
      <c r="L1274" s="20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  <c r="AA1274" s="20"/>
      <c r="AB1274" s="20"/>
      <c r="AC1274" s="20"/>
      <c r="AD1274" s="20"/>
      <c r="AE1274" s="20"/>
    </row>
    <row r="1275" spans="2:31" x14ac:dyDescent="0.25">
      <c r="B1275" s="2"/>
      <c r="C1275" s="19"/>
      <c r="D1275" s="2"/>
      <c r="E1275" s="2"/>
      <c r="F1275" s="19"/>
      <c r="G1275" s="2"/>
      <c r="H1275" s="2"/>
      <c r="I1275" s="2"/>
      <c r="J1275" s="2"/>
      <c r="L1275" s="20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  <c r="AA1275" s="20"/>
      <c r="AB1275" s="20"/>
      <c r="AC1275" s="20"/>
      <c r="AD1275" s="20"/>
      <c r="AE1275" s="20"/>
    </row>
    <row r="1276" spans="2:31" x14ac:dyDescent="0.25">
      <c r="B1276" s="2"/>
      <c r="C1276" s="19"/>
      <c r="D1276" s="2"/>
      <c r="E1276" s="2"/>
      <c r="F1276" s="19"/>
      <c r="G1276" s="2"/>
      <c r="H1276" s="2"/>
      <c r="I1276" s="2"/>
      <c r="J1276" s="2"/>
      <c r="L1276" s="20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  <c r="AA1276" s="20"/>
      <c r="AB1276" s="20"/>
      <c r="AC1276" s="20"/>
      <c r="AD1276" s="20"/>
      <c r="AE1276" s="20"/>
    </row>
    <row r="1277" spans="2:31" x14ac:dyDescent="0.25">
      <c r="B1277" s="2"/>
      <c r="C1277" s="19"/>
      <c r="D1277" s="2"/>
      <c r="E1277" s="2"/>
      <c r="F1277" s="19"/>
      <c r="G1277" s="2"/>
      <c r="H1277" s="2"/>
      <c r="I1277" s="2"/>
      <c r="J1277" s="2"/>
      <c r="L1277" s="20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  <c r="AA1277" s="20"/>
      <c r="AB1277" s="20"/>
      <c r="AC1277" s="20"/>
      <c r="AD1277" s="20"/>
      <c r="AE1277" s="20"/>
    </row>
    <row r="1278" spans="2:31" x14ac:dyDescent="0.25">
      <c r="B1278" s="2"/>
      <c r="C1278" s="19"/>
      <c r="D1278" s="2"/>
      <c r="E1278" s="2"/>
      <c r="F1278" s="19"/>
      <c r="G1278" s="2"/>
      <c r="H1278" s="2"/>
      <c r="I1278" s="2"/>
      <c r="J1278" s="2"/>
      <c r="L1278" s="20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  <c r="AA1278" s="20"/>
      <c r="AB1278" s="20"/>
      <c r="AC1278" s="20"/>
      <c r="AD1278" s="20"/>
      <c r="AE1278" s="20"/>
    </row>
    <row r="1279" spans="2:31" x14ac:dyDescent="0.25">
      <c r="B1279" s="2"/>
      <c r="C1279" s="19"/>
      <c r="D1279" s="2"/>
      <c r="E1279" s="2"/>
      <c r="F1279" s="19"/>
      <c r="G1279" s="2"/>
      <c r="H1279" s="2"/>
      <c r="I1279" s="2"/>
      <c r="J1279" s="2"/>
      <c r="L1279" s="20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  <c r="AA1279" s="20"/>
      <c r="AB1279" s="20"/>
      <c r="AC1279" s="20"/>
      <c r="AD1279" s="20"/>
      <c r="AE1279" s="20"/>
    </row>
    <row r="1280" spans="2:31" x14ac:dyDescent="0.25">
      <c r="B1280" s="2"/>
      <c r="C1280" s="19"/>
      <c r="D1280" s="2"/>
      <c r="E1280" s="2"/>
      <c r="F1280" s="19"/>
      <c r="G1280" s="2"/>
      <c r="H1280" s="2"/>
      <c r="I1280" s="2"/>
      <c r="J1280" s="2"/>
      <c r="L1280" s="20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  <c r="AA1280" s="20"/>
      <c r="AB1280" s="20"/>
      <c r="AC1280" s="20"/>
      <c r="AD1280" s="20"/>
      <c r="AE1280" s="20"/>
    </row>
    <row r="1281" spans="2:31" x14ac:dyDescent="0.25">
      <c r="B1281" s="2"/>
      <c r="C1281" s="19"/>
      <c r="D1281" s="2"/>
      <c r="E1281" s="2"/>
      <c r="F1281" s="19"/>
      <c r="G1281" s="2"/>
      <c r="H1281" s="2"/>
      <c r="I1281" s="2"/>
      <c r="J1281" s="2"/>
      <c r="L1281" s="20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  <c r="AA1281" s="20"/>
      <c r="AB1281" s="20"/>
      <c r="AC1281" s="20"/>
      <c r="AD1281" s="20"/>
      <c r="AE1281" s="20"/>
    </row>
    <row r="1282" spans="2:31" x14ac:dyDescent="0.25">
      <c r="B1282" s="2"/>
      <c r="C1282" s="19"/>
      <c r="D1282" s="2"/>
      <c r="E1282" s="2"/>
      <c r="F1282" s="19"/>
      <c r="G1282" s="2"/>
      <c r="H1282" s="2"/>
      <c r="I1282" s="2"/>
      <c r="J1282" s="2"/>
      <c r="L1282" s="20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  <c r="AA1282" s="20"/>
      <c r="AB1282" s="20"/>
      <c r="AC1282" s="20"/>
      <c r="AD1282" s="20"/>
      <c r="AE1282" s="20"/>
    </row>
    <row r="1283" spans="2:31" x14ac:dyDescent="0.25">
      <c r="B1283" s="2"/>
      <c r="C1283" s="19"/>
      <c r="D1283" s="2"/>
      <c r="E1283" s="2"/>
      <c r="F1283" s="19"/>
      <c r="G1283" s="2"/>
      <c r="H1283" s="2"/>
      <c r="I1283" s="2"/>
      <c r="J1283" s="2"/>
      <c r="L1283" s="20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  <c r="AA1283" s="20"/>
      <c r="AB1283" s="20"/>
      <c r="AC1283" s="20"/>
      <c r="AD1283" s="20"/>
      <c r="AE1283" s="20"/>
    </row>
    <row r="1284" spans="2:31" x14ac:dyDescent="0.25">
      <c r="B1284" s="2"/>
      <c r="C1284" s="19"/>
      <c r="D1284" s="2"/>
      <c r="E1284" s="2"/>
      <c r="F1284" s="19"/>
      <c r="G1284" s="2"/>
      <c r="H1284" s="2"/>
      <c r="I1284" s="2"/>
      <c r="J1284" s="2"/>
      <c r="L1284" s="20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  <c r="AA1284" s="20"/>
      <c r="AB1284" s="20"/>
      <c r="AC1284" s="20"/>
      <c r="AD1284" s="20"/>
      <c r="AE1284" s="20"/>
    </row>
    <row r="1285" spans="2:31" x14ac:dyDescent="0.25">
      <c r="B1285" s="2"/>
      <c r="C1285" s="19"/>
      <c r="D1285" s="2"/>
      <c r="E1285" s="2"/>
      <c r="F1285" s="19"/>
      <c r="G1285" s="2"/>
      <c r="H1285" s="2"/>
      <c r="I1285" s="2"/>
      <c r="J1285" s="2"/>
      <c r="L1285" s="20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  <c r="AA1285" s="20"/>
      <c r="AB1285" s="20"/>
      <c r="AC1285" s="20"/>
      <c r="AD1285" s="20"/>
      <c r="AE1285" s="20"/>
    </row>
    <row r="1286" spans="2:31" x14ac:dyDescent="0.25">
      <c r="B1286" s="2"/>
      <c r="C1286" s="19"/>
      <c r="D1286" s="2"/>
      <c r="E1286" s="2"/>
      <c r="F1286" s="19"/>
      <c r="G1286" s="2"/>
      <c r="H1286" s="2"/>
      <c r="I1286" s="2"/>
      <c r="J1286" s="2"/>
      <c r="L1286" s="20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  <c r="AA1286" s="20"/>
      <c r="AB1286" s="20"/>
      <c r="AC1286" s="20"/>
      <c r="AD1286" s="20"/>
      <c r="AE1286" s="20"/>
    </row>
    <row r="1287" spans="2:31" x14ac:dyDescent="0.25">
      <c r="B1287" s="2"/>
      <c r="C1287" s="19"/>
      <c r="D1287" s="2"/>
      <c r="E1287" s="2"/>
      <c r="F1287" s="19"/>
      <c r="G1287" s="2"/>
      <c r="H1287" s="2"/>
      <c r="I1287" s="2"/>
      <c r="J1287" s="2"/>
      <c r="L1287" s="20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  <c r="AA1287" s="20"/>
      <c r="AB1287" s="20"/>
      <c r="AC1287" s="20"/>
      <c r="AD1287" s="20"/>
      <c r="AE1287" s="20"/>
    </row>
    <row r="1288" spans="2:31" x14ac:dyDescent="0.25">
      <c r="B1288" s="2"/>
      <c r="C1288" s="19"/>
      <c r="D1288" s="2"/>
      <c r="E1288" s="2"/>
      <c r="F1288" s="19"/>
      <c r="G1288" s="2"/>
      <c r="H1288" s="2"/>
      <c r="I1288" s="2"/>
      <c r="J1288" s="2"/>
      <c r="L1288" s="20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  <c r="AA1288" s="20"/>
      <c r="AB1288" s="20"/>
      <c r="AC1288" s="20"/>
      <c r="AD1288" s="20"/>
      <c r="AE1288" s="20"/>
    </row>
    <row r="1289" spans="2:31" x14ac:dyDescent="0.25">
      <c r="B1289" s="2"/>
      <c r="C1289" s="19"/>
      <c r="D1289" s="2"/>
      <c r="E1289" s="2"/>
      <c r="F1289" s="19"/>
      <c r="G1289" s="2"/>
      <c r="H1289" s="2"/>
      <c r="I1289" s="2"/>
      <c r="J1289" s="2"/>
      <c r="L1289" s="20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  <c r="AA1289" s="20"/>
      <c r="AB1289" s="20"/>
      <c r="AC1289" s="20"/>
      <c r="AD1289" s="20"/>
      <c r="AE1289" s="20"/>
    </row>
    <row r="1290" spans="2:31" x14ac:dyDescent="0.25">
      <c r="B1290" s="2"/>
      <c r="C1290" s="19"/>
      <c r="D1290" s="2"/>
      <c r="E1290" s="2"/>
      <c r="F1290" s="19"/>
      <c r="G1290" s="2"/>
      <c r="H1290" s="2"/>
      <c r="I1290" s="2"/>
      <c r="J1290" s="2"/>
      <c r="L1290" s="20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  <c r="AA1290" s="20"/>
      <c r="AB1290" s="20"/>
      <c r="AC1290" s="20"/>
      <c r="AD1290" s="20"/>
      <c r="AE1290" s="20"/>
    </row>
    <row r="1291" spans="2:31" x14ac:dyDescent="0.25">
      <c r="B1291" s="2"/>
      <c r="C1291" s="19"/>
      <c r="D1291" s="2"/>
      <c r="E1291" s="2"/>
      <c r="F1291" s="19"/>
      <c r="G1291" s="2"/>
      <c r="H1291" s="2"/>
      <c r="I1291" s="2"/>
      <c r="J1291" s="2"/>
      <c r="L1291" s="20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  <c r="AA1291" s="20"/>
      <c r="AB1291" s="20"/>
      <c r="AC1291" s="20"/>
      <c r="AD1291" s="20"/>
      <c r="AE1291" s="20"/>
    </row>
    <row r="1292" spans="2:31" x14ac:dyDescent="0.25">
      <c r="B1292" s="2"/>
      <c r="C1292" s="19"/>
      <c r="D1292" s="2"/>
      <c r="E1292" s="2"/>
      <c r="F1292" s="19"/>
      <c r="G1292" s="2"/>
      <c r="H1292" s="2"/>
      <c r="I1292" s="2"/>
      <c r="J1292" s="2"/>
      <c r="L1292" s="20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  <c r="AA1292" s="20"/>
      <c r="AB1292" s="20"/>
      <c r="AC1292" s="20"/>
      <c r="AD1292" s="20"/>
      <c r="AE1292" s="20"/>
    </row>
    <row r="1293" spans="2:31" x14ac:dyDescent="0.25">
      <c r="B1293" s="2"/>
      <c r="C1293" s="19"/>
      <c r="D1293" s="2"/>
      <c r="E1293" s="2"/>
      <c r="F1293" s="19"/>
      <c r="G1293" s="2"/>
      <c r="H1293" s="2"/>
      <c r="I1293" s="2"/>
      <c r="J1293" s="2"/>
      <c r="L1293" s="20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  <c r="AA1293" s="20"/>
      <c r="AB1293" s="20"/>
      <c r="AC1293" s="20"/>
      <c r="AD1293" s="20"/>
      <c r="AE1293" s="20"/>
    </row>
    <row r="1294" spans="2:31" x14ac:dyDescent="0.25">
      <c r="B1294" s="2"/>
      <c r="C1294" s="19"/>
      <c r="D1294" s="2"/>
      <c r="E1294" s="2"/>
      <c r="F1294" s="19"/>
      <c r="G1294" s="2"/>
      <c r="H1294" s="2"/>
      <c r="I1294" s="2"/>
      <c r="J1294" s="2"/>
      <c r="L1294" s="20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  <c r="AA1294" s="20"/>
      <c r="AB1294" s="20"/>
      <c r="AC1294" s="20"/>
      <c r="AD1294" s="20"/>
      <c r="AE1294" s="20"/>
    </row>
    <row r="1295" spans="2:31" x14ac:dyDescent="0.25">
      <c r="B1295" s="2"/>
      <c r="C1295" s="19"/>
      <c r="D1295" s="2"/>
      <c r="E1295" s="2"/>
      <c r="F1295" s="19"/>
      <c r="G1295" s="2"/>
      <c r="H1295" s="2"/>
      <c r="I1295" s="2"/>
      <c r="J1295" s="2"/>
      <c r="L1295" s="20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  <c r="AA1295" s="20"/>
      <c r="AB1295" s="20"/>
      <c r="AC1295" s="20"/>
      <c r="AD1295" s="20"/>
      <c r="AE1295" s="20"/>
    </row>
    <row r="1296" spans="2:31" x14ac:dyDescent="0.25">
      <c r="B1296" s="2"/>
      <c r="C1296" s="19"/>
      <c r="D1296" s="2"/>
      <c r="E1296" s="2"/>
      <c r="F1296" s="19"/>
      <c r="G1296" s="2"/>
      <c r="H1296" s="2"/>
      <c r="I1296" s="2"/>
      <c r="J1296" s="2"/>
      <c r="L1296" s="20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  <c r="AA1296" s="20"/>
      <c r="AB1296" s="20"/>
      <c r="AC1296" s="20"/>
      <c r="AD1296" s="20"/>
      <c r="AE1296" s="20"/>
    </row>
    <row r="1297" spans="2:31" x14ac:dyDescent="0.25">
      <c r="B1297" s="2"/>
      <c r="C1297" s="19"/>
      <c r="D1297" s="2"/>
      <c r="E1297" s="2"/>
      <c r="F1297" s="19"/>
      <c r="G1297" s="2"/>
      <c r="H1297" s="2"/>
      <c r="I1297" s="2"/>
      <c r="J1297" s="2"/>
      <c r="L1297" s="20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  <c r="AA1297" s="20"/>
      <c r="AB1297" s="20"/>
      <c r="AC1297" s="20"/>
      <c r="AD1297" s="20"/>
      <c r="AE1297" s="20"/>
    </row>
    <row r="1298" spans="2:31" x14ac:dyDescent="0.25">
      <c r="B1298" s="2"/>
      <c r="C1298" s="19"/>
      <c r="D1298" s="2"/>
      <c r="E1298" s="2"/>
      <c r="F1298" s="19"/>
      <c r="G1298" s="2"/>
      <c r="H1298" s="2"/>
      <c r="I1298" s="2"/>
      <c r="J1298" s="2"/>
      <c r="L1298" s="20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  <c r="AA1298" s="20"/>
      <c r="AB1298" s="20"/>
      <c r="AC1298" s="20"/>
      <c r="AD1298" s="20"/>
      <c r="AE1298" s="20"/>
    </row>
    <row r="1299" spans="2:31" x14ac:dyDescent="0.25">
      <c r="B1299" s="2"/>
      <c r="C1299" s="19"/>
      <c r="D1299" s="2"/>
      <c r="E1299" s="2"/>
      <c r="F1299" s="19"/>
      <c r="G1299" s="2"/>
      <c r="H1299" s="2"/>
      <c r="I1299" s="2"/>
      <c r="J1299" s="2"/>
      <c r="L1299" s="20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  <c r="AA1299" s="20"/>
      <c r="AB1299" s="20"/>
      <c r="AC1299" s="20"/>
      <c r="AD1299" s="20"/>
      <c r="AE1299" s="20"/>
    </row>
    <row r="1300" spans="2:31" x14ac:dyDescent="0.25">
      <c r="B1300" s="2"/>
      <c r="C1300" s="19"/>
      <c r="D1300" s="2"/>
      <c r="E1300" s="2"/>
      <c r="F1300" s="19"/>
      <c r="G1300" s="2"/>
      <c r="H1300" s="2"/>
      <c r="I1300" s="2"/>
      <c r="J1300" s="2"/>
      <c r="L1300" s="20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  <c r="AA1300" s="20"/>
      <c r="AB1300" s="20"/>
      <c r="AC1300" s="20"/>
      <c r="AD1300" s="20"/>
      <c r="AE1300" s="20"/>
    </row>
    <row r="1301" spans="2:31" x14ac:dyDescent="0.25">
      <c r="B1301" s="2"/>
      <c r="C1301" s="19"/>
      <c r="D1301" s="2"/>
      <c r="E1301" s="2"/>
      <c r="F1301" s="19"/>
      <c r="G1301" s="2"/>
      <c r="H1301" s="2"/>
      <c r="I1301" s="2"/>
      <c r="J1301" s="2"/>
      <c r="L1301" s="20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  <c r="AA1301" s="20"/>
      <c r="AB1301" s="20"/>
      <c r="AC1301" s="20"/>
      <c r="AD1301" s="20"/>
      <c r="AE1301" s="20"/>
    </row>
    <row r="1302" spans="2:31" x14ac:dyDescent="0.25">
      <c r="B1302" s="2"/>
      <c r="C1302" s="19"/>
      <c r="D1302" s="2"/>
      <c r="E1302" s="2"/>
      <c r="F1302" s="19"/>
      <c r="G1302" s="2"/>
      <c r="H1302" s="2"/>
      <c r="I1302" s="2"/>
      <c r="J1302" s="2"/>
      <c r="L1302" s="20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  <c r="AA1302" s="20"/>
      <c r="AB1302" s="20"/>
      <c r="AC1302" s="20"/>
      <c r="AD1302" s="20"/>
      <c r="AE1302" s="20"/>
    </row>
    <row r="1303" spans="2:31" x14ac:dyDescent="0.25">
      <c r="B1303" s="2"/>
      <c r="C1303" s="19"/>
      <c r="D1303" s="2"/>
      <c r="E1303" s="2"/>
      <c r="F1303" s="19"/>
      <c r="G1303" s="2"/>
      <c r="H1303" s="2"/>
      <c r="I1303" s="2"/>
      <c r="J1303" s="2"/>
      <c r="L1303" s="20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  <c r="AA1303" s="20"/>
      <c r="AB1303" s="20"/>
      <c r="AC1303" s="20"/>
      <c r="AD1303" s="20"/>
      <c r="AE1303" s="20"/>
    </row>
    <row r="1304" spans="2:31" x14ac:dyDescent="0.25">
      <c r="B1304" s="2"/>
      <c r="C1304" s="19"/>
      <c r="D1304" s="2"/>
      <c r="E1304" s="2"/>
      <c r="F1304" s="19"/>
      <c r="G1304" s="2"/>
      <c r="H1304" s="2"/>
      <c r="I1304" s="2"/>
      <c r="J1304" s="2"/>
      <c r="L1304" s="20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  <c r="AA1304" s="20"/>
      <c r="AB1304" s="20"/>
      <c r="AC1304" s="20"/>
      <c r="AD1304" s="20"/>
      <c r="AE1304" s="20"/>
    </row>
    <row r="1305" spans="2:31" x14ac:dyDescent="0.25">
      <c r="B1305" s="2"/>
      <c r="C1305" s="19"/>
      <c r="D1305" s="2"/>
      <c r="E1305" s="2"/>
      <c r="F1305" s="19"/>
      <c r="G1305" s="2"/>
      <c r="H1305" s="2"/>
      <c r="I1305" s="2"/>
      <c r="J1305" s="2"/>
      <c r="L1305" s="20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  <c r="AA1305" s="20"/>
      <c r="AB1305" s="20"/>
      <c r="AC1305" s="20"/>
      <c r="AD1305" s="20"/>
      <c r="AE1305" s="20"/>
    </row>
    <row r="1306" spans="2:31" x14ac:dyDescent="0.25">
      <c r="B1306" s="2"/>
      <c r="C1306" s="19"/>
      <c r="D1306" s="2"/>
      <c r="E1306" s="2"/>
      <c r="F1306" s="19"/>
      <c r="G1306" s="2"/>
      <c r="H1306" s="2"/>
      <c r="I1306" s="2"/>
      <c r="J1306" s="2"/>
      <c r="L1306" s="20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  <c r="AA1306" s="20"/>
      <c r="AB1306" s="20"/>
      <c r="AC1306" s="20"/>
      <c r="AD1306" s="20"/>
      <c r="AE1306" s="20"/>
    </row>
    <row r="1307" spans="2:31" x14ac:dyDescent="0.25">
      <c r="B1307" s="2"/>
      <c r="C1307" s="19"/>
      <c r="D1307" s="2"/>
      <c r="E1307" s="2"/>
      <c r="F1307" s="19"/>
      <c r="G1307" s="2"/>
      <c r="H1307" s="2"/>
      <c r="I1307" s="2"/>
      <c r="J1307" s="2"/>
      <c r="L1307" s="20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  <c r="AA1307" s="20"/>
      <c r="AB1307" s="20"/>
      <c r="AC1307" s="20"/>
      <c r="AD1307" s="20"/>
      <c r="AE1307" s="20"/>
    </row>
    <row r="1308" spans="2:31" x14ac:dyDescent="0.25">
      <c r="B1308" s="2"/>
      <c r="C1308" s="19"/>
      <c r="D1308" s="2"/>
      <c r="E1308" s="2"/>
      <c r="F1308" s="19"/>
      <c r="G1308" s="2"/>
      <c r="H1308" s="2"/>
      <c r="I1308" s="2"/>
      <c r="J1308" s="2"/>
      <c r="L1308" s="20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  <c r="AA1308" s="20"/>
      <c r="AB1308" s="20"/>
      <c r="AC1308" s="20"/>
      <c r="AD1308" s="20"/>
      <c r="AE1308" s="20"/>
    </row>
    <row r="1309" spans="2:31" x14ac:dyDescent="0.25">
      <c r="B1309" s="2"/>
      <c r="C1309" s="19"/>
      <c r="D1309" s="2"/>
      <c r="E1309" s="2"/>
      <c r="F1309" s="19"/>
      <c r="G1309" s="2"/>
      <c r="H1309" s="2"/>
      <c r="I1309" s="2"/>
      <c r="J1309" s="2"/>
      <c r="L1309" s="20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  <c r="AA1309" s="20"/>
      <c r="AB1309" s="20"/>
      <c r="AC1309" s="20"/>
      <c r="AD1309" s="20"/>
      <c r="AE1309" s="20"/>
    </row>
    <row r="1310" spans="2:31" x14ac:dyDescent="0.25">
      <c r="B1310" s="2"/>
      <c r="C1310" s="19"/>
      <c r="D1310" s="2"/>
      <c r="E1310" s="2"/>
      <c r="F1310" s="19"/>
      <c r="G1310" s="2"/>
      <c r="H1310" s="2"/>
      <c r="I1310" s="2"/>
      <c r="J1310" s="2"/>
      <c r="L1310" s="20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  <c r="AA1310" s="20"/>
      <c r="AB1310" s="20"/>
      <c r="AC1310" s="20"/>
      <c r="AD1310" s="20"/>
      <c r="AE1310" s="20"/>
    </row>
    <row r="1311" spans="2:31" x14ac:dyDescent="0.25">
      <c r="B1311" s="2"/>
      <c r="C1311" s="19"/>
      <c r="D1311" s="2"/>
      <c r="E1311" s="2"/>
      <c r="F1311" s="19"/>
      <c r="G1311" s="2"/>
      <c r="H1311" s="2"/>
      <c r="I1311" s="2"/>
      <c r="J1311" s="2"/>
      <c r="L1311" s="20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  <c r="AA1311" s="20"/>
      <c r="AB1311" s="20"/>
      <c r="AC1311" s="20"/>
      <c r="AD1311" s="20"/>
      <c r="AE1311" s="20"/>
    </row>
    <row r="1312" spans="2:31" x14ac:dyDescent="0.25">
      <c r="B1312" s="2"/>
      <c r="C1312" s="19"/>
      <c r="D1312" s="2"/>
      <c r="E1312" s="2"/>
      <c r="F1312" s="19"/>
      <c r="G1312" s="2"/>
      <c r="H1312" s="2"/>
      <c r="I1312" s="2"/>
      <c r="J1312" s="2"/>
      <c r="L1312" s="20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  <c r="AA1312" s="20"/>
      <c r="AB1312" s="20"/>
      <c r="AC1312" s="20"/>
      <c r="AD1312" s="20"/>
      <c r="AE1312" s="20"/>
    </row>
    <row r="1313" spans="2:31" x14ac:dyDescent="0.25">
      <c r="B1313" s="2"/>
      <c r="C1313" s="19"/>
      <c r="D1313" s="2"/>
      <c r="E1313" s="2"/>
      <c r="F1313" s="19"/>
      <c r="G1313" s="2"/>
      <c r="H1313" s="2"/>
      <c r="I1313" s="2"/>
      <c r="J1313" s="2"/>
      <c r="L1313" s="20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  <c r="AA1313" s="20"/>
      <c r="AB1313" s="20"/>
      <c r="AC1313" s="20"/>
      <c r="AD1313" s="20"/>
      <c r="AE1313" s="20"/>
    </row>
    <row r="1314" spans="2:31" x14ac:dyDescent="0.25">
      <c r="B1314" s="2"/>
      <c r="C1314" s="19"/>
      <c r="D1314" s="2"/>
      <c r="E1314" s="2"/>
      <c r="F1314" s="19"/>
      <c r="G1314" s="2"/>
      <c r="H1314" s="2"/>
      <c r="I1314" s="2"/>
      <c r="J1314" s="2"/>
      <c r="L1314" s="20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  <c r="AA1314" s="20"/>
      <c r="AB1314" s="20"/>
      <c r="AC1314" s="20"/>
      <c r="AD1314" s="20"/>
      <c r="AE1314" s="20"/>
    </row>
    <row r="1315" spans="2:31" x14ac:dyDescent="0.25">
      <c r="B1315" s="2"/>
      <c r="C1315" s="19"/>
      <c r="D1315" s="2"/>
      <c r="E1315" s="2"/>
      <c r="F1315" s="19"/>
      <c r="G1315" s="2"/>
      <c r="H1315" s="2"/>
      <c r="I1315" s="2"/>
      <c r="J1315" s="2"/>
      <c r="L1315" s="20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  <c r="AA1315" s="20"/>
      <c r="AB1315" s="20"/>
      <c r="AC1315" s="20"/>
      <c r="AD1315" s="20"/>
      <c r="AE1315" s="20"/>
    </row>
    <row r="1316" spans="2:31" x14ac:dyDescent="0.25">
      <c r="B1316" s="2"/>
      <c r="C1316" s="19"/>
      <c r="D1316" s="2"/>
      <c r="E1316" s="2"/>
      <c r="F1316" s="19"/>
      <c r="G1316" s="2"/>
      <c r="H1316" s="2"/>
      <c r="I1316" s="2"/>
      <c r="J1316" s="2"/>
      <c r="L1316" s="20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  <c r="AA1316" s="20"/>
      <c r="AB1316" s="20"/>
      <c r="AC1316" s="20"/>
      <c r="AD1316" s="20"/>
      <c r="AE1316" s="20"/>
    </row>
    <row r="1317" spans="2:31" x14ac:dyDescent="0.25">
      <c r="B1317" s="2"/>
      <c r="C1317" s="19"/>
      <c r="D1317" s="2"/>
      <c r="E1317" s="2"/>
      <c r="F1317" s="19"/>
      <c r="G1317" s="2"/>
      <c r="H1317" s="2"/>
      <c r="I1317" s="2"/>
      <c r="J1317" s="2"/>
      <c r="L1317" s="20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  <c r="AA1317" s="20"/>
      <c r="AB1317" s="20"/>
      <c r="AC1317" s="20"/>
      <c r="AD1317" s="20"/>
      <c r="AE1317" s="20"/>
    </row>
    <row r="1318" spans="2:31" x14ac:dyDescent="0.25">
      <c r="B1318" s="2"/>
      <c r="C1318" s="19"/>
      <c r="D1318" s="2"/>
      <c r="E1318" s="2"/>
      <c r="F1318" s="19"/>
      <c r="G1318" s="2"/>
      <c r="H1318" s="2"/>
      <c r="I1318" s="2"/>
      <c r="J1318" s="2"/>
      <c r="L1318" s="20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  <c r="AA1318" s="20"/>
      <c r="AB1318" s="20"/>
      <c r="AC1318" s="20"/>
      <c r="AD1318" s="20"/>
      <c r="AE1318" s="20"/>
    </row>
    <row r="1319" spans="2:31" x14ac:dyDescent="0.25">
      <c r="B1319" s="2"/>
      <c r="C1319" s="19"/>
      <c r="D1319" s="2"/>
      <c r="E1319" s="2"/>
      <c r="F1319" s="19"/>
      <c r="G1319" s="2"/>
      <c r="H1319" s="2"/>
      <c r="I1319" s="2"/>
      <c r="J1319" s="2"/>
      <c r="L1319" s="20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  <c r="AA1319" s="20"/>
      <c r="AB1319" s="20"/>
      <c r="AC1319" s="20"/>
      <c r="AD1319" s="20"/>
      <c r="AE1319" s="20"/>
    </row>
    <row r="1320" spans="2:31" x14ac:dyDescent="0.25">
      <c r="B1320" s="2"/>
      <c r="C1320" s="19"/>
      <c r="D1320" s="2"/>
      <c r="E1320" s="2"/>
      <c r="F1320" s="19"/>
      <c r="G1320" s="2"/>
      <c r="H1320" s="2"/>
      <c r="I1320" s="2"/>
      <c r="J1320" s="2"/>
      <c r="L1320" s="20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  <c r="AA1320" s="20"/>
      <c r="AB1320" s="20"/>
      <c r="AC1320" s="20"/>
      <c r="AD1320" s="20"/>
      <c r="AE1320" s="20"/>
    </row>
    <row r="1321" spans="2:31" x14ac:dyDescent="0.25">
      <c r="B1321" s="2"/>
      <c r="C1321" s="19"/>
      <c r="D1321" s="2"/>
      <c r="E1321" s="2"/>
      <c r="F1321" s="19"/>
      <c r="G1321" s="2"/>
      <c r="H1321" s="2"/>
      <c r="I1321" s="2"/>
      <c r="J1321" s="2"/>
      <c r="L1321" s="20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  <c r="AA1321" s="20"/>
      <c r="AB1321" s="20"/>
      <c r="AC1321" s="20"/>
      <c r="AD1321" s="20"/>
      <c r="AE1321" s="20"/>
    </row>
    <row r="1322" spans="2:31" x14ac:dyDescent="0.25">
      <c r="B1322" s="2"/>
      <c r="C1322" s="19"/>
      <c r="D1322" s="2"/>
      <c r="E1322" s="2"/>
      <c r="F1322" s="19"/>
      <c r="G1322" s="2"/>
      <c r="H1322" s="2"/>
      <c r="I1322" s="2"/>
      <c r="J1322" s="2"/>
      <c r="L1322" s="20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  <c r="AA1322" s="20"/>
      <c r="AB1322" s="20"/>
      <c r="AC1322" s="20"/>
      <c r="AD1322" s="20"/>
      <c r="AE1322" s="20"/>
    </row>
    <row r="1323" spans="2:31" x14ac:dyDescent="0.25">
      <c r="B1323" s="2"/>
      <c r="C1323" s="19"/>
      <c r="D1323" s="2"/>
      <c r="E1323" s="2"/>
      <c r="F1323" s="19"/>
      <c r="G1323" s="2"/>
      <c r="H1323" s="2"/>
      <c r="I1323" s="2"/>
      <c r="J1323" s="2"/>
      <c r="L1323" s="20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  <c r="AA1323" s="20"/>
      <c r="AB1323" s="20"/>
      <c r="AC1323" s="20"/>
      <c r="AD1323" s="20"/>
      <c r="AE1323" s="20"/>
    </row>
    <row r="1324" spans="2:31" x14ac:dyDescent="0.25">
      <c r="B1324" s="2"/>
      <c r="C1324" s="19"/>
      <c r="D1324" s="2"/>
      <c r="E1324" s="2"/>
      <c r="F1324" s="19"/>
      <c r="G1324" s="2"/>
      <c r="H1324" s="2"/>
      <c r="I1324" s="2"/>
      <c r="J1324" s="2"/>
      <c r="L1324" s="20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  <c r="AA1324" s="20"/>
      <c r="AB1324" s="20"/>
      <c r="AC1324" s="20"/>
      <c r="AD1324" s="20"/>
      <c r="AE1324" s="20"/>
    </row>
    <row r="1325" spans="2:31" x14ac:dyDescent="0.25">
      <c r="B1325" s="2"/>
      <c r="C1325" s="19"/>
      <c r="D1325" s="2"/>
      <c r="E1325" s="2"/>
      <c r="F1325" s="19"/>
      <c r="G1325" s="2"/>
      <c r="H1325" s="2"/>
      <c r="I1325" s="2"/>
      <c r="J1325" s="2"/>
      <c r="L1325" s="20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  <c r="AA1325" s="20"/>
      <c r="AB1325" s="20"/>
      <c r="AC1325" s="20"/>
      <c r="AD1325" s="20"/>
      <c r="AE1325" s="20"/>
    </row>
    <row r="1326" spans="2:31" x14ac:dyDescent="0.25">
      <c r="B1326" s="2"/>
      <c r="C1326" s="19"/>
      <c r="D1326" s="2"/>
      <c r="E1326" s="2"/>
      <c r="F1326" s="19"/>
      <c r="G1326" s="2"/>
      <c r="H1326" s="2"/>
      <c r="I1326" s="2"/>
      <c r="J1326" s="2"/>
      <c r="L1326" s="20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  <c r="AA1326" s="20"/>
      <c r="AB1326" s="20"/>
      <c r="AC1326" s="20"/>
      <c r="AD1326" s="20"/>
      <c r="AE1326" s="20"/>
    </row>
    <row r="1327" spans="2:31" x14ac:dyDescent="0.25">
      <c r="B1327" s="2"/>
      <c r="C1327" s="19"/>
      <c r="D1327" s="2"/>
      <c r="E1327" s="2"/>
      <c r="F1327" s="19"/>
      <c r="G1327" s="2"/>
      <c r="H1327" s="2"/>
      <c r="I1327" s="2"/>
      <c r="J1327" s="2"/>
      <c r="L1327" s="20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  <c r="AA1327" s="20"/>
      <c r="AB1327" s="20"/>
      <c r="AC1327" s="20"/>
      <c r="AD1327" s="20"/>
      <c r="AE1327" s="20"/>
    </row>
    <row r="1328" spans="2:31" x14ac:dyDescent="0.25">
      <c r="B1328" s="2"/>
      <c r="C1328" s="19"/>
      <c r="D1328" s="2"/>
      <c r="E1328" s="2"/>
      <c r="F1328" s="19"/>
      <c r="G1328" s="2"/>
      <c r="H1328" s="2"/>
      <c r="I1328" s="2"/>
      <c r="J1328" s="2"/>
      <c r="L1328" s="20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  <c r="AA1328" s="20"/>
      <c r="AB1328" s="20"/>
      <c r="AC1328" s="20"/>
      <c r="AD1328" s="20"/>
      <c r="AE1328" s="20"/>
    </row>
    <row r="1329" spans="2:31" x14ac:dyDescent="0.25">
      <c r="B1329" s="2"/>
      <c r="C1329" s="19"/>
      <c r="D1329" s="2"/>
      <c r="E1329" s="2"/>
      <c r="F1329" s="19"/>
      <c r="G1329" s="2"/>
      <c r="H1329" s="2"/>
      <c r="I1329" s="2"/>
      <c r="J1329" s="2"/>
      <c r="L1329" s="20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  <c r="AA1329" s="20"/>
      <c r="AB1329" s="20"/>
      <c r="AC1329" s="20"/>
      <c r="AD1329" s="20"/>
      <c r="AE1329" s="20"/>
    </row>
    <row r="1330" spans="2:31" x14ac:dyDescent="0.25">
      <c r="B1330" s="2"/>
      <c r="C1330" s="19"/>
      <c r="D1330" s="2"/>
      <c r="E1330" s="2"/>
      <c r="F1330" s="19"/>
      <c r="G1330" s="2"/>
      <c r="H1330" s="2"/>
      <c r="I1330" s="2"/>
      <c r="J1330" s="2"/>
      <c r="L1330" s="20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  <c r="AA1330" s="20"/>
      <c r="AB1330" s="20"/>
      <c r="AC1330" s="20"/>
      <c r="AD1330" s="20"/>
      <c r="AE1330" s="20"/>
    </row>
    <row r="1331" spans="2:31" x14ac:dyDescent="0.25">
      <c r="B1331" s="2"/>
      <c r="C1331" s="19"/>
      <c r="D1331" s="2"/>
      <c r="E1331" s="2"/>
      <c r="F1331" s="19"/>
      <c r="G1331" s="2"/>
      <c r="H1331" s="2"/>
      <c r="I1331" s="2"/>
      <c r="J1331" s="2"/>
      <c r="L1331" s="20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  <c r="AA1331" s="20"/>
      <c r="AB1331" s="20"/>
      <c r="AC1331" s="20"/>
      <c r="AD1331" s="20"/>
      <c r="AE1331" s="20"/>
    </row>
    <row r="1332" spans="2:31" x14ac:dyDescent="0.25">
      <c r="B1332" s="2"/>
      <c r="C1332" s="19"/>
      <c r="D1332" s="2"/>
      <c r="E1332" s="2"/>
      <c r="F1332" s="19"/>
      <c r="G1332" s="2"/>
      <c r="H1332" s="2"/>
      <c r="I1332" s="2"/>
      <c r="J1332" s="2"/>
      <c r="L1332" s="20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  <c r="AA1332" s="20"/>
      <c r="AB1332" s="20"/>
      <c r="AC1332" s="20"/>
      <c r="AD1332" s="20"/>
      <c r="AE1332" s="20"/>
    </row>
    <row r="1333" spans="2:31" x14ac:dyDescent="0.25">
      <c r="B1333" s="2"/>
      <c r="C1333" s="19"/>
      <c r="D1333" s="2"/>
      <c r="E1333" s="2"/>
      <c r="F1333" s="19"/>
      <c r="G1333" s="2"/>
      <c r="H1333" s="2"/>
      <c r="I1333" s="2"/>
      <c r="J1333" s="2"/>
      <c r="L1333" s="20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  <c r="AA1333" s="20"/>
      <c r="AB1333" s="20"/>
      <c r="AC1333" s="20"/>
      <c r="AD1333" s="20"/>
      <c r="AE1333" s="20"/>
    </row>
    <row r="1334" spans="2:31" x14ac:dyDescent="0.25">
      <c r="B1334" s="2"/>
      <c r="C1334" s="19"/>
      <c r="D1334" s="2"/>
      <c r="E1334" s="2"/>
      <c r="F1334" s="19"/>
      <c r="G1334" s="2"/>
      <c r="H1334" s="2"/>
      <c r="I1334" s="2"/>
      <c r="J1334" s="2"/>
      <c r="L1334" s="20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  <c r="AA1334" s="20"/>
      <c r="AB1334" s="20"/>
      <c r="AC1334" s="20"/>
      <c r="AD1334" s="20"/>
      <c r="AE1334" s="20"/>
    </row>
    <row r="1335" spans="2:31" x14ac:dyDescent="0.25">
      <c r="B1335" s="2"/>
      <c r="C1335" s="19"/>
      <c r="D1335" s="2"/>
      <c r="E1335" s="2"/>
      <c r="F1335" s="19"/>
      <c r="G1335" s="2"/>
      <c r="H1335" s="2"/>
      <c r="I1335" s="2"/>
      <c r="J1335" s="2"/>
      <c r="L1335" s="20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  <c r="AA1335" s="20"/>
      <c r="AB1335" s="20"/>
      <c r="AC1335" s="20"/>
      <c r="AD1335" s="20"/>
      <c r="AE1335" s="20"/>
    </row>
    <row r="1336" spans="2:31" x14ac:dyDescent="0.25">
      <c r="B1336" s="2"/>
      <c r="C1336" s="19"/>
      <c r="D1336" s="2"/>
      <c r="E1336" s="2"/>
      <c r="F1336" s="19"/>
      <c r="G1336" s="2"/>
      <c r="H1336" s="2"/>
      <c r="I1336" s="2"/>
      <c r="J1336" s="2"/>
      <c r="L1336" s="20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  <c r="AA1336" s="20"/>
      <c r="AB1336" s="20"/>
      <c r="AC1336" s="20"/>
      <c r="AD1336" s="20"/>
      <c r="AE1336" s="20"/>
    </row>
    <row r="1337" spans="2:31" x14ac:dyDescent="0.25">
      <c r="B1337" s="2"/>
      <c r="C1337" s="19"/>
      <c r="D1337" s="2"/>
      <c r="E1337" s="2"/>
      <c r="F1337" s="19"/>
      <c r="G1337" s="2"/>
      <c r="H1337" s="2"/>
      <c r="I1337" s="2"/>
      <c r="J1337" s="2"/>
      <c r="L1337" s="20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  <c r="AA1337" s="20"/>
      <c r="AB1337" s="20"/>
      <c r="AC1337" s="20"/>
      <c r="AD1337" s="20"/>
      <c r="AE1337" s="20"/>
    </row>
    <row r="1338" spans="2:31" x14ac:dyDescent="0.25">
      <c r="B1338" s="2"/>
      <c r="C1338" s="19"/>
      <c r="D1338" s="2"/>
      <c r="E1338" s="2"/>
      <c r="F1338" s="19"/>
      <c r="G1338" s="2"/>
      <c r="H1338" s="2"/>
      <c r="I1338" s="2"/>
      <c r="J1338" s="2"/>
      <c r="L1338" s="20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  <c r="AA1338" s="20"/>
      <c r="AB1338" s="20"/>
      <c r="AC1338" s="20"/>
      <c r="AD1338" s="20"/>
      <c r="AE1338" s="20"/>
    </row>
    <row r="1339" spans="2:31" x14ac:dyDescent="0.25">
      <c r="B1339" s="2"/>
      <c r="C1339" s="19"/>
      <c r="D1339" s="2"/>
      <c r="E1339" s="2"/>
      <c r="F1339" s="19"/>
      <c r="G1339" s="2"/>
      <c r="H1339" s="2"/>
      <c r="I1339" s="2"/>
      <c r="J1339" s="2"/>
      <c r="L1339" s="20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  <c r="AA1339" s="20"/>
      <c r="AB1339" s="20"/>
      <c r="AC1339" s="20"/>
      <c r="AD1339" s="20"/>
      <c r="AE1339" s="20"/>
    </row>
    <row r="1340" spans="2:31" x14ac:dyDescent="0.25">
      <c r="B1340" s="2"/>
      <c r="C1340" s="19"/>
      <c r="D1340" s="2"/>
      <c r="E1340" s="2"/>
      <c r="F1340" s="19"/>
      <c r="G1340" s="2"/>
      <c r="H1340" s="2"/>
      <c r="I1340" s="2"/>
      <c r="J1340" s="2"/>
      <c r="L1340" s="20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  <c r="AA1340" s="20"/>
      <c r="AB1340" s="20"/>
      <c r="AC1340" s="20"/>
      <c r="AD1340" s="20"/>
      <c r="AE1340" s="20"/>
    </row>
    <row r="1341" spans="2:31" x14ac:dyDescent="0.25">
      <c r="B1341" s="2"/>
      <c r="C1341" s="19"/>
      <c r="D1341" s="2"/>
      <c r="E1341" s="2"/>
      <c r="F1341" s="19"/>
      <c r="G1341" s="2"/>
      <c r="H1341" s="2"/>
      <c r="I1341" s="2"/>
      <c r="J1341" s="2"/>
      <c r="L1341" s="20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  <c r="AA1341" s="20"/>
      <c r="AB1341" s="20"/>
      <c r="AC1341" s="20"/>
      <c r="AD1341" s="20"/>
      <c r="AE1341" s="20"/>
    </row>
    <row r="1342" spans="2:31" x14ac:dyDescent="0.25">
      <c r="B1342" s="2"/>
      <c r="C1342" s="19"/>
      <c r="D1342" s="2"/>
      <c r="E1342" s="2"/>
      <c r="F1342" s="19"/>
      <c r="G1342" s="2"/>
      <c r="H1342" s="2"/>
      <c r="I1342" s="2"/>
      <c r="J1342" s="2"/>
      <c r="L1342" s="20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  <c r="AA1342" s="20"/>
      <c r="AB1342" s="20"/>
      <c r="AC1342" s="20"/>
      <c r="AD1342" s="20"/>
      <c r="AE1342" s="20"/>
    </row>
    <row r="1343" spans="2:31" x14ac:dyDescent="0.25">
      <c r="B1343" s="2"/>
      <c r="C1343" s="19"/>
      <c r="D1343" s="2"/>
      <c r="E1343" s="2"/>
      <c r="F1343" s="19"/>
      <c r="G1343" s="2"/>
      <c r="H1343" s="2"/>
      <c r="I1343" s="2"/>
      <c r="J1343" s="2"/>
      <c r="L1343" s="20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  <c r="AA1343" s="20"/>
      <c r="AB1343" s="20"/>
      <c r="AC1343" s="20"/>
      <c r="AD1343" s="20"/>
      <c r="AE1343" s="20"/>
    </row>
    <row r="1344" spans="2:31" x14ac:dyDescent="0.25">
      <c r="B1344" s="2"/>
      <c r="C1344" s="19"/>
      <c r="D1344" s="2"/>
      <c r="E1344" s="2"/>
      <c r="F1344" s="19"/>
      <c r="G1344" s="2"/>
      <c r="H1344" s="2"/>
      <c r="I1344" s="2"/>
      <c r="J1344" s="2"/>
      <c r="L1344" s="20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  <c r="AA1344" s="20"/>
      <c r="AB1344" s="20"/>
      <c r="AC1344" s="20"/>
      <c r="AD1344" s="20"/>
      <c r="AE1344" s="20"/>
    </row>
    <row r="1345" spans="2:31" x14ac:dyDescent="0.25">
      <c r="B1345" s="2"/>
      <c r="C1345" s="19"/>
      <c r="D1345" s="2"/>
      <c r="E1345" s="2"/>
      <c r="F1345" s="19"/>
      <c r="G1345" s="2"/>
      <c r="H1345" s="2"/>
      <c r="I1345" s="2"/>
      <c r="J1345" s="2"/>
      <c r="L1345" s="20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  <c r="AA1345" s="20"/>
      <c r="AB1345" s="20"/>
      <c r="AC1345" s="20"/>
      <c r="AD1345" s="20"/>
      <c r="AE1345" s="20"/>
    </row>
    <row r="1346" spans="2:31" x14ac:dyDescent="0.25">
      <c r="B1346" s="2"/>
      <c r="C1346" s="19"/>
      <c r="D1346" s="2"/>
      <c r="E1346" s="2"/>
      <c r="F1346" s="19"/>
      <c r="G1346" s="2"/>
      <c r="H1346" s="2"/>
      <c r="I1346" s="2"/>
      <c r="J1346" s="2"/>
      <c r="L1346" s="20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  <c r="AA1346" s="20"/>
      <c r="AB1346" s="20"/>
      <c r="AC1346" s="20"/>
      <c r="AD1346" s="20"/>
      <c r="AE1346" s="20"/>
    </row>
    <row r="1347" spans="2:31" x14ac:dyDescent="0.25">
      <c r="B1347" s="2"/>
      <c r="C1347" s="19"/>
      <c r="D1347" s="2"/>
      <c r="E1347" s="2"/>
      <c r="F1347" s="19"/>
      <c r="G1347" s="2"/>
      <c r="H1347" s="2"/>
      <c r="I1347" s="2"/>
      <c r="J1347" s="2"/>
      <c r="L1347" s="20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  <c r="AA1347" s="20"/>
      <c r="AB1347" s="20"/>
      <c r="AC1347" s="20"/>
      <c r="AD1347" s="20"/>
      <c r="AE1347" s="20"/>
    </row>
    <row r="1348" spans="2:31" x14ac:dyDescent="0.25">
      <c r="B1348" s="2"/>
      <c r="C1348" s="19"/>
      <c r="D1348" s="2"/>
      <c r="E1348" s="2"/>
      <c r="F1348" s="19"/>
      <c r="G1348" s="2"/>
      <c r="H1348" s="2"/>
      <c r="I1348" s="2"/>
      <c r="J1348" s="2"/>
      <c r="L1348" s="20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  <c r="AA1348" s="20"/>
      <c r="AB1348" s="20"/>
      <c r="AC1348" s="20"/>
      <c r="AD1348" s="20"/>
      <c r="AE1348" s="20"/>
    </row>
    <row r="1349" spans="2:31" x14ac:dyDescent="0.25">
      <c r="B1349" s="2"/>
      <c r="C1349" s="19"/>
      <c r="D1349" s="2"/>
      <c r="E1349" s="2"/>
      <c r="F1349" s="19"/>
      <c r="G1349" s="2"/>
      <c r="H1349" s="2"/>
      <c r="I1349" s="2"/>
      <c r="J1349" s="2"/>
      <c r="L1349" s="20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  <c r="AA1349" s="20"/>
      <c r="AB1349" s="20"/>
      <c r="AC1349" s="20"/>
      <c r="AD1349" s="20"/>
      <c r="AE1349" s="20"/>
    </row>
    <row r="1350" spans="2:31" x14ac:dyDescent="0.25">
      <c r="B1350" s="2"/>
      <c r="C1350" s="19"/>
      <c r="D1350" s="2"/>
      <c r="E1350" s="2"/>
      <c r="F1350" s="19"/>
      <c r="G1350" s="2"/>
      <c r="H1350" s="2"/>
      <c r="I1350" s="2"/>
      <c r="J1350" s="2"/>
      <c r="L1350" s="20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  <c r="AA1350" s="20"/>
      <c r="AB1350" s="20"/>
      <c r="AC1350" s="20"/>
      <c r="AD1350" s="20"/>
      <c r="AE1350" s="20"/>
    </row>
    <row r="1351" spans="2:31" x14ac:dyDescent="0.25">
      <c r="B1351" s="2"/>
      <c r="C1351" s="19"/>
      <c r="D1351" s="2"/>
      <c r="E1351" s="2"/>
      <c r="F1351" s="19"/>
      <c r="G1351" s="2"/>
      <c r="H1351" s="2"/>
      <c r="I1351" s="2"/>
      <c r="J1351" s="2"/>
      <c r="L1351" s="20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  <c r="AA1351" s="20"/>
      <c r="AB1351" s="20"/>
      <c r="AC1351" s="20"/>
      <c r="AD1351" s="20"/>
      <c r="AE1351" s="20"/>
    </row>
    <row r="1352" spans="2:31" x14ac:dyDescent="0.25">
      <c r="B1352" s="2"/>
      <c r="C1352" s="19"/>
      <c r="D1352" s="2"/>
      <c r="E1352" s="2"/>
      <c r="F1352" s="19"/>
      <c r="G1352" s="2"/>
      <c r="H1352" s="2"/>
      <c r="I1352" s="2"/>
      <c r="J1352" s="2"/>
      <c r="L1352" s="20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  <c r="AA1352" s="20"/>
      <c r="AB1352" s="20"/>
      <c r="AC1352" s="20"/>
      <c r="AD1352" s="20"/>
      <c r="AE1352" s="20"/>
    </row>
    <row r="1353" spans="2:31" x14ac:dyDescent="0.25">
      <c r="B1353" s="2"/>
      <c r="C1353" s="19"/>
      <c r="D1353" s="2"/>
      <c r="E1353" s="2"/>
      <c r="F1353" s="19"/>
      <c r="G1353" s="2"/>
      <c r="H1353" s="2"/>
      <c r="I1353" s="2"/>
      <c r="J1353" s="2"/>
      <c r="L1353" s="20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  <c r="AA1353" s="20"/>
      <c r="AB1353" s="20"/>
      <c r="AC1353" s="20"/>
      <c r="AD1353" s="20"/>
      <c r="AE1353" s="20"/>
    </row>
    <row r="1354" spans="2:31" x14ac:dyDescent="0.25">
      <c r="B1354" s="2"/>
      <c r="C1354" s="19"/>
      <c r="D1354" s="2"/>
      <c r="E1354" s="2"/>
      <c r="F1354" s="19"/>
      <c r="G1354" s="2"/>
      <c r="H1354" s="2"/>
      <c r="I1354" s="2"/>
      <c r="J1354" s="2"/>
      <c r="L1354" s="20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  <c r="AA1354" s="20"/>
      <c r="AB1354" s="20"/>
      <c r="AC1354" s="20"/>
      <c r="AD1354" s="20"/>
      <c r="AE1354" s="20"/>
    </row>
    <row r="1355" spans="2:31" x14ac:dyDescent="0.25">
      <c r="B1355" s="2"/>
      <c r="C1355" s="19"/>
      <c r="D1355" s="2"/>
      <c r="E1355" s="2"/>
      <c r="F1355" s="19"/>
      <c r="G1355" s="2"/>
      <c r="H1355" s="2"/>
      <c r="I1355" s="2"/>
      <c r="J1355" s="2"/>
      <c r="L1355" s="20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  <c r="AA1355" s="20"/>
      <c r="AB1355" s="20"/>
      <c r="AC1355" s="20"/>
      <c r="AD1355" s="20"/>
      <c r="AE1355" s="20"/>
    </row>
    <row r="1356" spans="2:31" x14ac:dyDescent="0.25">
      <c r="B1356" s="2"/>
      <c r="C1356" s="19"/>
      <c r="D1356" s="2"/>
      <c r="E1356" s="2"/>
      <c r="F1356" s="19"/>
      <c r="G1356" s="2"/>
      <c r="H1356" s="2"/>
      <c r="I1356" s="2"/>
      <c r="J1356" s="2"/>
      <c r="L1356" s="20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  <c r="AA1356" s="20"/>
      <c r="AB1356" s="20"/>
      <c r="AC1356" s="20"/>
      <c r="AD1356" s="20"/>
      <c r="AE1356" s="20"/>
    </row>
    <row r="1357" spans="2:31" x14ac:dyDescent="0.25">
      <c r="B1357" s="2"/>
      <c r="C1357" s="19"/>
      <c r="D1357" s="2"/>
      <c r="E1357" s="2"/>
      <c r="F1357" s="19"/>
      <c r="G1357" s="2"/>
      <c r="H1357" s="2"/>
      <c r="I1357" s="2"/>
      <c r="J1357" s="2"/>
      <c r="L1357" s="20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  <c r="AA1357" s="20"/>
      <c r="AB1357" s="20"/>
      <c r="AC1357" s="20"/>
      <c r="AD1357" s="20"/>
      <c r="AE1357" s="20"/>
    </row>
    <row r="1358" spans="2:31" x14ac:dyDescent="0.25">
      <c r="B1358" s="2"/>
      <c r="C1358" s="19"/>
      <c r="D1358" s="2"/>
      <c r="E1358" s="2"/>
      <c r="F1358" s="19"/>
      <c r="G1358" s="2"/>
      <c r="H1358" s="2"/>
      <c r="I1358" s="2"/>
      <c r="J1358" s="2"/>
      <c r="L1358" s="20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  <c r="AA1358" s="20"/>
      <c r="AB1358" s="20"/>
      <c r="AC1358" s="20"/>
      <c r="AD1358" s="20"/>
      <c r="AE1358" s="20"/>
    </row>
    <row r="1359" spans="2:31" x14ac:dyDescent="0.25">
      <c r="B1359" s="2"/>
      <c r="C1359" s="19"/>
      <c r="D1359" s="2"/>
      <c r="E1359" s="2"/>
      <c r="F1359" s="19"/>
      <c r="G1359" s="2"/>
      <c r="H1359" s="2"/>
      <c r="I1359" s="2"/>
      <c r="J1359" s="2"/>
      <c r="L1359" s="20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  <c r="AA1359" s="20"/>
      <c r="AB1359" s="20"/>
      <c r="AC1359" s="20"/>
      <c r="AD1359" s="20"/>
      <c r="AE1359" s="20"/>
    </row>
    <row r="1360" spans="2:31" x14ac:dyDescent="0.25">
      <c r="B1360" s="2"/>
      <c r="C1360" s="19"/>
      <c r="D1360" s="2"/>
      <c r="E1360" s="2"/>
      <c r="F1360" s="19"/>
      <c r="G1360" s="2"/>
      <c r="H1360" s="2"/>
      <c r="I1360" s="2"/>
      <c r="J1360" s="2"/>
      <c r="L1360" s="20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  <c r="AA1360" s="20"/>
      <c r="AB1360" s="20"/>
      <c r="AC1360" s="20"/>
      <c r="AD1360" s="20"/>
      <c r="AE1360" s="20"/>
    </row>
    <row r="1361" spans="2:31" x14ac:dyDescent="0.25">
      <c r="B1361" s="2"/>
      <c r="C1361" s="19"/>
      <c r="D1361" s="2"/>
      <c r="E1361" s="2"/>
      <c r="F1361" s="19"/>
      <c r="G1361" s="2"/>
      <c r="H1361" s="2"/>
      <c r="I1361" s="2"/>
      <c r="J1361" s="2"/>
      <c r="L1361" s="20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  <c r="AA1361" s="20"/>
      <c r="AB1361" s="20"/>
      <c r="AC1361" s="20"/>
      <c r="AD1361" s="20"/>
      <c r="AE1361" s="20"/>
    </row>
    <row r="1362" spans="2:31" x14ac:dyDescent="0.25">
      <c r="B1362" s="2"/>
      <c r="C1362" s="19"/>
      <c r="D1362" s="2"/>
      <c r="E1362" s="2"/>
      <c r="F1362" s="19"/>
      <c r="G1362" s="2"/>
      <c r="H1362" s="2"/>
      <c r="I1362" s="2"/>
      <c r="J1362" s="2"/>
      <c r="L1362" s="20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  <c r="AA1362" s="20"/>
      <c r="AB1362" s="20"/>
      <c r="AC1362" s="20"/>
      <c r="AD1362" s="20"/>
      <c r="AE1362" s="20"/>
    </row>
    <row r="1363" spans="2:31" x14ac:dyDescent="0.25">
      <c r="B1363" s="2"/>
      <c r="C1363" s="19"/>
      <c r="D1363" s="2"/>
      <c r="E1363" s="2"/>
      <c r="F1363" s="19"/>
      <c r="G1363" s="2"/>
      <c r="H1363" s="2"/>
      <c r="I1363" s="2"/>
      <c r="J1363" s="2"/>
      <c r="L1363" s="20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  <c r="AA1363" s="20"/>
      <c r="AB1363" s="20"/>
      <c r="AC1363" s="20"/>
      <c r="AD1363" s="20"/>
      <c r="AE1363" s="20"/>
    </row>
    <row r="1364" spans="2:31" x14ac:dyDescent="0.25">
      <c r="B1364" s="2"/>
      <c r="C1364" s="19"/>
      <c r="D1364" s="2"/>
      <c r="E1364" s="2"/>
      <c r="F1364" s="19"/>
      <c r="G1364" s="2"/>
      <c r="H1364" s="2"/>
      <c r="I1364" s="2"/>
      <c r="J1364" s="2"/>
      <c r="L1364" s="20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  <c r="AA1364" s="20"/>
      <c r="AB1364" s="20"/>
      <c r="AC1364" s="20"/>
      <c r="AD1364" s="20"/>
      <c r="AE1364" s="20"/>
    </row>
    <row r="1365" spans="2:31" x14ac:dyDescent="0.25">
      <c r="B1365" s="2"/>
      <c r="C1365" s="19"/>
      <c r="D1365" s="2"/>
      <c r="E1365" s="2"/>
      <c r="F1365" s="19"/>
      <c r="G1365" s="2"/>
      <c r="H1365" s="2"/>
      <c r="I1365" s="2"/>
      <c r="J1365" s="2"/>
      <c r="L1365" s="20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  <c r="AA1365" s="20"/>
      <c r="AB1365" s="20"/>
      <c r="AC1365" s="20"/>
      <c r="AD1365" s="20"/>
      <c r="AE1365" s="20"/>
    </row>
    <row r="1366" spans="2:31" x14ac:dyDescent="0.25">
      <c r="B1366" s="2"/>
      <c r="C1366" s="19"/>
      <c r="D1366" s="2"/>
      <c r="E1366" s="2"/>
      <c r="F1366" s="19"/>
      <c r="G1366" s="2"/>
      <c r="H1366" s="2"/>
      <c r="I1366" s="2"/>
      <c r="J1366" s="2"/>
      <c r="L1366" s="20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  <c r="AA1366" s="20"/>
      <c r="AB1366" s="20"/>
      <c r="AC1366" s="20"/>
      <c r="AD1366" s="20"/>
      <c r="AE1366" s="20"/>
    </row>
    <row r="1367" spans="2:31" x14ac:dyDescent="0.25">
      <c r="B1367" s="2"/>
      <c r="C1367" s="19"/>
      <c r="D1367" s="2"/>
      <c r="E1367" s="2"/>
      <c r="F1367" s="19"/>
      <c r="G1367" s="2"/>
      <c r="H1367" s="2"/>
      <c r="I1367" s="2"/>
      <c r="J1367" s="2"/>
      <c r="L1367" s="20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  <c r="AA1367" s="20"/>
      <c r="AB1367" s="20"/>
      <c r="AC1367" s="20"/>
      <c r="AD1367" s="20"/>
      <c r="AE1367" s="20"/>
    </row>
    <row r="1368" spans="2:31" x14ac:dyDescent="0.25">
      <c r="B1368" s="2"/>
      <c r="C1368" s="19"/>
      <c r="D1368" s="2"/>
      <c r="E1368" s="2"/>
      <c r="F1368" s="19"/>
      <c r="G1368" s="2"/>
      <c r="H1368" s="2"/>
      <c r="I1368" s="2"/>
      <c r="J1368" s="2"/>
      <c r="L1368" s="20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  <c r="AA1368" s="20"/>
      <c r="AB1368" s="20"/>
      <c r="AC1368" s="20"/>
      <c r="AD1368" s="20"/>
      <c r="AE1368" s="20"/>
    </row>
    <row r="1369" spans="2:31" x14ac:dyDescent="0.25">
      <c r="B1369" s="2"/>
      <c r="C1369" s="19"/>
      <c r="D1369" s="2"/>
      <c r="E1369" s="2"/>
      <c r="F1369" s="19"/>
      <c r="G1369" s="2"/>
      <c r="H1369" s="2"/>
      <c r="I1369" s="2"/>
      <c r="J1369" s="2"/>
      <c r="L1369" s="20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  <c r="AA1369" s="20"/>
      <c r="AB1369" s="20"/>
      <c r="AC1369" s="20"/>
      <c r="AD1369" s="20"/>
      <c r="AE1369" s="20"/>
    </row>
    <row r="1370" spans="2:31" x14ac:dyDescent="0.25">
      <c r="B1370" s="2"/>
      <c r="C1370" s="19"/>
      <c r="D1370" s="2"/>
      <c r="E1370" s="2"/>
      <c r="F1370" s="19"/>
      <c r="G1370" s="2"/>
      <c r="H1370" s="2"/>
      <c r="I1370" s="2"/>
      <c r="J1370" s="2"/>
      <c r="L1370" s="20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  <c r="AA1370" s="20"/>
      <c r="AB1370" s="20"/>
      <c r="AC1370" s="20"/>
      <c r="AD1370" s="20"/>
      <c r="AE1370" s="20"/>
    </row>
    <row r="1371" spans="2:31" x14ac:dyDescent="0.25">
      <c r="B1371" s="2"/>
      <c r="C1371" s="19"/>
      <c r="D1371" s="2"/>
      <c r="E1371" s="2"/>
      <c r="F1371" s="19"/>
      <c r="G1371" s="2"/>
      <c r="H1371" s="2"/>
      <c r="I1371" s="2"/>
      <c r="J1371" s="2"/>
      <c r="L1371" s="20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  <c r="AA1371" s="20"/>
      <c r="AB1371" s="20"/>
      <c r="AC1371" s="20"/>
      <c r="AD1371" s="20"/>
      <c r="AE1371" s="20"/>
    </row>
    <row r="1372" spans="2:31" x14ac:dyDescent="0.25">
      <c r="B1372" s="2"/>
      <c r="C1372" s="19"/>
      <c r="D1372" s="2"/>
      <c r="E1372" s="2"/>
      <c r="F1372" s="19"/>
      <c r="G1372" s="2"/>
      <c r="H1372" s="2"/>
      <c r="I1372" s="2"/>
      <c r="J1372" s="2"/>
      <c r="L1372" s="20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  <c r="AA1372" s="20"/>
      <c r="AB1372" s="20"/>
      <c r="AC1372" s="20"/>
      <c r="AD1372" s="20"/>
      <c r="AE1372" s="20"/>
    </row>
    <row r="1373" spans="2:31" x14ac:dyDescent="0.25">
      <c r="B1373" s="2"/>
      <c r="C1373" s="19"/>
      <c r="D1373" s="2"/>
      <c r="E1373" s="2"/>
      <c r="F1373" s="19"/>
      <c r="G1373" s="2"/>
      <c r="H1373" s="2"/>
      <c r="I1373" s="2"/>
      <c r="J1373" s="2"/>
      <c r="L1373" s="20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  <c r="AA1373" s="20"/>
      <c r="AB1373" s="20"/>
      <c r="AC1373" s="20"/>
      <c r="AD1373" s="20"/>
      <c r="AE1373" s="20"/>
    </row>
    <row r="1374" spans="2:31" x14ac:dyDescent="0.25">
      <c r="B1374" s="2"/>
      <c r="C1374" s="19"/>
      <c r="D1374" s="2"/>
      <c r="E1374" s="2"/>
      <c r="F1374" s="19"/>
      <c r="G1374" s="2"/>
      <c r="H1374" s="2"/>
      <c r="I1374" s="2"/>
      <c r="J1374" s="2"/>
      <c r="L1374" s="20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  <c r="AA1374" s="20"/>
      <c r="AB1374" s="20"/>
      <c r="AC1374" s="20"/>
      <c r="AD1374" s="20"/>
      <c r="AE1374" s="20"/>
    </row>
    <row r="1375" spans="2:31" x14ac:dyDescent="0.25">
      <c r="B1375" s="2"/>
      <c r="C1375" s="19"/>
      <c r="D1375" s="2"/>
      <c r="E1375" s="2"/>
      <c r="F1375" s="19"/>
      <c r="G1375" s="2"/>
      <c r="H1375" s="2"/>
      <c r="I1375" s="2"/>
      <c r="J1375" s="2"/>
      <c r="L1375" s="20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  <c r="AA1375" s="20"/>
      <c r="AB1375" s="20"/>
      <c r="AC1375" s="20"/>
      <c r="AD1375" s="20"/>
      <c r="AE1375" s="20"/>
    </row>
    <row r="1376" spans="2:31" x14ac:dyDescent="0.25">
      <c r="B1376" s="2"/>
      <c r="C1376" s="19"/>
      <c r="D1376" s="2"/>
      <c r="E1376" s="2"/>
      <c r="F1376" s="19"/>
      <c r="G1376" s="2"/>
      <c r="H1376" s="2"/>
      <c r="I1376" s="2"/>
      <c r="J1376" s="2"/>
      <c r="L1376" s="20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  <c r="AA1376" s="20"/>
      <c r="AB1376" s="20"/>
      <c r="AC1376" s="20"/>
      <c r="AD1376" s="20"/>
      <c r="AE1376" s="20"/>
    </row>
    <row r="1377" spans="2:31" x14ac:dyDescent="0.25">
      <c r="B1377" s="2"/>
      <c r="C1377" s="19"/>
      <c r="D1377" s="2"/>
      <c r="E1377" s="2"/>
      <c r="F1377" s="19"/>
      <c r="G1377" s="2"/>
      <c r="H1377" s="2"/>
      <c r="I1377" s="2"/>
      <c r="J1377" s="2"/>
      <c r="L1377" s="20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  <c r="AA1377" s="20"/>
      <c r="AB1377" s="20"/>
      <c r="AC1377" s="20"/>
      <c r="AD1377" s="20"/>
      <c r="AE1377" s="20"/>
    </row>
    <row r="1378" spans="2:31" x14ac:dyDescent="0.25">
      <c r="B1378" s="2"/>
      <c r="C1378" s="19"/>
      <c r="D1378" s="2"/>
      <c r="E1378" s="2"/>
      <c r="F1378" s="19"/>
      <c r="G1378" s="2"/>
      <c r="H1378" s="2"/>
      <c r="I1378" s="2"/>
      <c r="J1378" s="2"/>
      <c r="L1378" s="20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  <c r="AA1378" s="20"/>
      <c r="AB1378" s="20"/>
      <c r="AC1378" s="20"/>
      <c r="AD1378" s="20"/>
      <c r="AE1378" s="20"/>
    </row>
    <row r="1379" spans="2:31" x14ac:dyDescent="0.25">
      <c r="B1379" s="2"/>
      <c r="C1379" s="19"/>
      <c r="D1379" s="2"/>
      <c r="E1379" s="2"/>
      <c r="F1379" s="19"/>
      <c r="G1379" s="2"/>
      <c r="H1379" s="2"/>
      <c r="I1379" s="2"/>
      <c r="J1379" s="2"/>
      <c r="L1379" s="20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  <c r="AA1379" s="20"/>
      <c r="AB1379" s="20"/>
      <c r="AC1379" s="20"/>
      <c r="AD1379" s="20"/>
      <c r="AE1379" s="20"/>
    </row>
    <row r="1380" spans="2:31" x14ac:dyDescent="0.25">
      <c r="B1380" s="2"/>
      <c r="C1380" s="19"/>
      <c r="D1380" s="2"/>
      <c r="E1380" s="2"/>
      <c r="F1380" s="19"/>
      <c r="G1380" s="2"/>
      <c r="H1380" s="2"/>
      <c r="I1380" s="2"/>
      <c r="J1380" s="2"/>
      <c r="L1380" s="20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  <c r="AA1380" s="20"/>
      <c r="AB1380" s="20"/>
      <c r="AC1380" s="20"/>
      <c r="AD1380" s="20"/>
      <c r="AE1380" s="20"/>
    </row>
    <row r="1381" spans="2:31" x14ac:dyDescent="0.25">
      <c r="B1381" s="2"/>
      <c r="C1381" s="19"/>
      <c r="D1381" s="2"/>
      <c r="E1381" s="2"/>
      <c r="F1381" s="19"/>
      <c r="G1381" s="2"/>
      <c r="H1381" s="2"/>
      <c r="I1381" s="2"/>
      <c r="J1381" s="2"/>
      <c r="L1381" s="20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  <c r="AA1381" s="20"/>
      <c r="AB1381" s="20"/>
      <c r="AC1381" s="20"/>
      <c r="AD1381" s="20"/>
      <c r="AE1381" s="20"/>
    </row>
    <row r="1382" spans="2:31" x14ac:dyDescent="0.25">
      <c r="B1382" s="2"/>
      <c r="C1382" s="19"/>
      <c r="D1382" s="2"/>
      <c r="E1382" s="2"/>
      <c r="F1382" s="19"/>
      <c r="G1382" s="2"/>
      <c r="H1382" s="2"/>
      <c r="I1382" s="2"/>
      <c r="J1382" s="2"/>
      <c r="L1382" s="20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  <c r="AA1382" s="20"/>
      <c r="AB1382" s="20"/>
      <c r="AC1382" s="20"/>
      <c r="AD1382" s="20"/>
      <c r="AE1382" s="20"/>
    </row>
    <row r="1383" spans="2:31" x14ac:dyDescent="0.25">
      <c r="B1383" s="2"/>
      <c r="C1383" s="19"/>
      <c r="D1383" s="2"/>
      <c r="E1383" s="2"/>
      <c r="F1383" s="19"/>
      <c r="G1383" s="2"/>
      <c r="H1383" s="2"/>
      <c r="I1383" s="2"/>
      <c r="J1383" s="2"/>
      <c r="L1383" s="20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  <c r="AA1383" s="20"/>
      <c r="AB1383" s="20"/>
      <c r="AC1383" s="20"/>
      <c r="AD1383" s="20"/>
      <c r="AE1383" s="20"/>
    </row>
    <row r="1384" spans="2:31" x14ac:dyDescent="0.25">
      <c r="B1384" s="2"/>
      <c r="C1384" s="19"/>
      <c r="D1384" s="2"/>
      <c r="E1384" s="2"/>
      <c r="F1384" s="19"/>
      <c r="G1384" s="2"/>
      <c r="H1384" s="2"/>
      <c r="I1384" s="2"/>
      <c r="J1384" s="2"/>
      <c r="L1384" s="20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  <c r="AA1384" s="20"/>
      <c r="AB1384" s="20"/>
      <c r="AC1384" s="20"/>
      <c r="AD1384" s="20"/>
      <c r="AE1384" s="20"/>
    </row>
    <row r="1385" spans="2:31" x14ac:dyDescent="0.25">
      <c r="B1385" s="2"/>
      <c r="C1385" s="19"/>
      <c r="D1385" s="2"/>
      <c r="E1385" s="2"/>
      <c r="F1385" s="19"/>
      <c r="G1385" s="2"/>
      <c r="H1385" s="2"/>
      <c r="I1385" s="2"/>
      <c r="J1385" s="2"/>
      <c r="L1385" s="20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  <c r="AA1385" s="20"/>
      <c r="AB1385" s="20"/>
      <c r="AC1385" s="20"/>
      <c r="AD1385" s="20"/>
      <c r="AE1385" s="20"/>
    </row>
    <row r="1386" spans="2:31" x14ac:dyDescent="0.25">
      <c r="B1386" s="2"/>
      <c r="C1386" s="19"/>
      <c r="D1386" s="2"/>
      <c r="E1386" s="2"/>
      <c r="F1386" s="19"/>
      <c r="G1386" s="2"/>
      <c r="H1386" s="2"/>
      <c r="I1386" s="2"/>
      <c r="J1386" s="2"/>
      <c r="L1386" s="20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  <c r="AA1386" s="20"/>
      <c r="AB1386" s="20"/>
      <c r="AC1386" s="20"/>
      <c r="AD1386" s="20"/>
      <c r="AE1386" s="20"/>
    </row>
    <row r="1387" spans="2:31" x14ac:dyDescent="0.25">
      <c r="B1387" s="2"/>
      <c r="C1387" s="19"/>
      <c r="D1387" s="2"/>
      <c r="E1387" s="2"/>
      <c r="F1387" s="19"/>
      <c r="G1387" s="2"/>
      <c r="H1387" s="2"/>
      <c r="I1387" s="2"/>
      <c r="J1387" s="2"/>
      <c r="L1387" s="20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  <c r="AA1387" s="20"/>
      <c r="AB1387" s="20"/>
      <c r="AC1387" s="20"/>
      <c r="AD1387" s="20"/>
      <c r="AE1387" s="20"/>
    </row>
    <row r="1388" spans="2:31" x14ac:dyDescent="0.25">
      <c r="B1388" s="2"/>
      <c r="C1388" s="19"/>
      <c r="D1388" s="2"/>
      <c r="E1388" s="2"/>
      <c r="F1388" s="19"/>
      <c r="G1388" s="2"/>
      <c r="H1388" s="2"/>
      <c r="I1388" s="2"/>
      <c r="J1388" s="2"/>
      <c r="L1388" s="20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  <c r="AA1388" s="20"/>
      <c r="AB1388" s="20"/>
      <c r="AC1388" s="20"/>
      <c r="AD1388" s="20"/>
      <c r="AE1388" s="20"/>
    </row>
    <row r="1389" spans="2:31" x14ac:dyDescent="0.25">
      <c r="B1389" s="2"/>
      <c r="C1389" s="19"/>
      <c r="D1389" s="2"/>
      <c r="E1389" s="2"/>
      <c r="F1389" s="19"/>
      <c r="G1389" s="2"/>
      <c r="H1389" s="2"/>
      <c r="I1389" s="2"/>
      <c r="J1389" s="2"/>
      <c r="L1389" s="20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  <c r="AA1389" s="20"/>
      <c r="AB1389" s="20"/>
      <c r="AC1389" s="20"/>
      <c r="AD1389" s="20"/>
      <c r="AE1389" s="20"/>
    </row>
    <row r="1390" spans="2:31" x14ac:dyDescent="0.25">
      <c r="B1390" s="2"/>
      <c r="C1390" s="19"/>
      <c r="D1390" s="2"/>
      <c r="E1390" s="2"/>
      <c r="F1390" s="19"/>
      <c r="G1390" s="2"/>
      <c r="H1390" s="2"/>
      <c r="I1390" s="2"/>
      <c r="J1390" s="2"/>
      <c r="L1390" s="20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  <c r="AA1390" s="20"/>
      <c r="AB1390" s="20"/>
      <c r="AC1390" s="20"/>
      <c r="AD1390" s="20"/>
      <c r="AE1390" s="20"/>
    </row>
    <row r="1391" spans="2:31" x14ac:dyDescent="0.25">
      <c r="B1391" s="2"/>
      <c r="C1391" s="19"/>
      <c r="D1391" s="2"/>
      <c r="E1391" s="2"/>
      <c r="F1391" s="19"/>
      <c r="G1391" s="2"/>
      <c r="H1391" s="2"/>
      <c r="I1391" s="2"/>
      <c r="J1391" s="2"/>
      <c r="L1391" s="20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  <c r="AA1391" s="20"/>
      <c r="AB1391" s="20"/>
      <c r="AC1391" s="20"/>
      <c r="AD1391" s="20"/>
      <c r="AE1391" s="20"/>
    </row>
    <row r="1392" spans="2:31" x14ac:dyDescent="0.25">
      <c r="B1392" s="2"/>
      <c r="C1392" s="19"/>
      <c r="D1392" s="2"/>
      <c r="E1392" s="2"/>
      <c r="F1392" s="19"/>
      <c r="G1392" s="2"/>
      <c r="H1392" s="2"/>
      <c r="I1392" s="2"/>
      <c r="J1392" s="2"/>
      <c r="L1392" s="20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  <c r="AA1392" s="20"/>
      <c r="AB1392" s="20"/>
      <c r="AC1392" s="20"/>
      <c r="AD1392" s="20"/>
      <c r="AE1392" s="20"/>
    </row>
    <row r="1393" spans="2:31" x14ac:dyDescent="0.25">
      <c r="B1393" s="2"/>
      <c r="C1393" s="19"/>
      <c r="D1393" s="2"/>
      <c r="E1393" s="2"/>
      <c r="F1393" s="19"/>
      <c r="G1393" s="2"/>
      <c r="H1393" s="2"/>
      <c r="I1393" s="2"/>
      <c r="J1393" s="2"/>
      <c r="L1393" s="20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  <c r="AA1393" s="20"/>
      <c r="AB1393" s="20"/>
      <c r="AC1393" s="20"/>
      <c r="AD1393" s="20"/>
      <c r="AE1393" s="20"/>
    </row>
    <row r="1394" spans="2:31" x14ac:dyDescent="0.25">
      <c r="B1394" s="2"/>
      <c r="C1394" s="19"/>
      <c r="D1394" s="2"/>
      <c r="E1394" s="2"/>
      <c r="F1394" s="19"/>
      <c r="G1394" s="2"/>
      <c r="H1394" s="2"/>
      <c r="I1394" s="2"/>
      <c r="J1394" s="2"/>
      <c r="L1394" s="20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  <c r="AA1394" s="20"/>
      <c r="AB1394" s="20"/>
      <c r="AC1394" s="20"/>
      <c r="AD1394" s="20"/>
      <c r="AE1394" s="20"/>
    </row>
    <row r="1395" spans="2:31" x14ac:dyDescent="0.25">
      <c r="B1395" s="2"/>
      <c r="C1395" s="19"/>
      <c r="D1395" s="2"/>
      <c r="E1395" s="2"/>
      <c r="F1395" s="19"/>
      <c r="G1395" s="2"/>
      <c r="H1395" s="2"/>
      <c r="I1395" s="2"/>
      <c r="J1395" s="2"/>
      <c r="L1395" s="20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  <c r="AA1395" s="20"/>
      <c r="AB1395" s="20"/>
      <c r="AC1395" s="20"/>
      <c r="AD1395" s="20"/>
      <c r="AE1395" s="20"/>
    </row>
    <row r="1396" spans="2:31" x14ac:dyDescent="0.25">
      <c r="B1396" s="2"/>
      <c r="C1396" s="19"/>
      <c r="D1396" s="2"/>
      <c r="E1396" s="2"/>
      <c r="F1396" s="19"/>
      <c r="G1396" s="2"/>
      <c r="H1396" s="2"/>
      <c r="I1396" s="2"/>
      <c r="J1396" s="2"/>
      <c r="L1396" s="20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  <c r="AA1396" s="20"/>
      <c r="AB1396" s="20"/>
      <c r="AC1396" s="20"/>
      <c r="AD1396" s="20"/>
      <c r="AE1396" s="20"/>
    </row>
    <row r="1397" spans="2:31" x14ac:dyDescent="0.25">
      <c r="B1397" s="2"/>
      <c r="C1397" s="19"/>
      <c r="D1397" s="2"/>
      <c r="E1397" s="2"/>
      <c r="F1397" s="19"/>
      <c r="G1397" s="2"/>
      <c r="H1397" s="2"/>
      <c r="I1397" s="2"/>
      <c r="J1397" s="2"/>
      <c r="L1397" s="20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  <c r="AA1397" s="20"/>
      <c r="AB1397" s="20"/>
      <c r="AC1397" s="20"/>
      <c r="AD1397" s="20"/>
      <c r="AE1397" s="20"/>
    </row>
    <row r="1398" spans="2:31" x14ac:dyDescent="0.25">
      <c r="B1398" s="2"/>
      <c r="C1398" s="19"/>
      <c r="D1398" s="2"/>
      <c r="E1398" s="2"/>
      <c r="F1398" s="19"/>
      <c r="G1398" s="2"/>
      <c r="H1398" s="2"/>
      <c r="I1398" s="2"/>
      <c r="J1398" s="2"/>
      <c r="L1398" s="20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  <c r="AA1398" s="20"/>
      <c r="AB1398" s="20"/>
      <c r="AC1398" s="20"/>
      <c r="AD1398" s="20"/>
      <c r="AE1398" s="20"/>
    </row>
    <row r="1399" spans="2:31" x14ac:dyDescent="0.25">
      <c r="B1399" s="2"/>
      <c r="C1399" s="19"/>
      <c r="D1399" s="2"/>
      <c r="E1399" s="2"/>
      <c r="F1399" s="19"/>
      <c r="G1399" s="2"/>
      <c r="H1399" s="2"/>
      <c r="I1399" s="2"/>
      <c r="J1399" s="2"/>
      <c r="L1399" s="20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  <c r="AA1399" s="20"/>
      <c r="AB1399" s="20"/>
      <c r="AC1399" s="20"/>
      <c r="AD1399" s="20"/>
      <c r="AE1399" s="20"/>
    </row>
    <row r="1400" spans="2:31" x14ac:dyDescent="0.25">
      <c r="B1400" s="2"/>
      <c r="C1400" s="19"/>
      <c r="D1400" s="2"/>
      <c r="E1400" s="2"/>
      <c r="F1400" s="19"/>
      <c r="G1400" s="2"/>
      <c r="H1400" s="2"/>
      <c r="I1400" s="2"/>
      <c r="J1400" s="2"/>
      <c r="L1400" s="20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  <c r="AA1400" s="20"/>
      <c r="AB1400" s="20"/>
      <c r="AC1400" s="20"/>
      <c r="AD1400" s="20"/>
      <c r="AE1400" s="20"/>
    </row>
    <row r="1401" spans="2:31" x14ac:dyDescent="0.25">
      <c r="B1401" s="2"/>
      <c r="C1401" s="19"/>
      <c r="D1401" s="2"/>
      <c r="E1401" s="2"/>
      <c r="F1401" s="19"/>
      <c r="G1401" s="2"/>
      <c r="H1401" s="2"/>
      <c r="I1401" s="2"/>
      <c r="J1401" s="2"/>
      <c r="L1401" s="20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  <c r="AA1401" s="20"/>
      <c r="AB1401" s="20"/>
      <c r="AC1401" s="20"/>
      <c r="AD1401" s="20"/>
      <c r="AE1401" s="20"/>
    </row>
    <row r="1402" spans="2:31" x14ac:dyDescent="0.25">
      <c r="B1402" s="2"/>
      <c r="C1402" s="19"/>
      <c r="D1402" s="2"/>
      <c r="E1402" s="2"/>
      <c r="F1402" s="19"/>
      <c r="G1402" s="2"/>
      <c r="H1402" s="2"/>
      <c r="I1402" s="2"/>
      <c r="J1402" s="2"/>
      <c r="L1402" s="20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  <c r="AA1402" s="20"/>
      <c r="AB1402" s="20"/>
      <c r="AC1402" s="20"/>
      <c r="AD1402" s="20"/>
      <c r="AE1402" s="20"/>
    </row>
    <row r="1403" spans="2:31" x14ac:dyDescent="0.25">
      <c r="B1403" s="2"/>
      <c r="C1403" s="19"/>
      <c r="D1403" s="2"/>
      <c r="E1403" s="2"/>
      <c r="F1403" s="19"/>
      <c r="G1403" s="2"/>
      <c r="H1403" s="2"/>
      <c r="I1403" s="2"/>
      <c r="J1403" s="2"/>
      <c r="L1403" s="20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  <c r="AA1403" s="20"/>
      <c r="AB1403" s="20"/>
      <c r="AC1403" s="20"/>
      <c r="AD1403" s="20"/>
      <c r="AE1403" s="20"/>
    </row>
    <row r="1404" spans="2:31" x14ac:dyDescent="0.25">
      <c r="B1404" s="2"/>
      <c r="C1404" s="19"/>
      <c r="D1404" s="2"/>
      <c r="E1404" s="2"/>
      <c r="F1404" s="19"/>
      <c r="G1404" s="2"/>
      <c r="H1404" s="2"/>
      <c r="I1404" s="2"/>
      <c r="J1404" s="2"/>
      <c r="L1404" s="20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  <c r="AA1404" s="20"/>
      <c r="AB1404" s="20"/>
      <c r="AC1404" s="20"/>
      <c r="AD1404" s="20"/>
      <c r="AE1404" s="20"/>
    </row>
    <row r="1405" spans="2:31" x14ac:dyDescent="0.25">
      <c r="B1405" s="2"/>
      <c r="C1405" s="19"/>
      <c r="D1405" s="2"/>
      <c r="E1405" s="2"/>
      <c r="F1405" s="19"/>
      <c r="G1405" s="2"/>
      <c r="H1405" s="2"/>
      <c r="I1405" s="2"/>
      <c r="J1405" s="2"/>
      <c r="L1405" s="20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  <c r="AA1405" s="20"/>
      <c r="AB1405" s="20"/>
      <c r="AC1405" s="20"/>
      <c r="AD1405" s="20"/>
      <c r="AE1405" s="20"/>
    </row>
    <row r="1406" spans="2:31" x14ac:dyDescent="0.25">
      <c r="B1406" s="2"/>
      <c r="C1406" s="19"/>
      <c r="D1406" s="2"/>
      <c r="E1406" s="2"/>
      <c r="F1406" s="19"/>
      <c r="G1406" s="2"/>
      <c r="H1406" s="2"/>
      <c r="I1406" s="2"/>
      <c r="J1406" s="2"/>
      <c r="L1406" s="20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  <c r="AA1406" s="20"/>
      <c r="AB1406" s="20"/>
      <c r="AC1406" s="20"/>
      <c r="AD1406" s="20"/>
      <c r="AE1406" s="20"/>
    </row>
    <row r="1407" spans="2:31" x14ac:dyDescent="0.25">
      <c r="B1407" s="2"/>
      <c r="C1407" s="19"/>
      <c r="D1407" s="2"/>
      <c r="E1407" s="2"/>
      <c r="F1407" s="19"/>
      <c r="G1407" s="2"/>
      <c r="H1407" s="2"/>
      <c r="I1407" s="2"/>
      <c r="J1407" s="2"/>
      <c r="L1407" s="20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  <c r="AA1407" s="20"/>
      <c r="AB1407" s="20"/>
      <c r="AC1407" s="20"/>
      <c r="AD1407" s="20"/>
      <c r="AE1407" s="20"/>
    </row>
    <row r="1408" spans="2:31" x14ac:dyDescent="0.25">
      <c r="B1408" s="2"/>
      <c r="C1408" s="19"/>
      <c r="D1408" s="2"/>
      <c r="E1408" s="2"/>
      <c r="F1408" s="19"/>
      <c r="G1408" s="2"/>
      <c r="H1408" s="2"/>
      <c r="I1408" s="2"/>
      <c r="J1408" s="2"/>
      <c r="L1408" s="20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  <c r="AA1408" s="20"/>
      <c r="AB1408" s="20"/>
      <c r="AC1408" s="20"/>
      <c r="AD1408" s="20"/>
      <c r="AE1408" s="20"/>
    </row>
    <row r="1409" spans="2:31" x14ac:dyDescent="0.25">
      <c r="B1409" s="2"/>
      <c r="C1409" s="19"/>
      <c r="D1409" s="2"/>
      <c r="E1409" s="2"/>
      <c r="F1409" s="19"/>
      <c r="G1409" s="2"/>
      <c r="H1409" s="2"/>
      <c r="I1409" s="2"/>
      <c r="J1409" s="2"/>
      <c r="L1409" s="20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  <c r="AA1409" s="20"/>
      <c r="AB1409" s="20"/>
      <c r="AC1409" s="20"/>
      <c r="AD1409" s="20"/>
      <c r="AE1409" s="20"/>
    </row>
    <row r="1410" spans="2:31" x14ac:dyDescent="0.25">
      <c r="B1410" s="2"/>
      <c r="C1410" s="19"/>
      <c r="D1410" s="2"/>
      <c r="E1410" s="2"/>
      <c r="F1410" s="19"/>
      <c r="G1410" s="2"/>
      <c r="H1410" s="2"/>
      <c r="I1410" s="2"/>
      <c r="J1410" s="2"/>
      <c r="L1410" s="20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  <c r="AA1410" s="20"/>
      <c r="AB1410" s="20"/>
      <c r="AC1410" s="20"/>
      <c r="AD1410" s="20"/>
      <c r="AE1410" s="20"/>
    </row>
    <row r="1411" spans="2:31" x14ac:dyDescent="0.25">
      <c r="B1411" s="2"/>
      <c r="C1411" s="19"/>
      <c r="D1411" s="2"/>
      <c r="E1411" s="2"/>
      <c r="F1411" s="19"/>
      <c r="G1411" s="2"/>
      <c r="H1411" s="2"/>
      <c r="I1411" s="2"/>
      <c r="J1411" s="2"/>
      <c r="L1411" s="20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  <c r="AA1411" s="20"/>
      <c r="AB1411" s="20"/>
      <c r="AC1411" s="20"/>
      <c r="AD1411" s="20"/>
      <c r="AE1411" s="20"/>
    </row>
    <row r="1412" spans="2:31" x14ac:dyDescent="0.25">
      <c r="B1412" s="2"/>
      <c r="C1412" s="19"/>
      <c r="D1412" s="2"/>
      <c r="E1412" s="2"/>
      <c r="F1412" s="19"/>
      <c r="G1412" s="2"/>
      <c r="H1412" s="2"/>
      <c r="I1412" s="2"/>
      <c r="J1412" s="2"/>
      <c r="L1412" s="20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  <c r="AA1412" s="20"/>
      <c r="AB1412" s="20"/>
      <c r="AC1412" s="20"/>
      <c r="AD1412" s="20"/>
      <c r="AE1412" s="20"/>
    </row>
    <row r="1413" spans="2:31" x14ac:dyDescent="0.25">
      <c r="B1413" s="2"/>
      <c r="C1413" s="19"/>
      <c r="D1413" s="2"/>
      <c r="E1413" s="2"/>
      <c r="F1413" s="19"/>
      <c r="G1413" s="2"/>
      <c r="H1413" s="2"/>
      <c r="I1413" s="2"/>
      <c r="J1413" s="2"/>
      <c r="L1413" s="20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  <c r="AA1413" s="20"/>
      <c r="AB1413" s="20"/>
      <c r="AC1413" s="20"/>
      <c r="AD1413" s="20"/>
      <c r="AE1413" s="20"/>
    </row>
    <row r="1414" spans="2:31" x14ac:dyDescent="0.25">
      <c r="B1414" s="2"/>
      <c r="C1414" s="19"/>
      <c r="D1414" s="2"/>
      <c r="E1414" s="2"/>
      <c r="F1414" s="19"/>
      <c r="G1414" s="2"/>
      <c r="H1414" s="2"/>
      <c r="I1414" s="2"/>
      <c r="J1414" s="2"/>
      <c r="L1414" s="20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  <c r="AA1414" s="20"/>
      <c r="AB1414" s="20"/>
      <c r="AC1414" s="20"/>
      <c r="AD1414" s="20"/>
      <c r="AE1414" s="20"/>
    </row>
    <row r="1415" spans="2:31" x14ac:dyDescent="0.25">
      <c r="B1415" s="2"/>
      <c r="C1415" s="19"/>
      <c r="D1415" s="2"/>
      <c r="E1415" s="2"/>
      <c r="F1415" s="19"/>
      <c r="G1415" s="2"/>
      <c r="H1415" s="2"/>
      <c r="I1415" s="2"/>
      <c r="J1415" s="2"/>
      <c r="L1415" s="20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  <c r="AA1415" s="20"/>
      <c r="AB1415" s="20"/>
      <c r="AC1415" s="20"/>
      <c r="AD1415" s="20"/>
      <c r="AE1415" s="20"/>
    </row>
    <row r="1416" spans="2:31" x14ac:dyDescent="0.25">
      <c r="B1416" s="2"/>
      <c r="C1416" s="19"/>
      <c r="D1416" s="2"/>
      <c r="E1416" s="2"/>
      <c r="F1416" s="19"/>
      <c r="G1416" s="2"/>
      <c r="H1416" s="2"/>
      <c r="I1416" s="2"/>
      <c r="J1416" s="2"/>
      <c r="L1416" s="20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  <c r="AA1416" s="20"/>
      <c r="AB1416" s="20"/>
      <c r="AC1416" s="20"/>
      <c r="AD1416" s="20"/>
      <c r="AE1416" s="20"/>
    </row>
    <row r="1417" spans="2:31" x14ac:dyDescent="0.25">
      <c r="B1417" s="2"/>
      <c r="C1417" s="19"/>
      <c r="D1417" s="2"/>
      <c r="E1417" s="2"/>
      <c r="F1417" s="19"/>
      <c r="G1417" s="2"/>
      <c r="H1417" s="2"/>
      <c r="I1417" s="2"/>
      <c r="J1417" s="2"/>
      <c r="L1417" s="20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  <c r="AA1417" s="20"/>
      <c r="AB1417" s="20"/>
      <c r="AC1417" s="20"/>
      <c r="AD1417" s="20"/>
      <c r="AE1417" s="20"/>
    </row>
    <row r="1418" spans="2:31" x14ac:dyDescent="0.25">
      <c r="B1418" s="2"/>
      <c r="C1418" s="19"/>
      <c r="D1418" s="2"/>
      <c r="E1418" s="2"/>
      <c r="F1418" s="19"/>
      <c r="G1418" s="2"/>
      <c r="H1418" s="2"/>
      <c r="I1418" s="2"/>
      <c r="J1418" s="2"/>
      <c r="L1418" s="20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  <c r="AA1418" s="20"/>
      <c r="AB1418" s="20"/>
      <c r="AC1418" s="20"/>
      <c r="AD1418" s="20"/>
      <c r="AE1418" s="20"/>
    </row>
    <row r="1419" spans="2:31" x14ac:dyDescent="0.25">
      <c r="B1419" s="2"/>
      <c r="C1419" s="19"/>
      <c r="D1419" s="2"/>
      <c r="E1419" s="2"/>
      <c r="F1419" s="19"/>
      <c r="G1419" s="2"/>
      <c r="H1419" s="2"/>
      <c r="I1419" s="2"/>
      <c r="J1419" s="2"/>
      <c r="L1419" s="20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  <c r="AA1419" s="20"/>
      <c r="AB1419" s="20"/>
      <c r="AC1419" s="20"/>
      <c r="AD1419" s="20"/>
      <c r="AE1419" s="20"/>
    </row>
    <row r="1420" spans="2:31" x14ac:dyDescent="0.25">
      <c r="B1420" s="2"/>
      <c r="C1420" s="19"/>
      <c r="D1420" s="2"/>
      <c r="E1420" s="2"/>
      <c r="F1420" s="19"/>
      <c r="G1420" s="2"/>
      <c r="H1420" s="2"/>
      <c r="I1420" s="2"/>
      <c r="J1420" s="2"/>
      <c r="L1420" s="20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  <c r="AA1420" s="20"/>
      <c r="AB1420" s="20"/>
      <c r="AC1420" s="20"/>
      <c r="AD1420" s="20"/>
      <c r="AE1420" s="20"/>
    </row>
    <row r="1421" spans="2:31" x14ac:dyDescent="0.25">
      <c r="B1421" s="2"/>
      <c r="C1421" s="19"/>
      <c r="D1421" s="2"/>
      <c r="E1421" s="2"/>
      <c r="F1421" s="19"/>
      <c r="G1421" s="2"/>
      <c r="H1421" s="2"/>
      <c r="I1421" s="2"/>
      <c r="J1421" s="2"/>
      <c r="L1421" s="20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  <c r="AA1421" s="20"/>
      <c r="AB1421" s="20"/>
      <c r="AC1421" s="20"/>
      <c r="AD1421" s="20"/>
      <c r="AE1421" s="20"/>
    </row>
    <row r="1422" spans="2:31" x14ac:dyDescent="0.25">
      <c r="B1422" s="2"/>
      <c r="C1422" s="19"/>
      <c r="D1422" s="2"/>
      <c r="E1422" s="2"/>
      <c r="F1422" s="19"/>
      <c r="G1422" s="2"/>
      <c r="H1422" s="2"/>
      <c r="I1422" s="2"/>
      <c r="J1422" s="2"/>
      <c r="L1422" s="20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  <c r="AA1422" s="20"/>
      <c r="AB1422" s="20"/>
      <c r="AC1422" s="20"/>
      <c r="AD1422" s="20"/>
      <c r="AE1422" s="20"/>
    </row>
    <row r="1423" spans="2:31" x14ac:dyDescent="0.25">
      <c r="B1423" s="2"/>
      <c r="C1423" s="19"/>
      <c r="D1423" s="2"/>
      <c r="E1423" s="2"/>
      <c r="F1423" s="19"/>
      <c r="G1423" s="2"/>
      <c r="H1423" s="2"/>
      <c r="I1423" s="2"/>
      <c r="J1423" s="2"/>
      <c r="L1423" s="20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  <c r="AA1423" s="20"/>
      <c r="AB1423" s="20"/>
      <c r="AC1423" s="20"/>
      <c r="AD1423" s="20"/>
      <c r="AE1423" s="20"/>
    </row>
    <row r="1424" spans="2:31" x14ac:dyDescent="0.25">
      <c r="B1424" s="2"/>
      <c r="C1424" s="19"/>
      <c r="D1424" s="2"/>
      <c r="E1424" s="2"/>
      <c r="F1424" s="19"/>
      <c r="G1424" s="2"/>
      <c r="H1424" s="2"/>
      <c r="I1424" s="2"/>
      <c r="J1424" s="2"/>
      <c r="L1424" s="20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  <c r="AA1424" s="20"/>
      <c r="AB1424" s="20"/>
      <c r="AC1424" s="20"/>
      <c r="AD1424" s="20"/>
      <c r="AE1424" s="20"/>
    </row>
    <row r="1425" spans="2:31" x14ac:dyDescent="0.25">
      <c r="B1425" s="2"/>
      <c r="C1425" s="19"/>
      <c r="D1425" s="2"/>
      <c r="E1425" s="2"/>
      <c r="F1425" s="19"/>
      <c r="G1425" s="2"/>
      <c r="H1425" s="2"/>
      <c r="I1425" s="2"/>
      <c r="J1425" s="2"/>
      <c r="L1425" s="20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  <c r="AA1425" s="20"/>
      <c r="AB1425" s="20"/>
      <c r="AC1425" s="20"/>
      <c r="AD1425" s="20"/>
      <c r="AE1425" s="20"/>
    </row>
    <row r="1426" spans="2:31" x14ac:dyDescent="0.25">
      <c r="B1426" s="2"/>
      <c r="C1426" s="19"/>
      <c r="D1426" s="2"/>
      <c r="E1426" s="2"/>
      <c r="F1426" s="19"/>
      <c r="G1426" s="2"/>
      <c r="H1426" s="2"/>
      <c r="I1426" s="2"/>
      <c r="J1426" s="2"/>
      <c r="L1426" s="20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  <c r="AA1426" s="20"/>
      <c r="AB1426" s="20"/>
      <c r="AC1426" s="20"/>
      <c r="AD1426" s="20"/>
      <c r="AE1426" s="20"/>
    </row>
    <row r="1427" spans="2:31" x14ac:dyDescent="0.25">
      <c r="B1427" s="2"/>
      <c r="C1427" s="19"/>
      <c r="D1427" s="2"/>
      <c r="E1427" s="2"/>
      <c r="F1427" s="19"/>
      <c r="G1427" s="2"/>
      <c r="H1427" s="2"/>
      <c r="I1427" s="2"/>
      <c r="J1427" s="2"/>
      <c r="L1427" s="20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  <c r="AA1427" s="20"/>
      <c r="AB1427" s="20"/>
      <c r="AC1427" s="20"/>
      <c r="AD1427" s="20"/>
      <c r="AE1427" s="20"/>
    </row>
    <row r="1428" spans="2:31" x14ac:dyDescent="0.25">
      <c r="B1428" s="2"/>
      <c r="C1428" s="19"/>
      <c r="D1428" s="2"/>
      <c r="E1428" s="2"/>
      <c r="F1428" s="19"/>
      <c r="G1428" s="2"/>
      <c r="H1428" s="2"/>
      <c r="I1428" s="2"/>
      <c r="J1428" s="2"/>
      <c r="L1428" s="20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  <c r="AA1428" s="20"/>
      <c r="AB1428" s="20"/>
      <c r="AC1428" s="20"/>
      <c r="AD1428" s="20"/>
      <c r="AE1428" s="20"/>
    </row>
    <row r="1429" spans="2:31" x14ac:dyDescent="0.25">
      <c r="B1429" s="2"/>
      <c r="C1429" s="19"/>
      <c r="D1429" s="2"/>
      <c r="E1429" s="2"/>
      <c r="F1429" s="19"/>
      <c r="G1429" s="2"/>
      <c r="H1429" s="2"/>
      <c r="I1429" s="2"/>
      <c r="J1429" s="2"/>
      <c r="L1429" s="20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  <c r="AA1429" s="20"/>
      <c r="AB1429" s="20"/>
      <c r="AC1429" s="20"/>
      <c r="AD1429" s="20"/>
      <c r="AE1429" s="20"/>
    </row>
    <row r="1430" spans="2:31" x14ac:dyDescent="0.25">
      <c r="B1430" s="2"/>
      <c r="C1430" s="19"/>
      <c r="D1430" s="2"/>
      <c r="E1430" s="2"/>
      <c r="F1430" s="19"/>
      <c r="G1430" s="2"/>
      <c r="H1430" s="2"/>
      <c r="I1430" s="2"/>
      <c r="J1430" s="2"/>
      <c r="L1430" s="20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  <c r="AA1430" s="20"/>
      <c r="AB1430" s="20"/>
      <c r="AC1430" s="20"/>
      <c r="AD1430" s="20"/>
      <c r="AE1430" s="20"/>
    </row>
    <row r="1431" spans="2:31" x14ac:dyDescent="0.25">
      <c r="B1431" s="2"/>
      <c r="C1431" s="19"/>
      <c r="D1431" s="2"/>
      <c r="E1431" s="2"/>
      <c r="F1431" s="19"/>
      <c r="G1431" s="2"/>
      <c r="H1431" s="2"/>
      <c r="I1431" s="2"/>
      <c r="J1431" s="2"/>
      <c r="L1431" s="20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  <c r="AA1431" s="20"/>
      <c r="AB1431" s="20"/>
      <c r="AC1431" s="20"/>
      <c r="AD1431" s="20"/>
      <c r="AE1431" s="20"/>
    </row>
    <row r="1432" spans="2:31" x14ac:dyDescent="0.25">
      <c r="B1432" s="2"/>
      <c r="C1432" s="19"/>
      <c r="D1432" s="2"/>
      <c r="E1432" s="2"/>
      <c r="F1432" s="19"/>
      <c r="G1432" s="2"/>
      <c r="H1432" s="2"/>
      <c r="I1432" s="2"/>
      <c r="J1432" s="2"/>
      <c r="L1432" s="20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  <c r="AA1432" s="20"/>
      <c r="AB1432" s="20"/>
      <c r="AC1432" s="20"/>
      <c r="AD1432" s="20"/>
      <c r="AE1432" s="20"/>
    </row>
    <row r="1433" spans="2:31" x14ac:dyDescent="0.25">
      <c r="B1433" s="2"/>
      <c r="C1433" s="19"/>
      <c r="D1433" s="2"/>
      <c r="E1433" s="2"/>
      <c r="F1433" s="19"/>
      <c r="G1433" s="2"/>
      <c r="H1433" s="2"/>
      <c r="I1433" s="2"/>
      <c r="J1433" s="2"/>
      <c r="L1433" s="20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  <c r="AA1433" s="20"/>
      <c r="AB1433" s="20"/>
      <c r="AC1433" s="20"/>
      <c r="AD1433" s="20"/>
      <c r="AE1433" s="20"/>
    </row>
    <row r="1434" spans="2:31" x14ac:dyDescent="0.25">
      <c r="B1434" s="2"/>
      <c r="C1434" s="19"/>
      <c r="D1434" s="2"/>
      <c r="E1434" s="2"/>
      <c r="F1434" s="19"/>
      <c r="G1434" s="2"/>
      <c r="H1434" s="2"/>
      <c r="I1434" s="2"/>
      <c r="J1434" s="2"/>
      <c r="L1434" s="20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  <c r="AA1434" s="20"/>
      <c r="AB1434" s="20"/>
      <c r="AC1434" s="20"/>
      <c r="AD1434" s="20"/>
      <c r="AE1434" s="20"/>
    </row>
    <row r="1435" spans="2:31" x14ac:dyDescent="0.25">
      <c r="B1435" s="2"/>
      <c r="C1435" s="19"/>
      <c r="D1435" s="2"/>
      <c r="E1435" s="2"/>
      <c r="F1435" s="19"/>
      <c r="G1435" s="2"/>
      <c r="H1435" s="2"/>
      <c r="I1435" s="2"/>
      <c r="J1435" s="2"/>
      <c r="L1435" s="20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  <c r="AA1435" s="20"/>
      <c r="AB1435" s="20"/>
      <c r="AC1435" s="20"/>
      <c r="AD1435" s="20"/>
      <c r="AE1435" s="20"/>
    </row>
    <row r="1436" spans="2:31" x14ac:dyDescent="0.25">
      <c r="B1436" s="2"/>
      <c r="C1436" s="19"/>
      <c r="D1436" s="2"/>
      <c r="E1436" s="2"/>
      <c r="F1436" s="19"/>
      <c r="G1436" s="2"/>
      <c r="H1436" s="2"/>
      <c r="I1436" s="2"/>
      <c r="J1436" s="2"/>
      <c r="L1436" s="20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  <c r="AA1436" s="20"/>
      <c r="AB1436" s="20"/>
      <c r="AC1436" s="20"/>
      <c r="AD1436" s="20"/>
      <c r="AE1436" s="20"/>
    </row>
    <row r="1437" spans="2:31" x14ac:dyDescent="0.25">
      <c r="B1437" s="2"/>
      <c r="C1437" s="19"/>
      <c r="D1437" s="2"/>
      <c r="E1437" s="2"/>
      <c r="F1437" s="19"/>
      <c r="G1437" s="2"/>
      <c r="H1437" s="2"/>
      <c r="I1437" s="2"/>
      <c r="J1437" s="2"/>
      <c r="L1437" s="20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  <c r="AA1437" s="20"/>
      <c r="AB1437" s="20"/>
      <c r="AC1437" s="20"/>
      <c r="AD1437" s="20"/>
      <c r="AE1437" s="20"/>
    </row>
    <row r="1438" spans="2:31" x14ac:dyDescent="0.25">
      <c r="B1438" s="2"/>
      <c r="C1438" s="19"/>
      <c r="D1438" s="2"/>
      <c r="E1438" s="2"/>
      <c r="F1438" s="19"/>
      <c r="G1438" s="2"/>
      <c r="H1438" s="2"/>
      <c r="I1438" s="2"/>
      <c r="J1438" s="2"/>
      <c r="L1438" s="20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  <c r="AA1438" s="20"/>
      <c r="AB1438" s="20"/>
      <c r="AC1438" s="20"/>
      <c r="AD1438" s="20"/>
      <c r="AE1438" s="20"/>
    </row>
    <row r="1439" spans="2:31" x14ac:dyDescent="0.25">
      <c r="B1439" s="2"/>
      <c r="C1439" s="19"/>
      <c r="D1439" s="2"/>
      <c r="E1439" s="2"/>
      <c r="F1439" s="19"/>
      <c r="G1439" s="2"/>
      <c r="H1439" s="2"/>
      <c r="I1439" s="2"/>
      <c r="J1439" s="2"/>
      <c r="L1439" s="20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  <c r="AA1439" s="20"/>
      <c r="AB1439" s="20"/>
      <c r="AC1439" s="20"/>
      <c r="AD1439" s="20"/>
      <c r="AE1439" s="20"/>
    </row>
    <row r="1440" spans="2:31" x14ac:dyDescent="0.25">
      <c r="B1440" s="2"/>
      <c r="C1440" s="19"/>
      <c r="D1440" s="2"/>
      <c r="E1440" s="2"/>
      <c r="F1440" s="19"/>
      <c r="G1440" s="2"/>
      <c r="H1440" s="2"/>
      <c r="I1440" s="2"/>
      <c r="J1440" s="2"/>
      <c r="L1440" s="20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  <c r="AA1440" s="20"/>
      <c r="AB1440" s="20"/>
      <c r="AC1440" s="20"/>
      <c r="AD1440" s="20"/>
      <c r="AE1440" s="20"/>
    </row>
    <row r="1441" spans="2:31" x14ac:dyDescent="0.25">
      <c r="B1441" s="2"/>
      <c r="C1441" s="19"/>
      <c r="D1441" s="2"/>
      <c r="E1441" s="2"/>
      <c r="F1441" s="19"/>
      <c r="G1441" s="2"/>
      <c r="H1441" s="2"/>
      <c r="I1441" s="2"/>
      <c r="J1441" s="2"/>
      <c r="L1441" s="20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  <c r="AA1441" s="20"/>
      <c r="AB1441" s="20"/>
      <c r="AC1441" s="20"/>
      <c r="AD1441" s="20"/>
      <c r="AE1441" s="20"/>
    </row>
    <row r="1442" spans="2:31" x14ac:dyDescent="0.25">
      <c r="B1442" s="2"/>
      <c r="C1442" s="19"/>
      <c r="D1442" s="2"/>
      <c r="E1442" s="2"/>
      <c r="F1442" s="19"/>
      <c r="G1442" s="2"/>
      <c r="H1442" s="2"/>
      <c r="I1442" s="2"/>
      <c r="J1442" s="2"/>
      <c r="L1442" s="20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  <c r="AA1442" s="20"/>
      <c r="AB1442" s="20"/>
      <c r="AC1442" s="20"/>
      <c r="AD1442" s="20"/>
      <c r="AE1442" s="20"/>
    </row>
    <row r="1443" spans="2:31" x14ac:dyDescent="0.25">
      <c r="B1443" s="2"/>
      <c r="C1443" s="19"/>
      <c r="D1443" s="2"/>
      <c r="E1443" s="2"/>
      <c r="F1443" s="19"/>
      <c r="G1443" s="2"/>
      <c r="H1443" s="2"/>
      <c r="I1443" s="2"/>
      <c r="J1443" s="2"/>
      <c r="L1443" s="20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  <c r="AA1443" s="20"/>
      <c r="AB1443" s="20"/>
      <c r="AC1443" s="20"/>
      <c r="AD1443" s="20"/>
      <c r="AE1443" s="20"/>
    </row>
    <row r="1444" spans="2:31" x14ac:dyDescent="0.25">
      <c r="B1444" s="2"/>
      <c r="C1444" s="19"/>
      <c r="D1444" s="2"/>
      <c r="E1444" s="2"/>
      <c r="F1444" s="19"/>
      <c r="G1444" s="2"/>
      <c r="H1444" s="2"/>
      <c r="I1444" s="2"/>
      <c r="J1444" s="2"/>
      <c r="L1444" s="20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  <c r="AA1444" s="20"/>
      <c r="AB1444" s="20"/>
      <c r="AC1444" s="20"/>
      <c r="AD1444" s="20"/>
      <c r="AE1444" s="20"/>
    </row>
    <row r="1445" spans="2:31" x14ac:dyDescent="0.25">
      <c r="B1445" s="2"/>
      <c r="C1445" s="19"/>
      <c r="D1445" s="2"/>
      <c r="E1445" s="2"/>
      <c r="F1445" s="19"/>
      <c r="G1445" s="2"/>
      <c r="H1445" s="2"/>
      <c r="I1445" s="2"/>
      <c r="J1445" s="2"/>
      <c r="L1445" s="20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  <c r="AA1445" s="20"/>
      <c r="AB1445" s="20"/>
      <c r="AC1445" s="20"/>
      <c r="AD1445" s="20"/>
      <c r="AE1445" s="20"/>
    </row>
    <row r="1446" spans="2:31" x14ac:dyDescent="0.25">
      <c r="B1446" s="2"/>
      <c r="C1446" s="19"/>
      <c r="D1446" s="2"/>
      <c r="E1446" s="2"/>
      <c r="F1446" s="19"/>
      <c r="G1446" s="2"/>
      <c r="H1446" s="2"/>
      <c r="I1446" s="2"/>
      <c r="J1446" s="2"/>
      <c r="L1446" s="20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  <c r="AA1446" s="20"/>
      <c r="AB1446" s="20"/>
      <c r="AC1446" s="20"/>
      <c r="AD1446" s="20"/>
      <c r="AE1446" s="20"/>
    </row>
    <row r="1447" spans="2:31" x14ac:dyDescent="0.25">
      <c r="B1447" s="2"/>
      <c r="C1447" s="19"/>
      <c r="D1447" s="2"/>
      <c r="E1447" s="2"/>
      <c r="F1447" s="19"/>
      <c r="G1447" s="2"/>
      <c r="H1447" s="2"/>
      <c r="I1447" s="2"/>
      <c r="J1447" s="2"/>
      <c r="L1447" s="20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  <c r="AA1447" s="20"/>
      <c r="AB1447" s="20"/>
      <c r="AC1447" s="20"/>
      <c r="AD1447" s="20"/>
      <c r="AE1447" s="20"/>
    </row>
    <row r="1448" spans="2:31" x14ac:dyDescent="0.25">
      <c r="B1448" s="2"/>
      <c r="C1448" s="19"/>
      <c r="D1448" s="2"/>
      <c r="E1448" s="2"/>
      <c r="F1448" s="19"/>
      <c r="G1448" s="2"/>
      <c r="H1448" s="2"/>
      <c r="I1448" s="2"/>
      <c r="J1448" s="2"/>
      <c r="L1448" s="20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  <c r="AA1448" s="20"/>
      <c r="AB1448" s="20"/>
      <c r="AC1448" s="20"/>
      <c r="AD1448" s="20"/>
      <c r="AE1448" s="20"/>
    </row>
    <row r="1449" spans="2:31" x14ac:dyDescent="0.25">
      <c r="B1449" s="2"/>
      <c r="C1449" s="19"/>
      <c r="D1449" s="2"/>
      <c r="E1449" s="2"/>
      <c r="F1449" s="19"/>
      <c r="G1449" s="2"/>
      <c r="H1449" s="2"/>
      <c r="I1449" s="2"/>
      <c r="J1449" s="2"/>
      <c r="L1449" s="20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  <c r="AA1449" s="20"/>
      <c r="AB1449" s="20"/>
      <c r="AC1449" s="20"/>
      <c r="AD1449" s="20"/>
      <c r="AE1449" s="20"/>
    </row>
    <row r="1450" spans="2:31" x14ac:dyDescent="0.25">
      <c r="B1450" s="2"/>
      <c r="C1450" s="19"/>
      <c r="D1450" s="2"/>
      <c r="E1450" s="2"/>
      <c r="F1450" s="19"/>
      <c r="G1450" s="2"/>
      <c r="H1450" s="2"/>
      <c r="I1450" s="2"/>
      <c r="J1450" s="2"/>
      <c r="L1450" s="20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  <c r="AA1450" s="20"/>
      <c r="AB1450" s="20"/>
      <c r="AC1450" s="20"/>
      <c r="AD1450" s="20"/>
      <c r="AE1450" s="20"/>
    </row>
    <row r="1451" spans="2:31" x14ac:dyDescent="0.25">
      <c r="B1451" s="2"/>
      <c r="C1451" s="19"/>
      <c r="D1451" s="2"/>
      <c r="E1451" s="2"/>
      <c r="F1451" s="19"/>
      <c r="G1451" s="2"/>
      <c r="H1451" s="2"/>
      <c r="I1451" s="2"/>
      <c r="J1451" s="2"/>
      <c r="L1451" s="20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  <c r="AA1451" s="20"/>
      <c r="AB1451" s="20"/>
      <c r="AC1451" s="20"/>
      <c r="AD1451" s="20"/>
      <c r="AE1451" s="20"/>
    </row>
    <row r="1452" spans="2:31" x14ac:dyDescent="0.25">
      <c r="B1452" s="2"/>
      <c r="C1452" s="19"/>
      <c r="D1452" s="2"/>
      <c r="E1452" s="2"/>
      <c r="F1452" s="19"/>
      <c r="G1452" s="2"/>
      <c r="H1452" s="2"/>
      <c r="I1452" s="2"/>
      <c r="J1452" s="2"/>
      <c r="L1452" s="20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  <c r="AA1452" s="20"/>
      <c r="AB1452" s="20"/>
      <c r="AC1452" s="20"/>
      <c r="AD1452" s="20"/>
      <c r="AE1452" s="20"/>
    </row>
    <row r="1453" spans="2:31" x14ac:dyDescent="0.25">
      <c r="B1453" s="2"/>
      <c r="C1453" s="19"/>
      <c r="D1453" s="2"/>
      <c r="E1453" s="2"/>
      <c r="F1453" s="19"/>
      <c r="G1453" s="2"/>
      <c r="H1453" s="2"/>
      <c r="I1453" s="2"/>
      <c r="J1453" s="2"/>
      <c r="L1453" s="20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  <c r="AA1453" s="20"/>
      <c r="AB1453" s="20"/>
      <c r="AC1453" s="20"/>
      <c r="AD1453" s="20"/>
      <c r="AE1453" s="20"/>
    </row>
    <row r="1454" spans="2:31" x14ac:dyDescent="0.25">
      <c r="B1454" s="2"/>
      <c r="C1454" s="19"/>
      <c r="D1454" s="2"/>
      <c r="E1454" s="2"/>
      <c r="F1454" s="19"/>
      <c r="G1454" s="2"/>
      <c r="H1454" s="2"/>
      <c r="I1454" s="2"/>
      <c r="J1454" s="2"/>
      <c r="L1454" s="20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  <c r="AA1454" s="20"/>
      <c r="AB1454" s="20"/>
      <c r="AC1454" s="20"/>
      <c r="AD1454" s="20"/>
      <c r="AE1454" s="20"/>
    </row>
    <row r="1455" spans="2:31" x14ac:dyDescent="0.25">
      <c r="B1455" s="2"/>
      <c r="C1455" s="19"/>
      <c r="D1455" s="2"/>
      <c r="E1455" s="2"/>
      <c r="F1455" s="19"/>
      <c r="G1455" s="2"/>
      <c r="H1455" s="2"/>
      <c r="I1455" s="2"/>
      <c r="J1455" s="2"/>
      <c r="L1455" s="20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  <c r="AA1455" s="20"/>
      <c r="AB1455" s="20"/>
      <c r="AC1455" s="20"/>
      <c r="AD1455" s="20"/>
      <c r="AE1455" s="20"/>
    </row>
    <row r="1456" spans="2:31" x14ac:dyDescent="0.25">
      <c r="B1456" s="2"/>
      <c r="C1456" s="19"/>
      <c r="D1456" s="2"/>
      <c r="E1456" s="2"/>
      <c r="F1456" s="19"/>
      <c r="G1456" s="2"/>
      <c r="H1456" s="2"/>
      <c r="I1456" s="2"/>
      <c r="J1456" s="2"/>
      <c r="L1456" s="20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  <c r="AA1456" s="20"/>
      <c r="AB1456" s="20"/>
      <c r="AC1456" s="20"/>
      <c r="AD1456" s="20"/>
      <c r="AE1456" s="20"/>
    </row>
    <row r="1457" spans="2:31" x14ac:dyDescent="0.25">
      <c r="B1457" s="2"/>
      <c r="C1457" s="19"/>
      <c r="D1457" s="2"/>
      <c r="E1457" s="2"/>
      <c r="F1457" s="19"/>
      <c r="G1457" s="2"/>
      <c r="H1457" s="2"/>
      <c r="I1457" s="2"/>
      <c r="J1457" s="2"/>
      <c r="L1457" s="20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  <c r="AA1457" s="20"/>
      <c r="AB1457" s="20"/>
      <c r="AC1457" s="20"/>
      <c r="AD1457" s="20"/>
      <c r="AE1457" s="20"/>
    </row>
    <row r="1458" spans="2:31" x14ac:dyDescent="0.25">
      <c r="B1458" s="2"/>
      <c r="C1458" s="19"/>
      <c r="D1458" s="2"/>
      <c r="E1458" s="2"/>
      <c r="F1458" s="19"/>
      <c r="G1458" s="2"/>
      <c r="H1458" s="2"/>
      <c r="I1458" s="2"/>
      <c r="J1458" s="2"/>
      <c r="L1458" s="20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  <c r="AA1458" s="20"/>
      <c r="AB1458" s="20"/>
      <c r="AC1458" s="20"/>
      <c r="AD1458" s="20"/>
      <c r="AE1458" s="20"/>
    </row>
    <row r="1459" spans="2:31" x14ac:dyDescent="0.25">
      <c r="B1459" s="2"/>
      <c r="C1459" s="19"/>
      <c r="D1459" s="2"/>
      <c r="E1459" s="2"/>
      <c r="F1459" s="19"/>
      <c r="G1459" s="2"/>
      <c r="H1459" s="2"/>
      <c r="I1459" s="2"/>
      <c r="J1459" s="2"/>
      <c r="L1459" s="20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  <c r="AA1459" s="20"/>
      <c r="AB1459" s="20"/>
      <c r="AC1459" s="20"/>
      <c r="AD1459" s="20"/>
      <c r="AE1459" s="20"/>
    </row>
    <row r="1460" spans="2:31" x14ac:dyDescent="0.25">
      <c r="B1460" s="2"/>
      <c r="C1460" s="19"/>
      <c r="D1460" s="2"/>
      <c r="E1460" s="2"/>
      <c r="F1460" s="19"/>
      <c r="G1460" s="2"/>
      <c r="H1460" s="2"/>
      <c r="I1460" s="2"/>
      <c r="J1460" s="2"/>
      <c r="L1460" s="20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  <c r="AA1460" s="20"/>
      <c r="AB1460" s="20"/>
      <c r="AC1460" s="20"/>
      <c r="AD1460" s="20"/>
      <c r="AE1460" s="20"/>
    </row>
    <row r="1461" spans="2:31" x14ac:dyDescent="0.25">
      <c r="B1461" s="2"/>
      <c r="C1461" s="19"/>
      <c r="D1461" s="2"/>
      <c r="E1461" s="2"/>
      <c r="F1461" s="19"/>
      <c r="G1461" s="2"/>
      <c r="H1461" s="2"/>
      <c r="I1461" s="2"/>
      <c r="J1461" s="2"/>
      <c r="L1461" s="20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  <c r="AA1461" s="20"/>
      <c r="AB1461" s="20"/>
      <c r="AC1461" s="20"/>
      <c r="AD1461" s="20"/>
      <c r="AE1461" s="20"/>
    </row>
    <row r="1462" spans="2:31" x14ac:dyDescent="0.25">
      <c r="B1462" s="2"/>
      <c r="C1462" s="19"/>
      <c r="D1462" s="2"/>
      <c r="E1462" s="2"/>
      <c r="F1462" s="19"/>
      <c r="G1462" s="2"/>
      <c r="H1462" s="2"/>
      <c r="I1462" s="2"/>
      <c r="J1462" s="2"/>
      <c r="L1462" s="20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  <c r="AA1462" s="20"/>
      <c r="AB1462" s="20"/>
      <c r="AC1462" s="20"/>
      <c r="AD1462" s="20"/>
      <c r="AE1462" s="20"/>
    </row>
    <row r="1463" spans="2:31" x14ac:dyDescent="0.25">
      <c r="B1463" s="2"/>
      <c r="C1463" s="19"/>
      <c r="D1463" s="2"/>
      <c r="E1463" s="2"/>
      <c r="F1463" s="19"/>
      <c r="G1463" s="2"/>
      <c r="H1463" s="2"/>
      <c r="I1463" s="2"/>
      <c r="J1463" s="2"/>
      <c r="L1463" s="20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  <c r="AA1463" s="20"/>
      <c r="AB1463" s="20"/>
      <c r="AC1463" s="20"/>
      <c r="AD1463" s="20"/>
      <c r="AE1463" s="20"/>
    </row>
    <row r="1464" spans="2:31" x14ac:dyDescent="0.25">
      <c r="B1464" s="2"/>
      <c r="C1464" s="19"/>
      <c r="D1464" s="2"/>
      <c r="E1464" s="2"/>
      <c r="F1464" s="19"/>
      <c r="G1464" s="2"/>
      <c r="H1464" s="2"/>
      <c r="I1464" s="2"/>
      <c r="J1464" s="2"/>
      <c r="L1464" s="20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  <c r="AA1464" s="20"/>
      <c r="AB1464" s="20"/>
      <c r="AC1464" s="20"/>
      <c r="AD1464" s="20"/>
      <c r="AE1464" s="20"/>
    </row>
    <row r="1465" spans="2:31" x14ac:dyDescent="0.25">
      <c r="B1465" s="2"/>
      <c r="C1465" s="19"/>
      <c r="D1465" s="2"/>
      <c r="E1465" s="2"/>
      <c r="F1465" s="19"/>
      <c r="G1465" s="2"/>
      <c r="H1465" s="2"/>
      <c r="I1465" s="2"/>
      <c r="J1465" s="2"/>
      <c r="L1465" s="20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  <c r="AA1465" s="20"/>
      <c r="AB1465" s="20"/>
      <c r="AC1465" s="20"/>
      <c r="AD1465" s="20"/>
      <c r="AE1465" s="20"/>
    </row>
    <row r="1466" spans="2:31" x14ac:dyDescent="0.25">
      <c r="B1466" s="2"/>
      <c r="C1466" s="19"/>
      <c r="D1466" s="2"/>
      <c r="E1466" s="2"/>
      <c r="F1466" s="19"/>
      <c r="G1466" s="2"/>
      <c r="H1466" s="2"/>
      <c r="I1466" s="2"/>
      <c r="J1466" s="2"/>
      <c r="L1466" s="20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  <c r="AA1466" s="20"/>
      <c r="AB1466" s="20"/>
      <c r="AC1466" s="20"/>
      <c r="AD1466" s="20"/>
      <c r="AE1466" s="20"/>
    </row>
    <row r="1467" spans="2:31" x14ac:dyDescent="0.25">
      <c r="B1467" s="2"/>
      <c r="C1467" s="19"/>
      <c r="D1467" s="2"/>
      <c r="E1467" s="2"/>
      <c r="F1467" s="19"/>
      <c r="G1467" s="2"/>
      <c r="H1467" s="2"/>
      <c r="I1467" s="2"/>
      <c r="J1467" s="2"/>
      <c r="L1467" s="20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  <c r="AA1467" s="20"/>
      <c r="AB1467" s="20"/>
      <c r="AC1467" s="20"/>
      <c r="AD1467" s="20"/>
      <c r="AE1467" s="20"/>
    </row>
    <row r="1468" spans="2:31" x14ac:dyDescent="0.25">
      <c r="B1468" s="2"/>
      <c r="C1468" s="19"/>
      <c r="D1468" s="2"/>
      <c r="E1468" s="2"/>
      <c r="F1468" s="19"/>
      <c r="G1468" s="2"/>
      <c r="H1468" s="2"/>
      <c r="I1468" s="2"/>
      <c r="J1468" s="2"/>
      <c r="L1468" s="20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  <c r="AA1468" s="20"/>
      <c r="AB1468" s="20"/>
      <c r="AC1468" s="20"/>
      <c r="AD1468" s="20"/>
      <c r="AE1468" s="20"/>
    </row>
    <row r="1469" spans="2:31" x14ac:dyDescent="0.25">
      <c r="B1469" s="2"/>
      <c r="C1469" s="19"/>
      <c r="D1469" s="2"/>
      <c r="E1469" s="2"/>
      <c r="F1469" s="19"/>
      <c r="G1469" s="2"/>
      <c r="H1469" s="2"/>
      <c r="I1469" s="2"/>
      <c r="J1469" s="2"/>
      <c r="L1469" s="20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  <c r="AA1469" s="20"/>
      <c r="AB1469" s="20"/>
      <c r="AC1469" s="20"/>
      <c r="AD1469" s="20"/>
      <c r="AE1469" s="20"/>
    </row>
    <row r="1470" spans="2:31" x14ac:dyDescent="0.25">
      <c r="B1470" s="2"/>
      <c r="C1470" s="19"/>
      <c r="D1470" s="2"/>
      <c r="E1470" s="2"/>
      <c r="F1470" s="19"/>
      <c r="G1470" s="2"/>
      <c r="H1470" s="2"/>
      <c r="I1470" s="2"/>
      <c r="J1470" s="2"/>
      <c r="L1470" s="20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  <c r="AA1470" s="20"/>
      <c r="AB1470" s="20"/>
      <c r="AC1470" s="20"/>
      <c r="AD1470" s="20"/>
      <c r="AE1470" s="20"/>
    </row>
    <row r="1471" spans="2:31" x14ac:dyDescent="0.25">
      <c r="B1471" s="2"/>
      <c r="C1471" s="19"/>
      <c r="D1471" s="2"/>
      <c r="E1471" s="2"/>
      <c r="F1471" s="19"/>
      <c r="G1471" s="2"/>
      <c r="H1471" s="2"/>
      <c r="I1471" s="2"/>
      <c r="J1471" s="2"/>
      <c r="L1471" s="20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  <c r="AA1471" s="20"/>
      <c r="AB1471" s="20"/>
      <c r="AC1471" s="20"/>
      <c r="AD1471" s="20"/>
      <c r="AE1471" s="20"/>
    </row>
    <row r="1472" spans="2:31" x14ac:dyDescent="0.25">
      <c r="B1472" s="2"/>
      <c r="C1472" s="19"/>
      <c r="D1472" s="2"/>
      <c r="E1472" s="2"/>
      <c r="F1472" s="19"/>
      <c r="G1472" s="2"/>
      <c r="H1472" s="2"/>
      <c r="I1472" s="2"/>
      <c r="J1472" s="2"/>
      <c r="L1472" s="20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  <c r="AA1472" s="20"/>
      <c r="AB1472" s="20"/>
      <c r="AC1472" s="20"/>
      <c r="AD1472" s="20"/>
      <c r="AE1472" s="20"/>
    </row>
    <row r="1473" spans="2:31" x14ac:dyDescent="0.25">
      <c r="B1473" s="2"/>
      <c r="C1473" s="19"/>
      <c r="D1473" s="2"/>
      <c r="E1473" s="2"/>
      <c r="F1473" s="19"/>
      <c r="G1473" s="2"/>
      <c r="H1473" s="2"/>
      <c r="I1473" s="2"/>
      <c r="J1473" s="2"/>
      <c r="L1473" s="20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  <c r="AA1473" s="20"/>
      <c r="AB1473" s="20"/>
      <c r="AC1473" s="20"/>
      <c r="AD1473" s="20"/>
      <c r="AE1473" s="20"/>
    </row>
    <row r="1474" spans="2:31" x14ac:dyDescent="0.25">
      <c r="B1474" s="2"/>
      <c r="C1474" s="19"/>
      <c r="D1474" s="2"/>
      <c r="E1474" s="2"/>
      <c r="F1474" s="19"/>
      <c r="G1474" s="2"/>
      <c r="H1474" s="2"/>
      <c r="I1474" s="2"/>
      <c r="J1474" s="2"/>
      <c r="L1474" s="20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  <c r="AA1474" s="20"/>
      <c r="AB1474" s="20"/>
      <c r="AC1474" s="20"/>
      <c r="AD1474" s="20"/>
      <c r="AE1474" s="20"/>
    </row>
    <row r="1475" spans="2:31" x14ac:dyDescent="0.25">
      <c r="B1475" s="2"/>
      <c r="C1475" s="19"/>
      <c r="D1475" s="2"/>
      <c r="E1475" s="2"/>
      <c r="F1475" s="19"/>
      <c r="G1475" s="2"/>
      <c r="H1475" s="2"/>
      <c r="I1475" s="2"/>
      <c r="J1475" s="2"/>
      <c r="L1475" s="20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  <c r="AA1475" s="20"/>
      <c r="AB1475" s="20"/>
      <c r="AC1475" s="20"/>
      <c r="AD1475" s="20"/>
      <c r="AE1475" s="20"/>
    </row>
    <row r="1476" spans="2:31" x14ac:dyDescent="0.25">
      <c r="B1476" s="2"/>
      <c r="C1476" s="19"/>
      <c r="D1476" s="2"/>
      <c r="E1476" s="2"/>
      <c r="F1476" s="19"/>
      <c r="G1476" s="2"/>
      <c r="H1476" s="2"/>
      <c r="I1476" s="2"/>
      <c r="J1476" s="2"/>
      <c r="L1476" s="20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  <c r="AA1476" s="20"/>
      <c r="AB1476" s="20"/>
      <c r="AC1476" s="20"/>
      <c r="AD1476" s="20"/>
      <c r="AE1476" s="20"/>
    </row>
    <row r="1477" spans="2:31" x14ac:dyDescent="0.25">
      <c r="B1477" s="2"/>
      <c r="C1477" s="19"/>
      <c r="D1477" s="2"/>
      <c r="E1477" s="2"/>
      <c r="F1477" s="19"/>
      <c r="G1477" s="2"/>
      <c r="H1477" s="2"/>
      <c r="I1477" s="2"/>
      <c r="J1477" s="2"/>
      <c r="L1477" s="20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  <c r="AA1477" s="20"/>
      <c r="AB1477" s="20"/>
      <c r="AC1477" s="20"/>
      <c r="AD1477" s="20"/>
      <c r="AE1477" s="20"/>
    </row>
    <row r="1478" spans="2:31" x14ac:dyDescent="0.25">
      <c r="B1478" s="2"/>
      <c r="C1478" s="19"/>
      <c r="D1478" s="2"/>
      <c r="E1478" s="2"/>
      <c r="F1478" s="19"/>
      <c r="G1478" s="2"/>
      <c r="H1478" s="2"/>
      <c r="I1478" s="2"/>
      <c r="J1478" s="2"/>
      <c r="L1478" s="20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  <c r="AA1478" s="20"/>
      <c r="AB1478" s="20"/>
      <c r="AC1478" s="20"/>
      <c r="AD1478" s="20"/>
      <c r="AE1478" s="20"/>
    </row>
    <row r="1479" spans="2:31" x14ac:dyDescent="0.25">
      <c r="B1479" s="2"/>
      <c r="C1479" s="19"/>
      <c r="D1479" s="2"/>
      <c r="E1479" s="2"/>
      <c r="F1479" s="19"/>
      <c r="G1479" s="2"/>
      <c r="H1479" s="2"/>
      <c r="I1479" s="2"/>
      <c r="J1479" s="2"/>
      <c r="L1479" s="20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  <c r="AA1479" s="20"/>
      <c r="AB1479" s="20"/>
      <c r="AC1479" s="20"/>
      <c r="AD1479" s="20"/>
      <c r="AE1479" s="20"/>
    </row>
    <row r="1480" spans="2:31" x14ac:dyDescent="0.25">
      <c r="B1480" s="2"/>
      <c r="C1480" s="19"/>
      <c r="D1480" s="2"/>
      <c r="E1480" s="2"/>
      <c r="F1480" s="19"/>
      <c r="G1480" s="2"/>
      <c r="H1480" s="2"/>
      <c r="I1480" s="2"/>
      <c r="J1480" s="2"/>
      <c r="L1480" s="20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  <c r="AA1480" s="20"/>
      <c r="AB1480" s="20"/>
      <c r="AC1480" s="20"/>
      <c r="AD1480" s="20"/>
      <c r="AE1480" s="20"/>
    </row>
    <row r="1481" spans="2:31" x14ac:dyDescent="0.25">
      <c r="B1481" s="2"/>
      <c r="C1481" s="19"/>
      <c r="D1481" s="2"/>
      <c r="E1481" s="2"/>
      <c r="F1481" s="19"/>
      <c r="G1481" s="2"/>
      <c r="H1481" s="2"/>
      <c r="I1481" s="2"/>
      <c r="J1481" s="2"/>
      <c r="L1481" s="20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  <c r="AA1481" s="20"/>
      <c r="AB1481" s="20"/>
      <c r="AC1481" s="20"/>
      <c r="AD1481" s="20"/>
      <c r="AE1481" s="20"/>
    </row>
    <row r="1482" spans="2:31" x14ac:dyDescent="0.25">
      <c r="B1482" s="2"/>
      <c r="C1482" s="19"/>
      <c r="D1482" s="2"/>
      <c r="E1482" s="2"/>
      <c r="F1482" s="19"/>
      <c r="G1482" s="2"/>
      <c r="H1482" s="2"/>
      <c r="I1482" s="2"/>
      <c r="J1482" s="2"/>
      <c r="L1482" s="20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  <c r="AA1482" s="20"/>
      <c r="AB1482" s="20"/>
      <c r="AC1482" s="20"/>
      <c r="AD1482" s="20"/>
      <c r="AE1482" s="20"/>
    </row>
    <row r="1483" spans="2:31" x14ac:dyDescent="0.25">
      <c r="B1483" s="2"/>
      <c r="C1483" s="19"/>
      <c r="D1483" s="2"/>
      <c r="E1483" s="2"/>
      <c r="F1483" s="19"/>
      <c r="G1483" s="2"/>
      <c r="H1483" s="2"/>
      <c r="I1483" s="2"/>
      <c r="J1483" s="2"/>
      <c r="L1483" s="20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  <c r="AA1483" s="20"/>
      <c r="AB1483" s="20"/>
      <c r="AC1483" s="20"/>
      <c r="AD1483" s="20"/>
      <c r="AE1483" s="20"/>
    </row>
    <row r="1484" spans="2:31" x14ac:dyDescent="0.25">
      <c r="B1484" s="2"/>
      <c r="C1484" s="19"/>
      <c r="D1484" s="2"/>
      <c r="E1484" s="2"/>
      <c r="F1484" s="19"/>
      <c r="G1484" s="2"/>
      <c r="H1484" s="2"/>
      <c r="I1484" s="2"/>
      <c r="J1484" s="2"/>
      <c r="L1484" s="20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  <c r="AA1484" s="20"/>
      <c r="AB1484" s="20"/>
      <c r="AC1484" s="20"/>
      <c r="AD1484" s="20"/>
      <c r="AE1484" s="20"/>
    </row>
    <row r="1485" spans="2:31" x14ac:dyDescent="0.25">
      <c r="B1485" s="2"/>
      <c r="C1485" s="19"/>
      <c r="D1485" s="2"/>
      <c r="E1485" s="2"/>
      <c r="F1485" s="19"/>
      <c r="G1485" s="2"/>
      <c r="H1485" s="2"/>
      <c r="I1485" s="2"/>
      <c r="J1485" s="2"/>
      <c r="L1485" s="2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  <c r="AA1485" s="20"/>
      <c r="AB1485" s="20"/>
      <c r="AC1485" s="20"/>
      <c r="AD1485" s="20"/>
      <c r="AE1485" s="20"/>
    </row>
    <row r="1486" spans="2:31" x14ac:dyDescent="0.25">
      <c r="B1486" s="2"/>
      <c r="C1486" s="19"/>
      <c r="D1486" s="2"/>
      <c r="E1486" s="2"/>
      <c r="F1486" s="19"/>
      <c r="G1486" s="2"/>
      <c r="H1486" s="2"/>
      <c r="I1486" s="2"/>
      <c r="J1486" s="2"/>
      <c r="L1486" s="20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  <c r="AA1486" s="20"/>
      <c r="AB1486" s="20"/>
      <c r="AC1486" s="20"/>
      <c r="AD1486" s="20"/>
      <c r="AE1486" s="20"/>
    </row>
    <row r="1487" spans="2:31" x14ac:dyDescent="0.25">
      <c r="B1487" s="2"/>
      <c r="C1487" s="19"/>
      <c r="D1487" s="2"/>
      <c r="E1487" s="2"/>
      <c r="F1487" s="19"/>
      <c r="G1487" s="2"/>
      <c r="H1487" s="2"/>
      <c r="I1487" s="2"/>
      <c r="J1487" s="2"/>
      <c r="L1487" s="20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  <c r="AA1487" s="20"/>
      <c r="AB1487" s="20"/>
      <c r="AC1487" s="20"/>
      <c r="AD1487" s="20"/>
      <c r="AE1487" s="20"/>
    </row>
    <row r="1488" spans="2:31" x14ac:dyDescent="0.25">
      <c r="B1488" s="2"/>
      <c r="C1488" s="19"/>
      <c r="D1488" s="2"/>
      <c r="E1488" s="2"/>
      <c r="F1488" s="19"/>
      <c r="G1488" s="2"/>
      <c r="H1488" s="2"/>
      <c r="I1488" s="2"/>
      <c r="J1488" s="2"/>
      <c r="L1488" s="20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  <c r="AA1488" s="20"/>
      <c r="AB1488" s="20"/>
      <c r="AC1488" s="20"/>
      <c r="AD1488" s="20"/>
      <c r="AE1488" s="20"/>
    </row>
    <row r="1489" spans="2:31" x14ac:dyDescent="0.25">
      <c r="B1489" s="2"/>
      <c r="C1489" s="19"/>
      <c r="D1489" s="2"/>
      <c r="E1489" s="2"/>
      <c r="F1489" s="19"/>
      <c r="G1489" s="2"/>
      <c r="H1489" s="2"/>
      <c r="I1489" s="2"/>
      <c r="J1489" s="2"/>
      <c r="L1489" s="20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  <c r="AA1489" s="20"/>
      <c r="AB1489" s="20"/>
      <c r="AC1489" s="20"/>
      <c r="AD1489" s="20"/>
      <c r="AE1489" s="20"/>
    </row>
    <row r="1490" spans="2:31" x14ac:dyDescent="0.25">
      <c r="B1490" s="2"/>
      <c r="C1490" s="19"/>
      <c r="D1490" s="2"/>
      <c r="E1490" s="2"/>
      <c r="F1490" s="19"/>
      <c r="G1490" s="2"/>
      <c r="H1490" s="2"/>
      <c r="I1490" s="2"/>
      <c r="J1490" s="2"/>
      <c r="L1490" s="20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  <c r="AA1490" s="20"/>
      <c r="AB1490" s="20"/>
      <c r="AC1490" s="20"/>
      <c r="AD1490" s="20"/>
      <c r="AE1490" s="20"/>
    </row>
    <row r="1491" spans="2:31" x14ac:dyDescent="0.25">
      <c r="B1491" s="2"/>
      <c r="C1491" s="19"/>
      <c r="D1491" s="2"/>
      <c r="E1491" s="2"/>
      <c r="F1491" s="19"/>
      <c r="G1491" s="2"/>
      <c r="H1491" s="2"/>
      <c r="I1491" s="2"/>
      <c r="J1491" s="2"/>
      <c r="L1491" s="20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  <c r="AA1491" s="20"/>
      <c r="AB1491" s="20"/>
      <c r="AC1491" s="20"/>
      <c r="AD1491" s="20"/>
      <c r="AE1491" s="20"/>
    </row>
    <row r="1492" spans="2:31" x14ac:dyDescent="0.25">
      <c r="B1492" s="2"/>
      <c r="C1492" s="19"/>
      <c r="D1492" s="2"/>
      <c r="E1492" s="2"/>
      <c r="F1492" s="19"/>
      <c r="G1492" s="2"/>
      <c r="H1492" s="2"/>
      <c r="I1492" s="2"/>
      <c r="J1492" s="2"/>
      <c r="L1492" s="20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  <c r="AA1492" s="20"/>
      <c r="AB1492" s="20"/>
      <c r="AC1492" s="20"/>
      <c r="AD1492" s="20"/>
      <c r="AE1492" s="20"/>
    </row>
    <row r="1493" spans="2:31" x14ac:dyDescent="0.25">
      <c r="B1493" s="2"/>
      <c r="C1493" s="19"/>
      <c r="D1493" s="2"/>
      <c r="E1493" s="2"/>
      <c r="F1493" s="19"/>
      <c r="G1493" s="2"/>
      <c r="H1493" s="2"/>
      <c r="I1493" s="2"/>
      <c r="J1493" s="2"/>
      <c r="L1493" s="20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  <c r="AA1493" s="20"/>
      <c r="AB1493" s="20"/>
      <c r="AC1493" s="20"/>
      <c r="AD1493" s="20"/>
      <c r="AE1493" s="20"/>
    </row>
    <row r="1494" spans="2:31" x14ac:dyDescent="0.25">
      <c r="B1494" s="2"/>
      <c r="C1494" s="19"/>
      <c r="D1494" s="2"/>
      <c r="E1494" s="2"/>
      <c r="F1494" s="19"/>
      <c r="G1494" s="2"/>
      <c r="H1494" s="2"/>
      <c r="I1494" s="2"/>
      <c r="J1494" s="2"/>
      <c r="L1494" s="20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  <c r="AA1494" s="20"/>
      <c r="AB1494" s="20"/>
      <c r="AC1494" s="20"/>
      <c r="AD1494" s="20"/>
      <c r="AE1494" s="20"/>
    </row>
    <row r="1495" spans="2:31" x14ac:dyDescent="0.25">
      <c r="B1495" s="2"/>
      <c r="C1495" s="19"/>
      <c r="D1495" s="2"/>
      <c r="E1495" s="2"/>
      <c r="F1495" s="19"/>
      <c r="G1495" s="2"/>
      <c r="H1495" s="2"/>
      <c r="I1495" s="2"/>
      <c r="J1495" s="2"/>
      <c r="L1495" s="20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  <c r="AA1495" s="20"/>
      <c r="AB1495" s="20"/>
      <c r="AC1495" s="20"/>
      <c r="AD1495" s="20"/>
      <c r="AE1495" s="20"/>
    </row>
    <row r="1496" spans="2:31" x14ac:dyDescent="0.25">
      <c r="B1496" s="2"/>
      <c r="C1496" s="19"/>
      <c r="D1496" s="2"/>
      <c r="E1496" s="2"/>
      <c r="F1496" s="19"/>
      <c r="G1496" s="2"/>
      <c r="H1496" s="2"/>
      <c r="I1496" s="2"/>
      <c r="J1496" s="2"/>
      <c r="L1496" s="20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  <c r="AA1496" s="20"/>
      <c r="AB1496" s="20"/>
      <c r="AC1496" s="20"/>
      <c r="AD1496" s="20"/>
      <c r="AE1496" s="20"/>
    </row>
    <row r="1497" spans="2:31" x14ac:dyDescent="0.25">
      <c r="B1497" s="2"/>
      <c r="C1497" s="19"/>
      <c r="D1497" s="2"/>
      <c r="E1497" s="2"/>
      <c r="F1497" s="19"/>
      <c r="G1497" s="2"/>
      <c r="H1497" s="2"/>
      <c r="I1497" s="2"/>
      <c r="J1497" s="2"/>
      <c r="L1497" s="20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  <c r="AA1497" s="20"/>
      <c r="AB1497" s="20"/>
      <c r="AC1497" s="20"/>
      <c r="AD1497" s="20"/>
      <c r="AE1497" s="20"/>
    </row>
    <row r="1498" spans="2:31" x14ac:dyDescent="0.25">
      <c r="B1498" s="2"/>
      <c r="C1498" s="19"/>
      <c r="D1498" s="2"/>
      <c r="E1498" s="2"/>
      <c r="F1498" s="19"/>
      <c r="G1498" s="2"/>
      <c r="H1498" s="2"/>
      <c r="I1498" s="2"/>
      <c r="J1498" s="2"/>
      <c r="L1498" s="20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  <c r="AA1498" s="20"/>
      <c r="AB1498" s="20"/>
      <c r="AC1498" s="20"/>
      <c r="AD1498" s="20"/>
      <c r="AE1498" s="20"/>
    </row>
    <row r="1499" spans="2:31" x14ac:dyDescent="0.25">
      <c r="B1499" s="2"/>
      <c r="C1499" s="19"/>
      <c r="D1499" s="2"/>
      <c r="E1499" s="2"/>
      <c r="F1499" s="19"/>
      <c r="G1499" s="2"/>
      <c r="H1499" s="2"/>
      <c r="I1499" s="2"/>
      <c r="J1499" s="2"/>
      <c r="L1499" s="20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  <c r="AA1499" s="20"/>
      <c r="AB1499" s="20"/>
      <c r="AC1499" s="20"/>
      <c r="AD1499" s="20"/>
      <c r="AE1499" s="20"/>
    </row>
    <row r="1500" spans="2:31" x14ac:dyDescent="0.25">
      <c r="B1500" s="2"/>
      <c r="C1500" s="19"/>
      <c r="D1500" s="2"/>
      <c r="E1500" s="2"/>
      <c r="F1500" s="19"/>
      <c r="G1500" s="2"/>
      <c r="H1500" s="2"/>
      <c r="I1500" s="2"/>
      <c r="J1500" s="2"/>
      <c r="L1500" s="20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  <c r="AA1500" s="20"/>
      <c r="AB1500" s="20"/>
      <c r="AC1500" s="20"/>
      <c r="AD1500" s="20"/>
      <c r="AE1500" s="20"/>
    </row>
    <row r="1501" spans="2:31" x14ac:dyDescent="0.25">
      <c r="B1501" s="2"/>
      <c r="C1501" s="19"/>
      <c r="D1501" s="2"/>
      <c r="E1501" s="2"/>
      <c r="F1501" s="19"/>
      <c r="G1501" s="2"/>
      <c r="H1501" s="2"/>
      <c r="I1501" s="2"/>
      <c r="J1501" s="2"/>
      <c r="L1501" s="20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  <c r="AA1501" s="20"/>
      <c r="AB1501" s="20"/>
      <c r="AC1501" s="20"/>
      <c r="AD1501" s="20"/>
      <c r="AE1501" s="20"/>
    </row>
    <row r="1502" spans="2:31" x14ac:dyDescent="0.25">
      <c r="B1502" s="2"/>
      <c r="C1502" s="19"/>
      <c r="D1502" s="2"/>
      <c r="E1502" s="2"/>
      <c r="F1502" s="19"/>
      <c r="G1502" s="2"/>
      <c r="H1502" s="2"/>
      <c r="I1502" s="2"/>
      <c r="J1502" s="2"/>
      <c r="L1502" s="20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  <c r="AA1502" s="20"/>
      <c r="AB1502" s="20"/>
      <c r="AC1502" s="20"/>
      <c r="AD1502" s="20"/>
      <c r="AE1502" s="20"/>
    </row>
    <row r="1503" spans="2:31" x14ac:dyDescent="0.25">
      <c r="B1503" s="2"/>
      <c r="C1503" s="19"/>
      <c r="D1503" s="2"/>
      <c r="E1503" s="2"/>
      <c r="F1503" s="19"/>
      <c r="G1503" s="2"/>
      <c r="H1503" s="2"/>
      <c r="I1503" s="2"/>
      <c r="J1503" s="2"/>
      <c r="L1503" s="20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  <c r="AA1503" s="20"/>
      <c r="AB1503" s="20"/>
      <c r="AC1503" s="20"/>
      <c r="AD1503" s="20"/>
      <c r="AE1503" s="20"/>
    </row>
    <row r="1504" spans="2:31" x14ac:dyDescent="0.25">
      <c r="B1504" s="2"/>
      <c r="C1504" s="19"/>
      <c r="D1504" s="2"/>
      <c r="E1504" s="2"/>
      <c r="F1504" s="19"/>
      <c r="G1504" s="2"/>
      <c r="H1504" s="2"/>
      <c r="I1504" s="2"/>
      <c r="J1504" s="2"/>
      <c r="L1504" s="20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  <c r="AA1504" s="20"/>
      <c r="AB1504" s="20"/>
      <c r="AC1504" s="20"/>
      <c r="AD1504" s="20"/>
      <c r="AE1504" s="20"/>
    </row>
    <row r="1505" spans="2:31" x14ac:dyDescent="0.25">
      <c r="B1505" s="2"/>
      <c r="C1505" s="19"/>
      <c r="D1505" s="2"/>
      <c r="E1505" s="2"/>
      <c r="F1505" s="19"/>
      <c r="G1505" s="2"/>
      <c r="H1505" s="2"/>
      <c r="I1505" s="2"/>
      <c r="J1505" s="2"/>
      <c r="L1505" s="20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  <c r="AA1505" s="20"/>
      <c r="AB1505" s="20"/>
      <c r="AC1505" s="20"/>
      <c r="AD1505" s="20"/>
      <c r="AE1505" s="20"/>
    </row>
    <row r="1506" spans="2:31" x14ac:dyDescent="0.25">
      <c r="B1506" s="2"/>
      <c r="C1506" s="19"/>
      <c r="D1506" s="2"/>
      <c r="E1506" s="2"/>
      <c r="F1506" s="19"/>
      <c r="G1506" s="2"/>
      <c r="H1506" s="2"/>
      <c r="I1506" s="2"/>
      <c r="J1506" s="2"/>
      <c r="L1506" s="20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  <c r="AA1506" s="20"/>
      <c r="AB1506" s="20"/>
      <c r="AC1506" s="20"/>
      <c r="AD1506" s="20"/>
      <c r="AE1506" s="20"/>
    </row>
    <row r="1507" spans="2:31" x14ac:dyDescent="0.25">
      <c r="B1507" s="2"/>
      <c r="C1507" s="19"/>
      <c r="D1507" s="2"/>
      <c r="E1507" s="2"/>
      <c r="F1507" s="19"/>
      <c r="G1507" s="2"/>
      <c r="H1507" s="2"/>
      <c r="I1507" s="2"/>
      <c r="J1507" s="2"/>
      <c r="L1507" s="20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  <c r="AA1507" s="20"/>
      <c r="AB1507" s="20"/>
      <c r="AC1507" s="20"/>
      <c r="AD1507" s="20"/>
      <c r="AE1507" s="20"/>
    </row>
    <row r="1508" spans="2:31" x14ac:dyDescent="0.25">
      <c r="B1508" s="2"/>
      <c r="C1508" s="19"/>
      <c r="D1508" s="2"/>
      <c r="E1508" s="2"/>
      <c r="F1508" s="19"/>
      <c r="G1508" s="2"/>
      <c r="H1508" s="2"/>
      <c r="I1508" s="2"/>
      <c r="J1508" s="2"/>
      <c r="L1508" s="20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  <c r="AA1508" s="20"/>
      <c r="AB1508" s="20"/>
      <c r="AC1508" s="20"/>
      <c r="AD1508" s="20"/>
      <c r="AE1508" s="20"/>
    </row>
    <row r="1509" spans="2:31" x14ac:dyDescent="0.25">
      <c r="B1509" s="2"/>
      <c r="C1509" s="19"/>
      <c r="D1509" s="2"/>
      <c r="E1509" s="2"/>
      <c r="F1509" s="19"/>
      <c r="G1509" s="2"/>
      <c r="H1509" s="2"/>
      <c r="I1509" s="2"/>
      <c r="J1509" s="2"/>
      <c r="L1509" s="20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  <c r="AA1509" s="20"/>
      <c r="AB1509" s="20"/>
      <c r="AC1509" s="20"/>
      <c r="AD1509" s="20"/>
      <c r="AE1509" s="20"/>
    </row>
    <row r="1510" spans="2:31" x14ac:dyDescent="0.25">
      <c r="B1510" s="2"/>
      <c r="C1510" s="19"/>
      <c r="D1510" s="2"/>
      <c r="E1510" s="2"/>
      <c r="F1510" s="19"/>
      <c r="G1510" s="2"/>
      <c r="H1510" s="2"/>
      <c r="I1510" s="2"/>
      <c r="J1510" s="2"/>
      <c r="L1510" s="20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  <c r="AA1510" s="20"/>
      <c r="AB1510" s="20"/>
      <c r="AC1510" s="20"/>
      <c r="AD1510" s="20"/>
      <c r="AE1510" s="20"/>
    </row>
    <row r="1511" spans="2:31" x14ac:dyDescent="0.25">
      <c r="B1511" s="2"/>
      <c r="C1511" s="19"/>
      <c r="D1511" s="2"/>
      <c r="E1511" s="2"/>
      <c r="F1511" s="19"/>
      <c r="G1511" s="2"/>
      <c r="H1511" s="2"/>
      <c r="I1511" s="2"/>
      <c r="J1511" s="2"/>
      <c r="L1511" s="20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  <c r="AA1511" s="20"/>
      <c r="AB1511" s="20"/>
      <c r="AC1511" s="20"/>
      <c r="AD1511" s="20"/>
      <c r="AE1511" s="20"/>
    </row>
    <row r="1512" spans="2:31" x14ac:dyDescent="0.25">
      <c r="B1512" s="2"/>
      <c r="C1512" s="19"/>
      <c r="D1512" s="2"/>
      <c r="E1512" s="2"/>
      <c r="F1512" s="19"/>
      <c r="G1512" s="2"/>
      <c r="H1512" s="2"/>
      <c r="I1512" s="2"/>
      <c r="J1512" s="2"/>
      <c r="L1512" s="20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  <c r="AA1512" s="20"/>
      <c r="AB1512" s="20"/>
      <c r="AC1512" s="20"/>
      <c r="AD1512" s="20"/>
      <c r="AE1512" s="20"/>
    </row>
    <row r="1513" spans="2:31" x14ac:dyDescent="0.25">
      <c r="B1513" s="2"/>
      <c r="C1513" s="19"/>
      <c r="D1513" s="2"/>
      <c r="E1513" s="2"/>
      <c r="F1513" s="19"/>
      <c r="G1513" s="2"/>
      <c r="H1513" s="2"/>
      <c r="I1513" s="2"/>
      <c r="J1513" s="2"/>
      <c r="L1513" s="20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  <c r="AA1513" s="20"/>
      <c r="AB1513" s="20"/>
      <c r="AC1513" s="20"/>
      <c r="AD1513" s="20"/>
      <c r="AE1513" s="20"/>
    </row>
    <row r="1514" spans="2:31" x14ac:dyDescent="0.25">
      <c r="B1514" s="2"/>
      <c r="C1514" s="19"/>
      <c r="D1514" s="2"/>
      <c r="E1514" s="2"/>
      <c r="F1514" s="19"/>
      <c r="G1514" s="2"/>
      <c r="H1514" s="2"/>
      <c r="I1514" s="2"/>
      <c r="J1514" s="2"/>
      <c r="L1514" s="20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  <c r="AA1514" s="20"/>
      <c r="AB1514" s="20"/>
      <c r="AC1514" s="20"/>
      <c r="AD1514" s="20"/>
      <c r="AE1514" s="20"/>
    </row>
    <row r="1515" spans="2:31" x14ac:dyDescent="0.25">
      <c r="B1515" s="2"/>
      <c r="C1515" s="19"/>
      <c r="D1515" s="2"/>
      <c r="E1515" s="2"/>
      <c r="F1515" s="19"/>
      <c r="G1515" s="2"/>
      <c r="H1515" s="2"/>
      <c r="I1515" s="2"/>
      <c r="J1515" s="2"/>
      <c r="L1515" s="20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  <c r="AA1515" s="20"/>
      <c r="AB1515" s="20"/>
      <c r="AC1515" s="20"/>
      <c r="AD1515" s="20"/>
      <c r="AE1515" s="20"/>
    </row>
    <row r="1516" spans="2:31" x14ac:dyDescent="0.25">
      <c r="B1516" s="2"/>
      <c r="C1516" s="19"/>
      <c r="D1516" s="2"/>
      <c r="E1516" s="2"/>
      <c r="F1516" s="19"/>
      <c r="G1516" s="2"/>
      <c r="H1516" s="2"/>
      <c r="I1516" s="2"/>
      <c r="J1516" s="2"/>
      <c r="L1516" s="20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  <c r="AA1516" s="20"/>
      <c r="AB1516" s="20"/>
      <c r="AC1516" s="20"/>
      <c r="AD1516" s="20"/>
      <c r="AE1516" s="20"/>
    </row>
    <row r="1517" spans="2:31" x14ac:dyDescent="0.25">
      <c r="B1517" s="2"/>
      <c r="C1517" s="19"/>
      <c r="D1517" s="2"/>
      <c r="E1517" s="2"/>
      <c r="F1517" s="19"/>
      <c r="G1517" s="2"/>
      <c r="H1517" s="2"/>
      <c r="I1517" s="2"/>
      <c r="J1517" s="2"/>
      <c r="L1517" s="20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  <c r="AA1517" s="20"/>
      <c r="AB1517" s="20"/>
      <c r="AC1517" s="20"/>
      <c r="AD1517" s="20"/>
      <c r="AE1517" s="20"/>
    </row>
    <row r="1518" spans="2:31" x14ac:dyDescent="0.25">
      <c r="B1518" s="2"/>
      <c r="C1518" s="19"/>
      <c r="D1518" s="2"/>
      <c r="E1518" s="2"/>
      <c r="F1518" s="19"/>
      <c r="G1518" s="2"/>
      <c r="H1518" s="2"/>
      <c r="I1518" s="2"/>
      <c r="J1518" s="2"/>
      <c r="L1518" s="20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  <c r="AA1518" s="20"/>
      <c r="AB1518" s="20"/>
      <c r="AC1518" s="20"/>
      <c r="AD1518" s="20"/>
      <c r="AE1518" s="20"/>
    </row>
    <row r="1519" spans="2:31" x14ac:dyDescent="0.25">
      <c r="B1519" s="2"/>
      <c r="C1519" s="19"/>
      <c r="D1519" s="2"/>
      <c r="E1519" s="2"/>
      <c r="F1519" s="19"/>
      <c r="G1519" s="2"/>
      <c r="H1519" s="2"/>
      <c r="I1519" s="2"/>
      <c r="J1519" s="2"/>
      <c r="L1519" s="20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  <c r="AA1519" s="20"/>
      <c r="AB1519" s="20"/>
      <c r="AC1519" s="20"/>
      <c r="AD1519" s="20"/>
      <c r="AE1519" s="20"/>
    </row>
    <row r="1520" spans="2:31" x14ac:dyDescent="0.25">
      <c r="B1520" s="2"/>
      <c r="C1520" s="19"/>
      <c r="D1520" s="2"/>
      <c r="E1520" s="2"/>
      <c r="F1520" s="19"/>
      <c r="G1520" s="2"/>
      <c r="H1520" s="2"/>
      <c r="I1520" s="2"/>
      <c r="J1520" s="2"/>
      <c r="L1520" s="20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  <c r="AA1520" s="20"/>
      <c r="AB1520" s="20"/>
      <c r="AC1520" s="20"/>
      <c r="AD1520" s="20"/>
      <c r="AE1520" s="20"/>
    </row>
    <row r="1521" spans="2:31" x14ac:dyDescent="0.25">
      <c r="B1521" s="2"/>
      <c r="C1521" s="19"/>
      <c r="D1521" s="2"/>
      <c r="E1521" s="2"/>
      <c r="F1521" s="19"/>
      <c r="G1521" s="2"/>
      <c r="H1521" s="2"/>
      <c r="I1521" s="2"/>
      <c r="J1521" s="2"/>
      <c r="L1521" s="20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  <c r="AA1521" s="20"/>
      <c r="AB1521" s="20"/>
      <c r="AC1521" s="20"/>
      <c r="AD1521" s="20"/>
      <c r="AE1521" s="20"/>
    </row>
    <row r="1522" spans="2:31" x14ac:dyDescent="0.25">
      <c r="B1522" s="2"/>
      <c r="C1522" s="19"/>
      <c r="D1522" s="2"/>
      <c r="E1522" s="2"/>
      <c r="F1522" s="19"/>
      <c r="G1522" s="2"/>
      <c r="H1522" s="2"/>
      <c r="I1522" s="2"/>
      <c r="J1522" s="2"/>
      <c r="L1522" s="20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  <c r="AA1522" s="20"/>
      <c r="AB1522" s="20"/>
      <c r="AC1522" s="20"/>
      <c r="AD1522" s="20"/>
      <c r="AE1522" s="20"/>
    </row>
    <row r="1523" spans="2:31" x14ac:dyDescent="0.25">
      <c r="B1523" s="2"/>
      <c r="C1523" s="19"/>
      <c r="D1523" s="2"/>
      <c r="E1523" s="2"/>
      <c r="F1523" s="19"/>
      <c r="G1523" s="2"/>
      <c r="H1523" s="2"/>
      <c r="I1523" s="2"/>
      <c r="J1523" s="2"/>
      <c r="L1523" s="20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  <c r="AA1523" s="20"/>
      <c r="AB1523" s="20"/>
      <c r="AC1523" s="20"/>
      <c r="AD1523" s="20"/>
      <c r="AE1523" s="20"/>
    </row>
    <row r="1524" spans="2:31" x14ac:dyDescent="0.25">
      <c r="B1524" s="2"/>
      <c r="C1524" s="19"/>
      <c r="D1524" s="2"/>
      <c r="E1524" s="2"/>
      <c r="F1524" s="19"/>
      <c r="G1524" s="2"/>
      <c r="H1524" s="2"/>
      <c r="I1524" s="2"/>
      <c r="J1524" s="2"/>
      <c r="L1524" s="20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  <c r="AA1524" s="20"/>
      <c r="AB1524" s="20"/>
      <c r="AC1524" s="20"/>
      <c r="AD1524" s="20"/>
      <c r="AE1524" s="20"/>
    </row>
    <row r="1525" spans="2:31" x14ac:dyDescent="0.25">
      <c r="B1525" s="2"/>
      <c r="C1525" s="19"/>
      <c r="D1525" s="2"/>
      <c r="E1525" s="2"/>
      <c r="F1525" s="19"/>
      <c r="G1525" s="2"/>
      <c r="H1525" s="2"/>
      <c r="I1525" s="2"/>
      <c r="J1525" s="2"/>
      <c r="L1525" s="20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  <c r="AA1525" s="20"/>
      <c r="AB1525" s="20"/>
      <c r="AC1525" s="20"/>
      <c r="AD1525" s="20"/>
      <c r="AE1525" s="20"/>
    </row>
    <row r="1526" spans="2:31" x14ac:dyDescent="0.25">
      <c r="B1526" s="2"/>
      <c r="C1526" s="19"/>
      <c r="D1526" s="2"/>
      <c r="E1526" s="2"/>
      <c r="F1526" s="19"/>
      <c r="G1526" s="2"/>
      <c r="H1526" s="2"/>
      <c r="I1526" s="2"/>
      <c r="J1526" s="2"/>
      <c r="L1526" s="20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  <c r="AA1526" s="20"/>
      <c r="AB1526" s="20"/>
      <c r="AC1526" s="20"/>
      <c r="AD1526" s="20"/>
      <c r="AE1526" s="20"/>
    </row>
    <row r="1527" spans="2:31" x14ac:dyDescent="0.25">
      <c r="B1527" s="2"/>
      <c r="C1527" s="19"/>
      <c r="D1527" s="2"/>
      <c r="E1527" s="2"/>
      <c r="F1527" s="19"/>
      <c r="G1527" s="2"/>
      <c r="H1527" s="2"/>
      <c r="I1527" s="2"/>
      <c r="J1527" s="2"/>
      <c r="L1527" s="20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  <c r="AA1527" s="20"/>
      <c r="AB1527" s="20"/>
      <c r="AC1527" s="20"/>
      <c r="AD1527" s="20"/>
      <c r="AE1527" s="20"/>
    </row>
    <row r="1528" spans="2:31" x14ac:dyDescent="0.25">
      <c r="B1528" s="2"/>
      <c r="C1528" s="19"/>
      <c r="D1528" s="2"/>
      <c r="E1528" s="2"/>
      <c r="F1528" s="19"/>
      <c r="G1528" s="2"/>
      <c r="H1528" s="2"/>
      <c r="I1528" s="2"/>
      <c r="J1528" s="2"/>
      <c r="L1528" s="20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  <c r="AA1528" s="20"/>
      <c r="AB1528" s="20"/>
      <c r="AC1528" s="20"/>
      <c r="AD1528" s="20"/>
      <c r="AE1528" s="20"/>
    </row>
    <row r="1529" spans="2:31" x14ac:dyDescent="0.25">
      <c r="B1529" s="2"/>
      <c r="C1529" s="19"/>
      <c r="D1529" s="2"/>
      <c r="E1529" s="2"/>
      <c r="F1529" s="19"/>
      <c r="G1529" s="2"/>
      <c r="H1529" s="2"/>
      <c r="I1529" s="2"/>
      <c r="J1529" s="2"/>
      <c r="L1529" s="20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  <c r="AA1529" s="20"/>
      <c r="AB1529" s="20"/>
      <c r="AC1529" s="20"/>
      <c r="AD1529" s="20"/>
      <c r="AE1529" s="20"/>
    </row>
    <row r="1530" spans="2:31" x14ac:dyDescent="0.25">
      <c r="B1530" s="2"/>
      <c r="C1530" s="19"/>
      <c r="D1530" s="2"/>
      <c r="E1530" s="2"/>
      <c r="F1530" s="19"/>
      <c r="G1530" s="2"/>
      <c r="H1530" s="2"/>
      <c r="I1530" s="2"/>
      <c r="J1530" s="2"/>
      <c r="L1530" s="20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  <c r="AA1530" s="20"/>
      <c r="AB1530" s="20"/>
      <c r="AC1530" s="20"/>
      <c r="AD1530" s="20"/>
      <c r="AE1530" s="20"/>
    </row>
    <row r="1531" spans="2:31" x14ac:dyDescent="0.25">
      <c r="B1531" s="2"/>
      <c r="C1531" s="19"/>
      <c r="D1531" s="2"/>
      <c r="E1531" s="2"/>
      <c r="F1531" s="19"/>
      <c r="G1531" s="2"/>
      <c r="H1531" s="2"/>
      <c r="I1531" s="2"/>
      <c r="J1531" s="2"/>
      <c r="L1531" s="20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  <c r="AA1531" s="20"/>
      <c r="AB1531" s="20"/>
      <c r="AC1531" s="20"/>
      <c r="AD1531" s="20"/>
      <c r="AE1531" s="20"/>
    </row>
    <row r="1532" spans="2:31" x14ac:dyDescent="0.25">
      <c r="B1532" s="2"/>
      <c r="C1532" s="19"/>
      <c r="D1532" s="2"/>
      <c r="E1532" s="2"/>
      <c r="F1532" s="19"/>
      <c r="G1532" s="2"/>
      <c r="H1532" s="2"/>
      <c r="I1532" s="2"/>
      <c r="J1532" s="2"/>
      <c r="L1532" s="20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  <c r="AA1532" s="20"/>
      <c r="AB1532" s="20"/>
      <c r="AC1532" s="20"/>
      <c r="AD1532" s="20"/>
      <c r="AE1532" s="20"/>
    </row>
    <row r="1533" spans="2:31" x14ac:dyDescent="0.25">
      <c r="B1533" s="2"/>
      <c r="C1533" s="19"/>
      <c r="D1533" s="2"/>
      <c r="E1533" s="2"/>
      <c r="F1533" s="19"/>
      <c r="G1533" s="2"/>
      <c r="H1533" s="2"/>
      <c r="I1533" s="2"/>
      <c r="J1533" s="2"/>
      <c r="L1533" s="20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  <c r="AA1533" s="20"/>
      <c r="AB1533" s="20"/>
      <c r="AC1533" s="20"/>
      <c r="AD1533" s="20"/>
      <c r="AE1533" s="20"/>
    </row>
    <row r="1534" spans="2:31" x14ac:dyDescent="0.25">
      <c r="B1534" s="2"/>
      <c r="C1534" s="19"/>
      <c r="D1534" s="2"/>
      <c r="E1534" s="2"/>
      <c r="F1534" s="19"/>
      <c r="G1534" s="2"/>
      <c r="H1534" s="2"/>
      <c r="I1534" s="2"/>
      <c r="J1534" s="2"/>
      <c r="L1534" s="20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  <c r="AA1534" s="20"/>
      <c r="AB1534" s="20"/>
      <c r="AC1534" s="20"/>
      <c r="AD1534" s="20"/>
      <c r="AE1534" s="20"/>
    </row>
    <row r="1535" spans="2:31" x14ac:dyDescent="0.25">
      <c r="B1535" s="2"/>
      <c r="C1535" s="19"/>
      <c r="D1535" s="2"/>
      <c r="E1535" s="2"/>
      <c r="F1535" s="19"/>
      <c r="G1535" s="2"/>
      <c r="H1535" s="2"/>
      <c r="I1535" s="2"/>
      <c r="J1535" s="2"/>
      <c r="L1535" s="20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  <c r="AA1535" s="20"/>
      <c r="AB1535" s="20"/>
      <c r="AC1535" s="20"/>
      <c r="AD1535" s="20"/>
      <c r="AE1535" s="20"/>
    </row>
    <row r="1536" spans="2:31" x14ac:dyDescent="0.25">
      <c r="B1536" s="2"/>
      <c r="C1536" s="19"/>
      <c r="D1536" s="2"/>
      <c r="E1536" s="2"/>
      <c r="F1536" s="19"/>
      <c r="G1536" s="2"/>
      <c r="H1536" s="2"/>
      <c r="I1536" s="2"/>
      <c r="J1536" s="2"/>
      <c r="L1536" s="20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  <c r="AA1536" s="20"/>
      <c r="AB1536" s="20"/>
      <c r="AC1536" s="20"/>
      <c r="AD1536" s="20"/>
      <c r="AE1536" s="20"/>
    </row>
    <row r="1537" spans="2:31" x14ac:dyDescent="0.25">
      <c r="B1537" s="2"/>
      <c r="C1537" s="19"/>
      <c r="D1537" s="2"/>
      <c r="E1537" s="2"/>
      <c r="F1537" s="19"/>
      <c r="G1537" s="2"/>
      <c r="H1537" s="2"/>
      <c r="I1537" s="2"/>
      <c r="J1537" s="2"/>
      <c r="L1537" s="20"/>
      <c r="M1537" s="20"/>
      <c r="N1537" s="20"/>
      <c r="O1537" s="20"/>
      <c r="P1537" s="20"/>
      <c r="Q1537" s="20"/>
      <c r="R1537" s="20"/>
      <c r="S1537" s="20"/>
      <c r="T1537" s="20"/>
      <c r="U1537" s="20"/>
      <c r="V1537" s="20"/>
      <c r="W1537" s="20"/>
      <c r="X1537" s="20"/>
      <c r="Y1537" s="20"/>
      <c r="Z1537" s="20"/>
      <c r="AA1537" s="20"/>
      <c r="AB1537" s="20"/>
      <c r="AC1537" s="20"/>
      <c r="AD1537" s="20"/>
      <c r="AE1537" s="20"/>
    </row>
    <row r="1538" spans="2:31" x14ac:dyDescent="0.25">
      <c r="B1538" s="2"/>
      <c r="C1538" s="19"/>
      <c r="D1538" s="2"/>
      <c r="E1538" s="2"/>
      <c r="F1538" s="19"/>
      <c r="G1538" s="2"/>
      <c r="H1538" s="2"/>
      <c r="I1538" s="2"/>
      <c r="J1538" s="2"/>
      <c r="L1538" s="20"/>
      <c r="M1538" s="20"/>
      <c r="N1538" s="20"/>
      <c r="O1538" s="20"/>
      <c r="P1538" s="20"/>
      <c r="Q1538" s="20"/>
      <c r="R1538" s="20"/>
      <c r="S1538" s="20"/>
      <c r="T1538" s="20"/>
      <c r="U1538" s="20"/>
      <c r="V1538" s="20"/>
      <c r="W1538" s="20"/>
      <c r="X1538" s="20"/>
      <c r="Y1538" s="20"/>
      <c r="Z1538" s="20"/>
      <c r="AA1538" s="20"/>
      <c r="AB1538" s="20"/>
      <c r="AC1538" s="20"/>
      <c r="AD1538" s="20"/>
      <c r="AE1538" s="20"/>
    </row>
    <row r="1539" spans="2:31" x14ac:dyDescent="0.25">
      <c r="B1539" s="2"/>
      <c r="C1539" s="19"/>
      <c r="D1539" s="2"/>
      <c r="E1539" s="2"/>
      <c r="F1539" s="19"/>
      <c r="G1539" s="2"/>
      <c r="H1539" s="2"/>
      <c r="I1539" s="2"/>
      <c r="J1539" s="2"/>
      <c r="L1539" s="20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  <c r="AA1539" s="20"/>
      <c r="AB1539" s="20"/>
      <c r="AC1539" s="20"/>
      <c r="AD1539" s="20"/>
      <c r="AE1539" s="20"/>
    </row>
    <row r="1540" spans="2:31" x14ac:dyDescent="0.25">
      <c r="B1540" s="2"/>
      <c r="C1540" s="19"/>
      <c r="D1540" s="2"/>
      <c r="E1540" s="2"/>
      <c r="F1540" s="19"/>
      <c r="G1540" s="2"/>
      <c r="H1540" s="2"/>
      <c r="I1540" s="2"/>
      <c r="J1540" s="2"/>
      <c r="L1540" s="20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  <c r="AA1540" s="20"/>
      <c r="AB1540" s="20"/>
      <c r="AC1540" s="20"/>
      <c r="AD1540" s="20"/>
      <c r="AE1540" s="20"/>
    </row>
    <row r="1541" spans="2:31" x14ac:dyDescent="0.25">
      <c r="B1541" s="2"/>
      <c r="C1541" s="19"/>
      <c r="D1541" s="2"/>
      <c r="E1541" s="2"/>
      <c r="F1541" s="19"/>
      <c r="G1541" s="2"/>
      <c r="H1541" s="2"/>
      <c r="I1541" s="2"/>
      <c r="J1541" s="2"/>
      <c r="L1541" s="20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  <c r="AA1541" s="20"/>
      <c r="AB1541" s="20"/>
      <c r="AC1541" s="20"/>
      <c r="AD1541" s="20"/>
      <c r="AE1541" s="20"/>
    </row>
    <row r="1542" spans="2:31" x14ac:dyDescent="0.25">
      <c r="B1542" s="2"/>
      <c r="C1542" s="19"/>
      <c r="D1542" s="2"/>
      <c r="E1542" s="2"/>
      <c r="F1542" s="19"/>
      <c r="G1542" s="2"/>
      <c r="H1542" s="2"/>
      <c r="I1542" s="2"/>
      <c r="J1542" s="2"/>
      <c r="L1542" s="20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  <c r="AA1542" s="20"/>
      <c r="AB1542" s="20"/>
      <c r="AC1542" s="20"/>
      <c r="AD1542" s="20"/>
      <c r="AE1542" s="20"/>
    </row>
    <row r="1543" spans="2:31" x14ac:dyDescent="0.25">
      <c r="B1543" s="2"/>
      <c r="C1543" s="19"/>
      <c r="D1543" s="2"/>
      <c r="E1543" s="2"/>
      <c r="F1543" s="19"/>
      <c r="G1543" s="2"/>
      <c r="H1543" s="2"/>
      <c r="I1543" s="2"/>
      <c r="J1543" s="2"/>
      <c r="L1543" s="20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  <c r="AA1543" s="20"/>
      <c r="AB1543" s="20"/>
      <c r="AC1543" s="20"/>
      <c r="AD1543" s="20"/>
      <c r="AE1543" s="20"/>
    </row>
    <row r="1544" spans="2:31" x14ac:dyDescent="0.25">
      <c r="B1544" s="2"/>
      <c r="C1544" s="19"/>
      <c r="D1544" s="2"/>
      <c r="E1544" s="2"/>
      <c r="F1544" s="19"/>
      <c r="G1544" s="2"/>
      <c r="H1544" s="2"/>
      <c r="I1544" s="2"/>
      <c r="J1544" s="2"/>
      <c r="L1544" s="20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  <c r="AA1544" s="20"/>
      <c r="AB1544" s="20"/>
      <c r="AC1544" s="20"/>
      <c r="AD1544" s="20"/>
      <c r="AE1544" s="20"/>
    </row>
    <row r="1545" spans="2:31" x14ac:dyDescent="0.25">
      <c r="B1545" s="2"/>
      <c r="C1545" s="19"/>
      <c r="D1545" s="2"/>
      <c r="E1545" s="2"/>
      <c r="F1545" s="19"/>
      <c r="G1545" s="2"/>
      <c r="H1545" s="2"/>
      <c r="I1545" s="2"/>
      <c r="J1545" s="2"/>
      <c r="L1545" s="20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  <c r="AA1545" s="20"/>
      <c r="AB1545" s="20"/>
      <c r="AC1545" s="20"/>
      <c r="AD1545" s="20"/>
      <c r="AE1545" s="20"/>
    </row>
    <row r="1546" spans="2:31" x14ac:dyDescent="0.25">
      <c r="B1546" s="2"/>
      <c r="C1546" s="19"/>
      <c r="D1546" s="2"/>
      <c r="E1546" s="2"/>
      <c r="F1546" s="19"/>
      <c r="G1546" s="2"/>
      <c r="H1546" s="2"/>
      <c r="I1546" s="2"/>
      <c r="J1546" s="2"/>
      <c r="L1546" s="20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  <c r="AA1546" s="20"/>
      <c r="AB1546" s="20"/>
      <c r="AC1546" s="20"/>
      <c r="AD1546" s="20"/>
      <c r="AE1546" s="20"/>
    </row>
    <row r="1547" spans="2:31" x14ac:dyDescent="0.25">
      <c r="B1547" s="2"/>
      <c r="C1547" s="19"/>
      <c r="D1547" s="2"/>
      <c r="E1547" s="2"/>
      <c r="F1547" s="19"/>
      <c r="G1547" s="2"/>
      <c r="H1547" s="2"/>
      <c r="I1547" s="2"/>
      <c r="J1547" s="2"/>
      <c r="L1547" s="20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  <c r="AA1547" s="20"/>
      <c r="AB1547" s="20"/>
      <c r="AC1547" s="20"/>
      <c r="AD1547" s="20"/>
      <c r="AE1547" s="20"/>
    </row>
    <row r="1548" spans="2:31" x14ac:dyDescent="0.25">
      <c r="B1548" s="2"/>
      <c r="C1548" s="19"/>
      <c r="D1548" s="2"/>
      <c r="E1548" s="2"/>
      <c r="F1548" s="19"/>
      <c r="G1548" s="2"/>
      <c r="H1548" s="2"/>
      <c r="I1548" s="2"/>
      <c r="J1548" s="2"/>
      <c r="L1548" s="20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  <c r="AA1548" s="20"/>
      <c r="AB1548" s="20"/>
      <c r="AC1548" s="20"/>
      <c r="AD1548" s="20"/>
      <c r="AE1548" s="20"/>
    </row>
    <row r="1549" spans="2:31" x14ac:dyDescent="0.25">
      <c r="B1549" s="2"/>
      <c r="C1549" s="19"/>
      <c r="D1549" s="2"/>
      <c r="E1549" s="2"/>
      <c r="F1549" s="19"/>
      <c r="G1549" s="2"/>
      <c r="H1549" s="2"/>
      <c r="I1549" s="2"/>
      <c r="J1549" s="2"/>
      <c r="L1549" s="20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  <c r="AA1549" s="20"/>
      <c r="AB1549" s="20"/>
      <c r="AC1549" s="20"/>
      <c r="AD1549" s="20"/>
      <c r="AE1549" s="20"/>
    </row>
    <row r="1550" spans="2:31" x14ac:dyDescent="0.25">
      <c r="B1550" s="2"/>
      <c r="C1550" s="19"/>
      <c r="D1550" s="2"/>
      <c r="E1550" s="2"/>
      <c r="F1550" s="19"/>
      <c r="G1550" s="2"/>
      <c r="H1550" s="2"/>
      <c r="I1550" s="2"/>
      <c r="J1550" s="2"/>
      <c r="L1550" s="20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  <c r="AA1550" s="20"/>
      <c r="AB1550" s="20"/>
      <c r="AC1550" s="20"/>
      <c r="AD1550" s="20"/>
      <c r="AE1550" s="20"/>
    </row>
    <row r="1551" spans="2:31" x14ac:dyDescent="0.25">
      <c r="B1551" s="2"/>
      <c r="C1551" s="19"/>
      <c r="D1551" s="2"/>
      <c r="E1551" s="2"/>
      <c r="F1551" s="19"/>
      <c r="G1551" s="2"/>
      <c r="H1551" s="2"/>
      <c r="I1551" s="2"/>
      <c r="J1551" s="2"/>
      <c r="L1551" s="20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  <c r="AA1551" s="20"/>
      <c r="AB1551" s="20"/>
      <c r="AC1551" s="20"/>
      <c r="AD1551" s="20"/>
      <c r="AE1551" s="20"/>
    </row>
    <row r="1552" spans="2:31" x14ac:dyDescent="0.25">
      <c r="B1552" s="2"/>
      <c r="C1552" s="19"/>
      <c r="D1552" s="2"/>
      <c r="E1552" s="2"/>
      <c r="F1552" s="19"/>
      <c r="G1552" s="2"/>
      <c r="H1552" s="2"/>
      <c r="I1552" s="2"/>
      <c r="J1552" s="2"/>
      <c r="L1552" s="20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  <c r="AA1552" s="20"/>
      <c r="AB1552" s="20"/>
      <c r="AC1552" s="20"/>
      <c r="AD1552" s="20"/>
      <c r="AE1552" s="20"/>
    </row>
    <row r="1553" spans="2:31" x14ac:dyDescent="0.25">
      <c r="B1553" s="2"/>
      <c r="C1553" s="19"/>
      <c r="D1553" s="2"/>
      <c r="E1553" s="2"/>
      <c r="F1553" s="19"/>
      <c r="G1553" s="2"/>
      <c r="H1553" s="2"/>
      <c r="I1553" s="2"/>
      <c r="J1553" s="2"/>
      <c r="L1553" s="20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  <c r="AA1553" s="20"/>
      <c r="AB1553" s="20"/>
      <c r="AC1553" s="20"/>
      <c r="AD1553" s="20"/>
      <c r="AE1553" s="20"/>
    </row>
    <row r="1554" spans="2:31" x14ac:dyDescent="0.25">
      <c r="B1554" s="2"/>
      <c r="C1554" s="19"/>
      <c r="D1554" s="2"/>
      <c r="E1554" s="2"/>
      <c r="F1554" s="19"/>
      <c r="G1554" s="2"/>
      <c r="H1554" s="2"/>
      <c r="I1554" s="2"/>
      <c r="J1554" s="2"/>
      <c r="L1554" s="20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  <c r="AA1554" s="20"/>
      <c r="AB1554" s="20"/>
      <c r="AC1554" s="20"/>
      <c r="AD1554" s="20"/>
      <c r="AE1554" s="20"/>
    </row>
    <row r="1555" spans="2:31" x14ac:dyDescent="0.25">
      <c r="B1555" s="2"/>
      <c r="C1555" s="19"/>
      <c r="D1555" s="2"/>
      <c r="E1555" s="2"/>
      <c r="F1555" s="19"/>
      <c r="G1555" s="2"/>
      <c r="H1555" s="2"/>
      <c r="I1555" s="2"/>
      <c r="J1555" s="2"/>
      <c r="L1555" s="20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  <c r="AA1555" s="20"/>
      <c r="AB1555" s="20"/>
      <c r="AC1555" s="20"/>
      <c r="AD1555" s="20"/>
      <c r="AE1555" s="20"/>
    </row>
    <row r="1556" spans="2:31" x14ac:dyDescent="0.25">
      <c r="B1556" s="2"/>
      <c r="C1556" s="19"/>
      <c r="D1556" s="2"/>
      <c r="E1556" s="2"/>
      <c r="F1556" s="19"/>
      <c r="G1556" s="2"/>
      <c r="H1556" s="2"/>
      <c r="I1556" s="2"/>
      <c r="J1556" s="2"/>
      <c r="L1556" s="20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  <c r="AA1556" s="20"/>
      <c r="AB1556" s="20"/>
      <c r="AC1556" s="20"/>
      <c r="AD1556" s="20"/>
      <c r="AE1556" s="20"/>
    </row>
    <row r="1557" spans="2:31" x14ac:dyDescent="0.25">
      <c r="B1557" s="2"/>
      <c r="C1557" s="19"/>
      <c r="D1557" s="2"/>
      <c r="E1557" s="2"/>
      <c r="F1557" s="19"/>
      <c r="G1557" s="2"/>
      <c r="H1557" s="2"/>
      <c r="I1557" s="2"/>
      <c r="J1557" s="2"/>
      <c r="L1557" s="20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  <c r="AA1557" s="20"/>
      <c r="AB1557" s="20"/>
      <c r="AC1557" s="20"/>
      <c r="AD1557" s="20"/>
      <c r="AE1557" s="20"/>
    </row>
    <row r="1558" spans="2:31" x14ac:dyDescent="0.25">
      <c r="B1558" s="2"/>
      <c r="C1558" s="19"/>
      <c r="D1558" s="2"/>
      <c r="E1558" s="2"/>
      <c r="F1558" s="19"/>
      <c r="G1558" s="2"/>
      <c r="H1558" s="2"/>
      <c r="I1558" s="2"/>
      <c r="J1558" s="2"/>
      <c r="L1558" s="20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  <c r="AA1558" s="20"/>
      <c r="AB1558" s="20"/>
      <c r="AC1558" s="20"/>
      <c r="AD1558" s="20"/>
      <c r="AE1558" s="20"/>
    </row>
    <row r="1559" spans="2:31" x14ac:dyDescent="0.25">
      <c r="B1559" s="2"/>
      <c r="C1559" s="19"/>
      <c r="D1559" s="2"/>
      <c r="E1559" s="2"/>
      <c r="F1559" s="19"/>
      <c r="G1559" s="2"/>
      <c r="H1559" s="2"/>
      <c r="I1559" s="2"/>
      <c r="J1559" s="2"/>
      <c r="L1559" s="20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  <c r="AA1559" s="20"/>
      <c r="AB1559" s="20"/>
      <c r="AC1559" s="20"/>
      <c r="AD1559" s="20"/>
      <c r="AE1559" s="20"/>
    </row>
    <row r="1560" spans="2:31" x14ac:dyDescent="0.25">
      <c r="B1560" s="2"/>
      <c r="C1560" s="19"/>
      <c r="D1560" s="2"/>
      <c r="E1560" s="2"/>
      <c r="F1560" s="19"/>
      <c r="G1560" s="2"/>
      <c r="H1560" s="2"/>
      <c r="I1560" s="2"/>
      <c r="J1560" s="2"/>
      <c r="L1560" s="20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  <c r="AA1560" s="20"/>
      <c r="AB1560" s="20"/>
      <c r="AC1560" s="20"/>
      <c r="AD1560" s="20"/>
      <c r="AE1560" s="20"/>
    </row>
    <row r="1561" spans="2:31" x14ac:dyDescent="0.25">
      <c r="B1561" s="2"/>
      <c r="C1561" s="19"/>
      <c r="D1561" s="2"/>
      <c r="E1561" s="2"/>
      <c r="F1561" s="19"/>
      <c r="G1561" s="2"/>
      <c r="H1561" s="2"/>
      <c r="I1561" s="2"/>
      <c r="J1561" s="2"/>
      <c r="L1561" s="20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  <c r="AA1561" s="20"/>
      <c r="AB1561" s="20"/>
      <c r="AC1561" s="20"/>
      <c r="AD1561" s="20"/>
      <c r="AE1561" s="20"/>
    </row>
    <row r="1562" spans="2:31" x14ac:dyDescent="0.25">
      <c r="B1562" s="2"/>
      <c r="C1562" s="19"/>
      <c r="D1562" s="2"/>
      <c r="E1562" s="2"/>
      <c r="F1562" s="19"/>
      <c r="G1562" s="2"/>
      <c r="H1562" s="2"/>
      <c r="I1562" s="2"/>
      <c r="J1562" s="2"/>
      <c r="L1562" s="20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  <c r="AA1562" s="20"/>
      <c r="AB1562" s="20"/>
      <c r="AC1562" s="20"/>
      <c r="AD1562" s="20"/>
      <c r="AE1562" s="20"/>
    </row>
    <row r="1563" spans="2:31" x14ac:dyDescent="0.25">
      <c r="B1563" s="2"/>
      <c r="C1563" s="19"/>
      <c r="D1563" s="2"/>
      <c r="E1563" s="2"/>
      <c r="F1563" s="19"/>
      <c r="G1563" s="2"/>
      <c r="H1563" s="2"/>
      <c r="I1563" s="2"/>
      <c r="J1563" s="2"/>
      <c r="L1563" s="20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  <c r="AA1563" s="20"/>
      <c r="AB1563" s="20"/>
      <c r="AC1563" s="20"/>
      <c r="AD1563" s="20"/>
      <c r="AE1563" s="20"/>
    </row>
    <row r="1564" spans="2:31" x14ac:dyDescent="0.25">
      <c r="B1564" s="2"/>
      <c r="C1564" s="19"/>
      <c r="D1564" s="2"/>
      <c r="E1564" s="2"/>
      <c r="F1564" s="19"/>
      <c r="G1564" s="2"/>
      <c r="H1564" s="2"/>
      <c r="I1564" s="2"/>
      <c r="J1564" s="2"/>
      <c r="L1564" s="20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  <c r="AA1564" s="20"/>
      <c r="AB1564" s="20"/>
      <c r="AC1564" s="20"/>
      <c r="AD1564" s="20"/>
      <c r="AE1564" s="20"/>
    </row>
    <row r="1565" spans="2:31" x14ac:dyDescent="0.25">
      <c r="B1565" s="2"/>
      <c r="C1565" s="19"/>
      <c r="D1565" s="2"/>
      <c r="E1565" s="2"/>
      <c r="F1565" s="19"/>
      <c r="G1565" s="2"/>
      <c r="H1565" s="2"/>
      <c r="I1565" s="2"/>
      <c r="J1565" s="2"/>
      <c r="L1565" s="20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  <c r="AA1565" s="20"/>
      <c r="AB1565" s="20"/>
      <c r="AC1565" s="20"/>
      <c r="AD1565" s="20"/>
      <c r="AE1565" s="20"/>
    </row>
    <row r="1566" spans="2:31" x14ac:dyDescent="0.25">
      <c r="B1566" s="2"/>
      <c r="C1566" s="19"/>
      <c r="D1566" s="2"/>
      <c r="E1566" s="2"/>
      <c r="F1566" s="19"/>
      <c r="G1566" s="2"/>
      <c r="H1566" s="2"/>
      <c r="I1566" s="2"/>
      <c r="J1566" s="2"/>
      <c r="L1566" s="20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  <c r="AA1566" s="20"/>
      <c r="AB1566" s="20"/>
      <c r="AC1566" s="20"/>
      <c r="AD1566" s="20"/>
      <c r="AE1566" s="20"/>
    </row>
    <row r="1567" spans="2:31" x14ac:dyDescent="0.25">
      <c r="B1567" s="2"/>
      <c r="C1567" s="19"/>
      <c r="D1567" s="2"/>
      <c r="E1567" s="2"/>
      <c r="F1567" s="19"/>
      <c r="G1567" s="2"/>
      <c r="H1567" s="2"/>
      <c r="I1567" s="2"/>
      <c r="J1567" s="2"/>
      <c r="L1567" s="20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  <c r="AA1567" s="20"/>
      <c r="AB1567" s="20"/>
      <c r="AC1567" s="20"/>
      <c r="AD1567" s="20"/>
      <c r="AE1567" s="20"/>
    </row>
    <row r="1568" spans="2:31" x14ac:dyDescent="0.25">
      <c r="B1568" s="2"/>
      <c r="C1568" s="19"/>
      <c r="D1568" s="2"/>
      <c r="E1568" s="2"/>
      <c r="F1568" s="19"/>
      <c r="G1568" s="2"/>
      <c r="H1568" s="2"/>
      <c r="I1568" s="2"/>
      <c r="J1568" s="2"/>
      <c r="L1568" s="20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  <c r="AA1568" s="20"/>
      <c r="AB1568" s="20"/>
      <c r="AC1568" s="20"/>
      <c r="AD1568" s="20"/>
      <c r="AE1568" s="20"/>
    </row>
    <row r="1569" spans="2:31" x14ac:dyDescent="0.25">
      <c r="B1569" s="2"/>
      <c r="C1569" s="19"/>
      <c r="D1569" s="2"/>
      <c r="E1569" s="2"/>
      <c r="F1569" s="19"/>
      <c r="G1569" s="2"/>
      <c r="H1569" s="2"/>
      <c r="I1569" s="2"/>
      <c r="J1569" s="2"/>
      <c r="L1569" s="20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  <c r="AA1569" s="20"/>
      <c r="AB1569" s="20"/>
      <c r="AC1569" s="20"/>
      <c r="AD1569" s="20"/>
      <c r="AE1569" s="20"/>
    </row>
    <row r="1570" spans="2:31" x14ac:dyDescent="0.25">
      <c r="B1570" s="2"/>
      <c r="C1570" s="19"/>
      <c r="D1570" s="2"/>
      <c r="E1570" s="2"/>
      <c r="F1570" s="19"/>
      <c r="G1570" s="2"/>
      <c r="H1570" s="2"/>
      <c r="I1570" s="2"/>
      <c r="J1570" s="2"/>
      <c r="L1570" s="20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  <c r="AA1570" s="20"/>
      <c r="AB1570" s="20"/>
      <c r="AC1570" s="20"/>
      <c r="AD1570" s="20"/>
      <c r="AE1570" s="20"/>
    </row>
    <row r="1571" spans="2:31" x14ac:dyDescent="0.25">
      <c r="B1571" s="2"/>
      <c r="C1571" s="19"/>
      <c r="D1571" s="2"/>
      <c r="E1571" s="2"/>
      <c r="F1571" s="19"/>
      <c r="G1571" s="2"/>
      <c r="H1571" s="2"/>
      <c r="I1571" s="2"/>
      <c r="J1571" s="2"/>
      <c r="L1571" s="20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  <c r="AA1571" s="20"/>
      <c r="AB1571" s="20"/>
      <c r="AC1571" s="20"/>
      <c r="AD1571" s="20"/>
      <c r="AE1571" s="20"/>
    </row>
    <row r="1572" spans="2:31" x14ac:dyDescent="0.25">
      <c r="B1572" s="2"/>
      <c r="C1572" s="19"/>
      <c r="D1572" s="2"/>
      <c r="E1572" s="2"/>
      <c r="F1572" s="19"/>
      <c r="G1572" s="2"/>
      <c r="H1572" s="2"/>
      <c r="I1572" s="2"/>
      <c r="J1572" s="2"/>
      <c r="L1572" s="20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  <c r="AA1572" s="20"/>
      <c r="AB1572" s="20"/>
      <c r="AC1572" s="20"/>
      <c r="AD1572" s="20"/>
      <c r="AE1572" s="20"/>
    </row>
    <row r="1573" spans="2:31" x14ac:dyDescent="0.25">
      <c r="B1573" s="2"/>
      <c r="C1573" s="19"/>
      <c r="D1573" s="2"/>
      <c r="E1573" s="2"/>
      <c r="F1573" s="19"/>
      <c r="G1573" s="2"/>
      <c r="H1573" s="2"/>
      <c r="I1573" s="2"/>
      <c r="J1573" s="2"/>
      <c r="L1573" s="20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  <c r="AA1573" s="20"/>
      <c r="AB1573" s="20"/>
      <c r="AC1573" s="20"/>
      <c r="AD1573" s="20"/>
      <c r="AE1573" s="20"/>
    </row>
    <row r="1574" spans="2:31" x14ac:dyDescent="0.25">
      <c r="B1574" s="2"/>
      <c r="C1574" s="19"/>
      <c r="D1574" s="2"/>
      <c r="E1574" s="2"/>
      <c r="F1574" s="19"/>
      <c r="G1574" s="2"/>
      <c r="H1574" s="2"/>
      <c r="I1574" s="2"/>
      <c r="J1574" s="2"/>
      <c r="L1574" s="20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  <c r="AA1574" s="20"/>
      <c r="AB1574" s="20"/>
      <c r="AC1574" s="20"/>
      <c r="AD1574" s="20"/>
      <c r="AE1574" s="20"/>
    </row>
    <row r="1575" spans="2:31" x14ac:dyDescent="0.25">
      <c r="B1575" s="2"/>
      <c r="C1575" s="19"/>
      <c r="D1575" s="2"/>
      <c r="E1575" s="2"/>
      <c r="F1575" s="19"/>
      <c r="G1575" s="2"/>
      <c r="H1575" s="2"/>
      <c r="I1575" s="2"/>
      <c r="J1575" s="2"/>
      <c r="L1575" s="20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  <c r="AA1575" s="20"/>
      <c r="AB1575" s="20"/>
      <c r="AC1575" s="20"/>
      <c r="AD1575" s="20"/>
      <c r="AE1575" s="20"/>
    </row>
    <row r="1576" spans="2:31" x14ac:dyDescent="0.25">
      <c r="B1576" s="2"/>
      <c r="C1576" s="19"/>
      <c r="D1576" s="2"/>
      <c r="E1576" s="2"/>
      <c r="F1576" s="19"/>
      <c r="G1576" s="2"/>
      <c r="H1576" s="2"/>
      <c r="I1576" s="2"/>
      <c r="J1576" s="2"/>
      <c r="L1576" s="20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  <c r="AA1576" s="20"/>
      <c r="AB1576" s="20"/>
      <c r="AC1576" s="20"/>
      <c r="AD1576" s="20"/>
      <c r="AE1576" s="20"/>
    </row>
    <row r="1577" spans="2:31" x14ac:dyDescent="0.25">
      <c r="B1577" s="2"/>
      <c r="C1577" s="19"/>
      <c r="D1577" s="2"/>
      <c r="E1577" s="2"/>
      <c r="F1577" s="19"/>
      <c r="G1577" s="2"/>
      <c r="H1577" s="2"/>
      <c r="I1577" s="2"/>
      <c r="J1577" s="2"/>
      <c r="L1577" s="20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  <c r="AA1577" s="20"/>
      <c r="AB1577" s="20"/>
      <c r="AC1577" s="20"/>
      <c r="AD1577" s="20"/>
      <c r="AE1577" s="20"/>
    </row>
    <row r="1578" spans="2:31" x14ac:dyDescent="0.25">
      <c r="B1578" s="2"/>
      <c r="C1578" s="19"/>
      <c r="D1578" s="2"/>
      <c r="E1578" s="2"/>
      <c r="F1578" s="19"/>
      <c r="G1578" s="2"/>
      <c r="H1578" s="2"/>
      <c r="I1578" s="2"/>
      <c r="J1578" s="2"/>
      <c r="L1578" s="20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  <c r="AA1578" s="20"/>
      <c r="AB1578" s="20"/>
      <c r="AC1578" s="20"/>
      <c r="AD1578" s="20"/>
      <c r="AE1578" s="20"/>
    </row>
    <row r="1579" spans="2:31" x14ac:dyDescent="0.25">
      <c r="B1579" s="2"/>
      <c r="C1579" s="19"/>
      <c r="D1579" s="2"/>
      <c r="E1579" s="2"/>
      <c r="F1579" s="19"/>
      <c r="G1579" s="2"/>
      <c r="H1579" s="2"/>
      <c r="I1579" s="2"/>
      <c r="J1579" s="2"/>
      <c r="L1579" s="20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  <c r="AA1579" s="20"/>
      <c r="AB1579" s="20"/>
      <c r="AC1579" s="20"/>
      <c r="AD1579" s="20"/>
      <c r="AE1579" s="20"/>
    </row>
    <row r="1580" spans="2:31" x14ac:dyDescent="0.25">
      <c r="B1580" s="2"/>
      <c r="C1580" s="19"/>
      <c r="D1580" s="2"/>
      <c r="E1580" s="2"/>
      <c r="F1580" s="19"/>
      <c r="G1580" s="2"/>
      <c r="H1580" s="2"/>
      <c r="I1580" s="2"/>
      <c r="J1580" s="2"/>
      <c r="L1580" s="20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  <c r="AA1580" s="20"/>
      <c r="AB1580" s="20"/>
      <c r="AC1580" s="20"/>
      <c r="AD1580" s="20"/>
      <c r="AE1580" s="20"/>
    </row>
    <row r="1581" spans="2:31" x14ac:dyDescent="0.25">
      <c r="B1581" s="2"/>
      <c r="C1581" s="19"/>
      <c r="D1581" s="2"/>
      <c r="E1581" s="2"/>
      <c r="F1581" s="19"/>
      <c r="G1581" s="2"/>
      <c r="H1581" s="2"/>
      <c r="I1581" s="2"/>
      <c r="J1581" s="2"/>
      <c r="L1581" s="20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  <c r="AA1581" s="20"/>
      <c r="AB1581" s="20"/>
      <c r="AC1581" s="20"/>
      <c r="AD1581" s="20"/>
      <c r="AE1581" s="20"/>
    </row>
    <row r="1582" spans="2:31" x14ac:dyDescent="0.25">
      <c r="B1582" s="2"/>
      <c r="C1582" s="19"/>
      <c r="D1582" s="2"/>
      <c r="E1582" s="2"/>
      <c r="F1582" s="19"/>
      <c r="G1582" s="2"/>
      <c r="H1582" s="2"/>
      <c r="I1582" s="2"/>
      <c r="J1582" s="2"/>
      <c r="L1582" s="20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  <c r="AA1582" s="20"/>
      <c r="AB1582" s="20"/>
      <c r="AC1582" s="20"/>
      <c r="AD1582" s="20"/>
      <c r="AE1582" s="20"/>
    </row>
    <row r="1583" spans="2:31" x14ac:dyDescent="0.25">
      <c r="B1583" s="2"/>
      <c r="C1583" s="19"/>
      <c r="D1583" s="2"/>
      <c r="E1583" s="2"/>
      <c r="F1583" s="19"/>
      <c r="G1583" s="2"/>
      <c r="H1583" s="2"/>
      <c r="I1583" s="2"/>
      <c r="J1583" s="2"/>
      <c r="L1583" s="20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  <c r="AA1583" s="20"/>
      <c r="AB1583" s="20"/>
      <c r="AC1583" s="20"/>
      <c r="AD1583" s="20"/>
      <c r="AE1583" s="20"/>
    </row>
    <row r="1584" spans="2:31" x14ac:dyDescent="0.25">
      <c r="B1584" s="2"/>
      <c r="C1584" s="19"/>
      <c r="D1584" s="2"/>
      <c r="E1584" s="2"/>
      <c r="F1584" s="19"/>
      <c r="G1584" s="2"/>
      <c r="H1584" s="2"/>
      <c r="I1584" s="2"/>
      <c r="J1584" s="2"/>
      <c r="L1584" s="20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  <c r="AA1584" s="20"/>
      <c r="AB1584" s="20"/>
      <c r="AC1584" s="20"/>
      <c r="AD1584" s="20"/>
      <c r="AE1584" s="20"/>
    </row>
    <row r="1585" spans="2:31" x14ac:dyDescent="0.25">
      <c r="B1585" s="2"/>
      <c r="C1585" s="19"/>
      <c r="D1585" s="2"/>
      <c r="E1585" s="2"/>
      <c r="F1585" s="19"/>
      <c r="G1585" s="2"/>
      <c r="H1585" s="2"/>
      <c r="I1585" s="2"/>
      <c r="J1585" s="2"/>
      <c r="L1585" s="20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  <c r="AA1585" s="20"/>
      <c r="AB1585" s="20"/>
      <c r="AC1585" s="20"/>
      <c r="AD1585" s="20"/>
      <c r="AE1585" s="20"/>
    </row>
    <row r="1586" spans="2:31" x14ac:dyDescent="0.25">
      <c r="B1586" s="2"/>
      <c r="C1586" s="19"/>
      <c r="D1586" s="2"/>
      <c r="E1586" s="2"/>
      <c r="F1586" s="19"/>
      <c r="G1586" s="2"/>
      <c r="H1586" s="2"/>
      <c r="I1586" s="2"/>
      <c r="J1586" s="2"/>
      <c r="L1586" s="20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  <c r="AA1586" s="20"/>
      <c r="AB1586" s="20"/>
      <c r="AC1586" s="20"/>
      <c r="AD1586" s="20"/>
      <c r="AE1586" s="20"/>
    </row>
    <row r="1587" spans="2:31" x14ac:dyDescent="0.25">
      <c r="B1587" s="2"/>
      <c r="C1587" s="19"/>
      <c r="D1587" s="2"/>
      <c r="E1587" s="2"/>
      <c r="F1587" s="19"/>
      <c r="G1587" s="2"/>
      <c r="H1587" s="2"/>
      <c r="I1587" s="2"/>
      <c r="J1587" s="2"/>
      <c r="L1587" s="20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  <c r="AA1587" s="20"/>
      <c r="AB1587" s="20"/>
      <c r="AC1587" s="20"/>
      <c r="AD1587" s="20"/>
      <c r="AE1587" s="20"/>
    </row>
    <row r="1588" spans="2:31" x14ac:dyDescent="0.25">
      <c r="B1588" s="2"/>
      <c r="C1588" s="19"/>
      <c r="D1588" s="2"/>
      <c r="E1588" s="2"/>
      <c r="F1588" s="19"/>
      <c r="G1588" s="2"/>
      <c r="H1588" s="2"/>
      <c r="I1588" s="2"/>
      <c r="J1588" s="2"/>
      <c r="L1588" s="20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  <c r="AA1588" s="20"/>
      <c r="AB1588" s="20"/>
      <c r="AC1588" s="20"/>
      <c r="AD1588" s="20"/>
      <c r="AE1588" s="20"/>
    </row>
    <row r="1589" spans="2:31" x14ac:dyDescent="0.25">
      <c r="B1589" s="2"/>
      <c r="C1589" s="19"/>
      <c r="D1589" s="2"/>
      <c r="E1589" s="2"/>
      <c r="F1589" s="19"/>
      <c r="G1589" s="2"/>
      <c r="H1589" s="2"/>
      <c r="I1589" s="2"/>
      <c r="J1589" s="2"/>
      <c r="L1589" s="20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  <c r="AA1589" s="20"/>
      <c r="AB1589" s="20"/>
      <c r="AC1589" s="20"/>
      <c r="AD1589" s="20"/>
      <c r="AE1589" s="20"/>
    </row>
    <row r="1590" spans="2:31" x14ac:dyDescent="0.25">
      <c r="B1590" s="2"/>
      <c r="C1590" s="19"/>
      <c r="D1590" s="2"/>
      <c r="E1590" s="2"/>
      <c r="F1590" s="19"/>
      <c r="G1590" s="2"/>
      <c r="H1590" s="2"/>
      <c r="I1590" s="2"/>
      <c r="J1590" s="2"/>
      <c r="L1590" s="20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  <c r="AA1590" s="20"/>
      <c r="AB1590" s="20"/>
      <c r="AC1590" s="20"/>
      <c r="AD1590" s="20"/>
      <c r="AE1590" s="20"/>
    </row>
    <row r="1591" spans="2:31" x14ac:dyDescent="0.25">
      <c r="B1591" s="2"/>
      <c r="C1591" s="19"/>
      <c r="D1591" s="2"/>
      <c r="E1591" s="2"/>
      <c r="F1591" s="19"/>
      <c r="G1591" s="2"/>
      <c r="H1591" s="2"/>
      <c r="I1591" s="2"/>
      <c r="J1591" s="2"/>
      <c r="L1591" s="20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  <c r="AA1591" s="20"/>
      <c r="AB1591" s="20"/>
      <c r="AC1591" s="20"/>
      <c r="AD1591" s="20"/>
      <c r="AE1591" s="20"/>
    </row>
    <row r="1592" spans="2:31" x14ac:dyDescent="0.25">
      <c r="B1592" s="2"/>
      <c r="C1592" s="19"/>
      <c r="D1592" s="2"/>
      <c r="E1592" s="2"/>
      <c r="F1592" s="19"/>
      <c r="G1592" s="2"/>
      <c r="H1592" s="2"/>
      <c r="I1592" s="2"/>
      <c r="J1592" s="2"/>
      <c r="L1592" s="20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  <c r="AA1592" s="20"/>
      <c r="AB1592" s="20"/>
      <c r="AC1592" s="20"/>
      <c r="AD1592" s="20"/>
      <c r="AE1592" s="20"/>
    </row>
    <row r="1593" spans="2:31" x14ac:dyDescent="0.25">
      <c r="B1593" s="2"/>
      <c r="C1593" s="19"/>
      <c r="D1593" s="2"/>
      <c r="E1593" s="2"/>
      <c r="F1593" s="19"/>
      <c r="G1593" s="2"/>
      <c r="H1593" s="2"/>
      <c r="I1593" s="2"/>
      <c r="J1593" s="2"/>
      <c r="L1593" s="20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  <c r="AA1593" s="20"/>
      <c r="AB1593" s="20"/>
      <c r="AC1593" s="20"/>
      <c r="AD1593" s="20"/>
      <c r="AE1593" s="20"/>
    </row>
    <row r="1594" spans="2:31" x14ac:dyDescent="0.25">
      <c r="B1594" s="2"/>
      <c r="C1594" s="19"/>
      <c r="D1594" s="2"/>
      <c r="E1594" s="2"/>
      <c r="F1594" s="19"/>
      <c r="G1594" s="2"/>
      <c r="H1594" s="2"/>
      <c r="I1594" s="2"/>
      <c r="J1594" s="2"/>
      <c r="L1594" s="20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  <c r="AA1594" s="20"/>
      <c r="AB1594" s="20"/>
      <c r="AC1594" s="20"/>
      <c r="AD1594" s="20"/>
      <c r="AE1594" s="20"/>
    </row>
    <row r="1595" spans="2:31" x14ac:dyDescent="0.25">
      <c r="B1595" s="2"/>
      <c r="C1595" s="19"/>
      <c r="D1595" s="2"/>
      <c r="E1595" s="2"/>
      <c r="F1595" s="19"/>
      <c r="G1595" s="2"/>
      <c r="H1595" s="2"/>
      <c r="I1595" s="2"/>
      <c r="J1595" s="2"/>
      <c r="L1595" s="20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  <c r="AA1595" s="20"/>
      <c r="AB1595" s="20"/>
      <c r="AC1595" s="20"/>
      <c r="AD1595" s="20"/>
      <c r="AE1595" s="20"/>
    </row>
    <row r="1596" spans="2:31" x14ac:dyDescent="0.25">
      <c r="B1596" s="2"/>
      <c r="C1596" s="19"/>
      <c r="D1596" s="2"/>
      <c r="E1596" s="2"/>
      <c r="F1596" s="19"/>
      <c r="G1596" s="2"/>
      <c r="H1596" s="2"/>
      <c r="I1596" s="2"/>
      <c r="J1596" s="2"/>
      <c r="L1596" s="20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  <c r="AA1596" s="20"/>
      <c r="AB1596" s="20"/>
      <c r="AC1596" s="20"/>
      <c r="AD1596" s="20"/>
      <c r="AE1596" s="20"/>
    </row>
    <row r="1597" spans="2:31" x14ac:dyDescent="0.25">
      <c r="B1597" s="2"/>
      <c r="C1597" s="19"/>
      <c r="D1597" s="2"/>
      <c r="E1597" s="2"/>
      <c r="F1597" s="19"/>
      <c r="G1597" s="2"/>
      <c r="H1597" s="2"/>
      <c r="I1597" s="2"/>
      <c r="J1597" s="2"/>
      <c r="L1597" s="20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  <c r="AA1597" s="20"/>
      <c r="AB1597" s="20"/>
      <c r="AC1597" s="20"/>
      <c r="AD1597" s="20"/>
      <c r="AE1597" s="20"/>
    </row>
    <row r="1598" spans="2:31" x14ac:dyDescent="0.25">
      <c r="B1598" s="2"/>
      <c r="C1598" s="19"/>
      <c r="D1598" s="2"/>
      <c r="E1598" s="2"/>
      <c r="F1598" s="19"/>
      <c r="G1598" s="2"/>
      <c r="H1598" s="2"/>
      <c r="I1598" s="2"/>
      <c r="J1598" s="2"/>
      <c r="L1598" s="20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  <c r="AA1598" s="20"/>
      <c r="AB1598" s="20"/>
      <c r="AC1598" s="20"/>
      <c r="AD1598" s="20"/>
      <c r="AE1598" s="20"/>
    </row>
    <row r="1599" spans="2:31" x14ac:dyDescent="0.25">
      <c r="B1599" s="2"/>
      <c r="C1599" s="19"/>
      <c r="D1599" s="2"/>
      <c r="E1599" s="2"/>
      <c r="F1599" s="19"/>
      <c r="G1599" s="2"/>
      <c r="H1599" s="2"/>
      <c r="I1599" s="2"/>
      <c r="J1599" s="2"/>
      <c r="L1599" s="20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  <c r="AA1599" s="20"/>
      <c r="AB1599" s="20"/>
      <c r="AC1599" s="20"/>
      <c r="AD1599" s="20"/>
      <c r="AE1599" s="20"/>
    </row>
    <row r="1600" spans="2:31" x14ac:dyDescent="0.25">
      <c r="B1600" s="2"/>
      <c r="C1600" s="19"/>
      <c r="D1600" s="2"/>
      <c r="E1600" s="2"/>
      <c r="F1600" s="19"/>
      <c r="G1600" s="2"/>
      <c r="H1600" s="2"/>
      <c r="I1600" s="2"/>
      <c r="J1600" s="2"/>
      <c r="L1600" s="20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  <c r="AA1600" s="20"/>
      <c r="AB1600" s="20"/>
      <c r="AC1600" s="20"/>
      <c r="AD1600" s="20"/>
      <c r="AE1600" s="20"/>
    </row>
    <row r="1601" spans="2:31" x14ac:dyDescent="0.25">
      <c r="B1601" s="2"/>
      <c r="C1601" s="19"/>
      <c r="D1601" s="2"/>
      <c r="E1601" s="2"/>
      <c r="F1601" s="19"/>
      <c r="G1601" s="2"/>
      <c r="H1601" s="2"/>
      <c r="I1601" s="2"/>
      <c r="J1601" s="2"/>
      <c r="L1601" s="20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  <c r="AA1601" s="20"/>
      <c r="AB1601" s="20"/>
      <c r="AC1601" s="20"/>
      <c r="AD1601" s="20"/>
      <c r="AE1601" s="20"/>
    </row>
    <row r="1602" spans="2:31" x14ac:dyDescent="0.25">
      <c r="B1602" s="2"/>
      <c r="C1602" s="19"/>
      <c r="D1602" s="2"/>
      <c r="E1602" s="2"/>
      <c r="F1602" s="19"/>
      <c r="G1602" s="2"/>
      <c r="H1602" s="2"/>
      <c r="I1602" s="2"/>
      <c r="J1602" s="2"/>
      <c r="L1602" s="20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  <c r="AA1602" s="20"/>
      <c r="AB1602" s="20"/>
      <c r="AC1602" s="20"/>
      <c r="AD1602" s="20"/>
      <c r="AE1602" s="20"/>
    </row>
    <row r="1603" spans="2:31" x14ac:dyDescent="0.25">
      <c r="B1603" s="2"/>
      <c r="C1603" s="19"/>
      <c r="D1603" s="2"/>
      <c r="E1603" s="2"/>
      <c r="F1603" s="19"/>
      <c r="G1603" s="2"/>
      <c r="H1603" s="2"/>
      <c r="I1603" s="2"/>
      <c r="J1603" s="2"/>
      <c r="L1603" s="20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  <c r="AA1603" s="20"/>
      <c r="AB1603" s="20"/>
      <c r="AC1603" s="20"/>
      <c r="AD1603" s="20"/>
      <c r="AE1603" s="20"/>
    </row>
    <row r="1604" spans="2:31" x14ac:dyDescent="0.25">
      <c r="B1604" s="2"/>
      <c r="C1604" s="19"/>
      <c r="D1604" s="2"/>
      <c r="E1604" s="2"/>
      <c r="F1604" s="19"/>
      <c r="G1604" s="2"/>
      <c r="H1604" s="2"/>
      <c r="I1604" s="2"/>
      <c r="J1604" s="2"/>
      <c r="L1604" s="20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  <c r="AA1604" s="20"/>
      <c r="AB1604" s="20"/>
      <c r="AC1604" s="20"/>
      <c r="AD1604" s="20"/>
      <c r="AE1604" s="20"/>
    </row>
    <row r="1605" spans="2:31" x14ac:dyDescent="0.25">
      <c r="B1605" s="2"/>
      <c r="C1605" s="19"/>
      <c r="D1605" s="2"/>
      <c r="E1605" s="2"/>
      <c r="F1605" s="19"/>
      <c r="G1605" s="2"/>
      <c r="H1605" s="2"/>
      <c r="I1605" s="2"/>
      <c r="J1605" s="2"/>
      <c r="L1605" s="20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  <c r="AA1605" s="20"/>
      <c r="AB1605" s="20"/>
      <c r="AC1605" s="20"/>
      <c r="AD1605" s="20"/>
      <c r="AE1605" s="20"/>
    </row>
    <row r="1606" spans="2:31" x14ac:dyDescent="0.25">
      <c r="B1606" s="2"/>
      <c r="C1606" s="19"/>
      <c r="D1606" s="2"/>
      <c r="E1606" s="2"/>
      <c r="F1606" s="19"/>
      <c r="G1606" s="2"/>
      <c r="H1606" s="2"/>
      <c r="I1606" s="2"/>
      <c r="J1606" s="2"/>
      <c r="L1606" s="20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  <c r="AA1606" s="20"/>
      <c r="AB1606" s="20"/>
      <c r="AC1606" s="20"/>
      <c r="AD1606" s="20"/>
      <c r="AE1606" s="20"/>
    </row>
    <row r="1607" spans="2:31" x14ac:dyDescent="0.25">
      <c r="B1607" s="2"/>
      <c r="C1607" s="19"/>
      <c r="D1607" s="2"/>
      <c r="E1607" s="2"/>
      <c r="F1607" s="19"/>
      <c r="G1607" s="2"/>
      <c r="H1607" s="2"/>
      <c r="I1607" s="2"/>
      <c r="J1607" s="2"/>
      <c r="L1607" s="20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  <c r="AA1607" s="20"/>
      <c r="AB1607" s="20"/>
      <c r="AC1607" s="20"/>
      <c r="AD1607" s="20"/>
      <c r="AE1607" s="20"/>
    </row>
    <row r="1608" spans="2:31" x14ac:dyDescent="0.25">
      <c r="B1608" s="2"/>
      <c r="C1608" s="19"/>
      <c r="D1608" s="2"/>
      <c r="E1608" s="2"/>
      <c r="F1608" s="19"/>
      <c r="G1608" s="2"/>
      <c r="H1608" s="2"/>
      <c r="I1608" s="2"/>
      <c r="J1608" s="2"/>
      <c r="L1608" s="20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  <c r="AA1608" s="20"/>
      <c r="AB1608" s="20"/>
      <c r="AC1608" s="20"/>
      <c r="AD1608" s="20"/>
      <c r="AE1608" s="20"/>
    </row>
    <row r="1609" spans="2:31" x14ac:dyDescent="0.25">
      <c r="B1609" s="2"/>
      <c r="C1609" s="19"/>
      <c r="D1609" s="2"/>
      <c r="E1609" s="2"/>
      <c r="F1609" s="19"/>
      <c r="G1609" s="2"/>
      <c r="H1609" s="2"/>
      <c r="I1609" s="2"/>
      <c r="J1609" s="2"/>
      <c r="L1609" s="20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  <c r="AA1609" s="20"/>
      <c r="AB1609" s="20"/>
      <c r="AC1609" s="20"/>
      <c r="AD1609" s="20"/>
      <c r="AE1609" s="20"/>
    </row>
    <row r="1610" spans="2:31" x14ac:dyDescent="0.25">
      <c r="B1610" s="2"/>
      <c r="C1610" s="19"/>
      <c r="D1610" s="2"/>
      <c r="E1610" s="2"/>
      <c r="F1610" s="19"/>
      <c r="G1610" s="2"/>
      <c r="H1610" s="2"/>
      <c r="I1610" s="2"/>
      <c r="J1610" s="2"/>
      <c r="L1610" s="20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  <c r="AA1610" s="20"/>
      <c r="AB1610" s="20"/>
      <c r="AC1610" s="20"/>
      <c r="AD1610" s="20"/>
      <c r="AE1610" s="20"/>
    </row>
    <row r="1611" spans="2:31" x14ac:dyDescent="0.25">
      <c r="B1611" s="2"/>
      <c r="C1611" s="19"/>
      <c r="D1611" s="2"/>
      <c r="E1611" s="2"/>
      <c r="F1611" s="19"/>
      <c r="G1611" s="2"/>
      <c r="H1611" s="2"/>
      <c r="I1611" s="2"/>
      <c r="J1611" s="2"/>
      <c r="L1611" s="20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  <c r="AA1611" s="20"/>
      <c r="AB1611" s="20"/>
      <c r="AC1611" s="20"/>
      <c r="AD1611" s="20"/>
      <c r="AE1611" s="20"/>
    </row>
    <row r="1612" spans="2:31" x14ac:dyDescent="0.25">
      <c r="B1612" s="2"/>
      <c r="C1612" s="19"/>
      <c r="D1612" s="2"/>
      <c r="E1612" s="2"/>
      <c r="F1612" s="19"/>
      <c r="G1612" s="2"/>
      <c r="H1612" s="2"/>
      <c r="I1612" s="2"/>
      <c r="J1612" s="2"/>
      <c r="L1612" s="20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  <c r="AA1612" s="20"/>
      <c r="AB1612" s="20"/>
      <c r="AC1612" s="20"/>
      <c r="AD1612" s="20"/>
      <c r="AE1612" s="20"/>
    </row>
    <row r="1613" spans="2:31" x14ac:dyDescent="0.25">
      <c r="B1613" s="2"/>
      <c r="C1613" s="19"/>
      <c r="D1613" s="2"/>
      <c r="E1613" s="2"/>
      <c r="F1613" s="19"/>
      <c r="G1613" s="2"/>
      <c r="H1613" s="2"/>
      <c r="I1613" s="2"/>
      <c r="J1613" s="2"/>
      <c r="L1613" s="20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  <c r="AA1613" s="20"/>
      <c r="AB1613" s="20"/>
      <c r="AC1613" s="20"/>
      <c r="AD1613" s="20"/>
      <c r="AE1613" s="20"/>
    </row>
    <row r="1614" spans="2:31" x14ac:dyDescent="0.25">
      <c r="B1614" s="2"/>
      <c r="C1614" s="19"/>
      <c r="D1614" s="2"/>
      <c r="E1614" s="2"/>
      <c r="F1614" s="19"/>
      <c r="G1614" s="2"/>
      <c r="H1614" s="2"/>
      <c r="I1614" s="2"/>
      <c r="J1614" s="2"/>
      <c r="L1614" s="20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  <c r="AA1614" s="20"/>
      <c r="AB1614" s="20"/>
      <c r="AC1614" s="20"/>
      <c r="AD1614" s="20"/>
      <c r="AE1614" s="20"/>
    </row>
    <row r="1615" spans="2:31" x14ac:dyDescent="0.25">
      <c r="B1615" s="2"/>
      <c r="C1615" s="19"/>
      <c r="D1615" s="2"/>
      <c r="E1615" s="2"/>
      <c r="F1615" s="19"/>
      <c r="G1615" s="2"/>
      <c r="H1615" s="2"/>
      <c r="I1615" s="2"/>
      <c r="J1615" s="2"/>
      <c r="L1615" s="20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  <c r="AA1615" s="20"/>
      <c r="AB1615" s="20"/>
      <c r="AC1615" s="20"/>
      <c r="AD1615" s="20"/>
      <c r="AE1615" s="20"/>
    </row>
    <row r="1616" spans="2:31" x14ac:dyDescent="0.25">
      <c r="B1616" s="2"/>
      <c r="C1616" s="19"/>
      <c r="D1616" s="2"/>
      <c r="E1616" s="2"/>
      <c r="F1616" s="19"/>
      <c r="G1616" s="2"/>
      <c r="H1616" s="2"/>
      <c r="I1616" s="2"/>
      <c r="J1616" s="2"/>
      <c r="L1616" s="20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  <c r="AA1616" s="20"/>
      <c r="AB1616" s="20"/>
      <c r="AC1616" s="20"/>
      <c r="AD1616" s="20"/>
      <c r="AE1616" s="20"/>
    </row>
    <row r="1617" spans="2:31" x14ac:dyDescent="0.25">
      <c r="B1617" s="2"/>
      <c r="C1617" s="19"/>
      <c r="D1617" s="2"/>
      <c r="E1617" s="2"/>
      <c r="F1617" s="19"/>
      <c r="G1617" s="2"/>
      <c r="H1617" s="2"/>
      <c r="I1617" s="2"/>
      <c r="J1617" s="2"/>
      <c r="L1617" s="20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  <c r="AA1617" s="20"/>
      <c r="AB1617" s="20"/>
      <c r="AC1617" s="20"/>
      <c r="AD1617" s="20"/>
      <c r="AE1617" s="20"/>
    </row>
    <row r="1618" spans="2:31" x14ac:dyDescent="0.25">
      <c r="B1618" s="2"/>
      <c r="C1618" s="19"/>
      <c r="D1618" s="2"/>
      <c r="E1618" s="2"/>
      <c r="F1618" s="19"/>
      <c r="G1618" s="2"/>
      <c r="H1618" s="2"/>
      <c r="I1618" s="2"/>
      <c r="J1618" s="2"/>
      <c r="L1618" s="20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  <c r="AA1618" s="20"/>
      <c r="AB1618" s="20"/>
      <c r="AC1618" s="20"/>
      <c r="AD1618" s="20"/>
      <c r="AE1618" s="20"/>
    </row>
    <row r="1619" spans="2:31" x14ac:dyDescent="0.25">
      <c r="B1619" s="2"/>
      <c r="C1619" s="19"/>
      <c r="D1619" s="2"/>
      <c r="E1619" s="2"/>
      <c r="F1619" s="19"/>
      <c r="G1619" s="2"/>
      <c r="H1619" s="2"/>
      <c r="I1619" s="2"/>
      <c r="J1619" s="2"/>
      <c r="L1619" s="20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  <c r="AA1619" s="20"/>
      <c r="AB1619" s="20"/>
      <c r="AC1619" s="20"/>
      <c r="AD1619" s="20"/>
      <c r="AE1619" s="20"/>
    </row>
    <row r="1620" spans="2:31" x14ac:dyDescent="0.25">
      <c r="B1620" s="2"/>
      <c r="C1620" s="19"/>
      <c r="D1620" s="2"/>
      <c r="E1620" s="2"/>
      <c r="F1620" s="19"/>
      <c r="G1620" s="2"/>
      <c r="H1620" s="2"/>
      <c r="I1620" s="2"/>
      <c r="J1620" s="2"/>
      <c r="L1620" s="20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  <c r="AA1620" s="20"/>
      <c r="AB1620" s="20"/>
      <c r="AC1620" s="20"/>
      <c r="AD1620" s="20"/>
      <c r="AE1620" s="20"/>
    </row>
    <row r="1621" spans="2:31" x14ac:dyDescent="0.25">
      <c r="B1621" s="2"/>
      <c r="C1621" s="19"/>
      <c r="D1621" s="2"/>
      <c r="E1621" s="2"/>
      <c r="F1621" s="19"/>
      <c r="G1621" s="2"/>
      <c r="H1621" s="2"/>
      <c r="I1621" s="2"/>
      <c r="J1621" s="2"/>
      <c r="L1621" s="20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  <c r="AA1621" s="20"/>
      <c r="AB1621" s="20"/>
      <c r="AC1621" s="20"/>
      <c r="AD1621" s="20"/>
      <c r="AE1621" s="20"/>
    </row>
    <row r="1622" spans="2:31" x14ac:dyDescent="0.25">
      <c r="B1622" s="2"/>
      <c r="C1622" s="19"/>
      <c r="D1622" s="2"/>
      <c r="E1622" s="2"/>
      <c r="F1622" s="19"/>
      <c r="G1622" s="2"/>
      <c r="H1622" s="2"/>
      <c r="I1622" s="2"/>
      <c r="J1622" s="2"/>
      <c r="L1622" s="20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  <c r="AA1622" s="20"/>
      <c r="AB1622" s="20"/>
      <c r="AC1622" s="20"/>
      <c r="AD1622" s="20"/>
      <c r="AE1622" s="20"/>
    </row>
    <row r="1623" spans="2:31" x14ac:dyDescent="0.25">
      <c r="B1623" s="2"/>
      <c r="C1623" s="19"/>
      <c r="D1623" s="2"/>
      <c r="E1623" s="2"/>
      <c r="F1623" s="19"/>
      <c r="G1623" s="2"/>
      <c r="H1623" s="2"/>
      <c r="I1623" s="2"/>
      <c r="J1623" s="2"/>
      <c r="L1623" s="20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  <c r="AA1623" s="20"/>
      <c r="AB1623" s="20"/>
      <c r="AC1623" s="20"/>
      <c r="AD1623" s="20"/>
      <c r="AE1623" s="20"/>
    </row>
    <row r="1624" spans="2:31" x14ac:dyDescent="0.25">
      <c r="B1624" s="2"/>
      <c r="C1624" s="19"/>
      <c r="D1624" s="2"/>
      <c r="E1624" s="2"/>
      <c r="F1624" s="19"/>
      <c r="G1624" s="2"/>
      <c r="H1624" s="2"/>
      <c r="I1624" s="2"/>
      <c r="J1624" s="2"/>
      <c r="L1624" s="20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  <c r="AA1624" s="20"/>
      <c r="AB1624" s="20"/>
      <c r="AC1624" s="20"/>
      <c r="AD1624" s="20"/>
      <c r="AE1624" s="20"/>
    </row>
    <row r="1625" spans="2:31" x14ac:dyDescent="0.25">
      <c r="B1625" s="2"/>
      <c r="C1625" s="19"/>
      <c r="D1625" s="2"/>
      <c r="E1625" s="2"/>
      <c r="F1625" s="19"/>
      <c r="G1625" s="2"/>
      <c r="H1625" s="2"/>
      <c r="I1625" s="2"/>
      <c r="J1625" s="2"/>
      <c r="L1625" s="20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  <c r="AA1625" s="20"/>
      <c r="AB1625" s="20"/>
      <c r="AC1625" s="20"/>
      <c r="AD1625" s="20"/>
      <c r="AE1625" s="20"/>
    </row>
    <row r="1626" spans="2:31" x14ac:dyDescent="0.25">
      <c r="B1626" s="2"/>
      <c r="C1626" s="19"/>
      <c r="D1626" s="2"/>
      <c r="E1626" s="2"/>
      <c r="F1626" s="19"/>
      <c r="G1626" s="2"/>
      <c r="H1626" s="2"/>
      <c r="I1626" s="2"/>
      <c r="J1626" s="2"/>
      <c r="L1626" s="20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  <c r="AA1626" s="20"/>
      <c r="AB1626" s="20"/>
      <c r="AC1626" s="20"/>
      <c r="AD1626" s="20"/>
      <c r="AE1626" s="20"/>
    </row>
    <row r="1627" spans="2:31" x14ac:dyDescent="0.25">
      <c r="B1627" s="2"/>
      <c r="C1627" s="19"/>
      <c r="D1627" s="2"/>
      <c r="E1627" s="2"/>
      <c r="F1627" s="19"/>
      <c r="G1627" s="2"/>
      <c r="H1627" s="2"/>
      <c r="I1627" s="2"/>
      <c r="J1627" s="2"/>
      <c r="L1627" s="20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  <c r="AA1627" s="20"/>
      <c r="AB1627" s="20"/>
      <c r="AC1627" s="20"/>
      <c r="AD1627" s="20"/>
      <c r="AE1627" s="20"/>
    </row>
    <row r="1628" spans="2:31" x14ac:dyDescent="0.25">
      <c r="B1628" s="2"/>
      <c r="C1628" s="19"/>
      <c r="D1628" s="2"/>
      <c r="E1628" s="2"/>
      <c r="F1628" s="19"/>
      <c r="G1628" s="2"/>
      <c r="H1628" s="2"/>
      <c r="I1628" s="2"/>
      <c r="J1628" s="2"/>
      <c r="L1628" s="20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  <c r="AA1628" s="20"/>
      <c r="AB1628" s="20"/>
      <c r="AC1628" s="20"/>
      <c r="AD1628" s="20"/>
      <c r="AE1628" s="20"/>
    </row>
    <row r="1629" spans="2:31" x14ac:dyDescent="0.25">
      <c r="B1629" s="2"/>
      <c r="C1629" s="19"/>
      <c r="D1629" s="2"/>
      <c r="E1629" s="2"/>
      <c r="F1629" s="19"/>
      <c r="G1629" s="2"/>
      <c r="H1629" s="2"/>
      <c r="I1629" s="2"/>
      <c r="J1629" s="2"/>
      <c r="L1629" s="20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  <c r="AA1629" s="20"/>
      <c r="AB1629" s="20"/>
      <c r="AC1629" s="20"/>
      <c r="AD1629" s="20"/>
      <c r="AE1629" s="20"/>
    </row>
    <row r="1630" spans="2:31" x14ac:dyDescent="0.25">
      <c r="B1630" s="2"/>
      <c r="C1630" s="19"/>
      <c r="D1630" s="2"/>
      <c r="E1630" s="2"/>
      <c r="F1630" s="19"/>
      <c r="G1630" s="2"/>
      <c r="H1630" s="2"/>
      <c r="I1630" s="2"/>
      <c r="J1630" s="2"/>
      <c r="L1630" s="20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  <c r="AA1630" s="20"/>
      <c r="AB1630" s="20"/>
      <c r="AC1630" s="20"/>
      <c r="AD1630" s="20"/>
      <c r="AE1630" s="20"/>
    </row>
    <row r="1631" spans="2:31" x14ac:dyDescent="0.25">
      <c r="B1631" s="2"/>
      <c r="C1631" s="19"/>
      <c r="D1631" s="2"/>
      <c r="E1631" s="2"/>
      <c r="F1631" s="19"/>
      <c r="G1631" s="2"/>
      <c r="H1631" s="2"/>
      <c r="I1631" s="2"/>
      <c r="J1631" s="2"/>
      <c r="L1631" s="20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  <c r="AA1631" s="20"/>
      <c r="AB1631" s="20"/>
      <c r="AC1631" s="20"/>
      <c r="AD1631" s="20"/>
      <c r="AE1631" s="20"/>
    </row>
    <row r="1632" spans="2:31" x14ac:dyDescent="0.25">
      <c r="B1632" s="2"/>
      <c r="C1632" s="19"/>
      <c r="D1632" s="2"/>
      <c r="E1632" s="2"/>
      <c r="F1632" s="19"/>
      <c r="G1632" s="2"/>
      <c r="H1632" s="2"/>
      <c r="I1632" s="2"/>
      <c r="J1632" s="2"/>
      <c r="L1632" s="20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  <c r="AA1632" s="20"/>
      <c r="AB1632" s="20"/>
      <c r="AC1632" s="20"/>
      <c r="AD1632" s="20"/>
      <c r="AE1632" s="20"/>
    </row>
    <row r="1633" spans="2:31" x14ac:dyDescent="0.25">
      <c r="B1633" s="2"/>
      <c r="C1633" s="19"/>
      <c r="D1633" s="2"/>
      <c r="E1633" s="2"/>
      <c r="F1633" s="19"/>
      <c r="G1633" s="2"/>
      <c r="H1633" s="2"/>
      <c r="I1633" s="2"/>
      <c r="J1633" s="2"/>
      <c r="L1633" s="20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  <c r="AA1633" s="20"/>
      <c r="AB1633" s="20"/>
      <c r="AC1633" s="20"/>
      <c r="AD1633" s="20"/>
      <c r="AE1633" s="20"/>
    </row>
    <row r="1634" spans="2:31" x14ac:dyDescent="0.25">
      <c r="B1634" s="2"/>
      <c r="C1634" s="19"/>
      <c r="D1634" s="2"/>
      <c r="E1634" s="2"/>
      <c r="F1634" s="19"/>
      <c r="G1634" s="2"/>
      <c r="H1634" s="2"/>
      <c r="I1634" s="2"/>
      <c r="J1634" s="2"/>
      <c r="L1634" s="20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  <c r="AA1634" s="20"/>
      <c r="AB1634" s="20"/>
      <c r="AC1634" s="20"/>
      <c r="AD1634" s="20"/>
      <c r="AE1634" s="20"/>
    </row>
    <row r="1635" spans="2:31" x14ac:dyDescent="0.25">
      <c r="B1635" s="2"/>
      <c r="C1635" s="19"/>
      <c r="D1635" s="2"/>
      <c r="E1635" s="2"/>
      <c r="F1635" s="19"/>
      <c r="G1635" s="2"/>
      <c r="H1635" s="2"/>
      <c r="I1635" s="2"/>
      <c r="J1635" s="2"/>
      <c r="L1635" s="20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  <c r="AA1635" s="20"/>
      <c r="AB1635" s="20"/>
      <c r="AC1635" s="20"/>
      <c r="AD1635" s="20"/>
      <c r="AE1635" s="20"/>
    </row>
    <row r="1636" spans="2:31" x14ac:dyDescent="0.25">
      <c r="B1636" s="2"/>
      <c r="C1636" s="19"/>
      <c r="D1636" s="2"/>
      <c r="E1636" s="2"/>
      <c r="F1636" s="19"/>
      <c r="G1636" s="2"/>
      <c r="H1636" s="2"/>
      <c r="I1636" s="2"/>
      <c r="J1636" s="2"/>
      <c r="L1636" s="20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  <c r="AA1636" s="20"/>
      <c r="AB1636" s="20"/>
      <c r="AC1636" s="20"/>
      <c r="AD1636" s="20"/>
      <c r="AE1636" s="20"/>
    </row>
    <row r="1637" spans="2:31" x14ac:dyDescent="0.25">
      <c r="B1637" s="2"/>
      <c r="C1637" s="19"/>
      <c r="D1637" s="2"/>
      <c r="E1637" s="2"/>
      <c r="F1637" s="19"/>
      <c r="G1637" s="2"/>
      <c r="H1637" s="2"/>
      <c r="I1637" s="2"/>
      <c r="J1637" s="2"/>
      <c r="L1637" s="20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  <c r="AA1637" s="20"/>
      <c r="AB1637" s="20"/>
      <c r="AC1637" s="20"/>
      <c r="AD1637" s="20"/>
      <c r="AE1637" s="20"/>
    </row>
    <row r="1638" spans="2:31" x14ac:dyDescent="0.25">
      <c r="B1638" s="2"/>
      <c r="C1638" s="19"/>
      <c r="D1638" s="2"/>
      <c r="E1638" s="2"/>
      <c r="F1638" s="19"/>
      <c r="G1638" s="2"/>
      <c r="H1638" s="2"/>
      <c r="I1638" s="2"/>
      <c r="J1638" s="2"/>
      <c r="L1638" s="20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  <c r="AA1638" s="20"/>
      <c r="AB1638" s="20"/>
      <c r="AC1638" s="20"/>
      <c r="AD1638" s="20"/>
      <c r="AE1638" s="20"/>
    </row>
    <row r="1639" spans="2:31" x14ac:dyDescent="0.25">
      <c r="B1639" s="2"/>
      <c r="C1639" s="19"/>
      <c r="D1639" s="2"/>
      <c r="E1639" s="2"/>
      <c r="F1639" s="19"/>
      <c r="G1639" s="2"/>
      <c r="H1639" s="2"/>
      <c r="I1639" s="2"/>
      <c r="J1639" s="2"/>
      <c r="L1639" s="20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  <c r="AA1639" s="20"/>
      <c r="AB1639" s="20"/>
      <c r="AC1639" s="20"/>
      <c r="AD1639" s="20"/>
      <c r="AE1639" s="20"/>
    </row>
    <row r="1640" spans="2:31" x14ac:dyDescent="0.25">
      <c r="B1640" s="2"/>
      <c r="C1640" s="19"/>
      <c r="D1640" s="2"/>
      <c r="E1640" s="2"/>
      <c r="F1640" s="19"/>
      <c r="G1640" s="2"/>
      <c r="H1640" s="2"/>
      <c r="I1640" s="2"/>
      <c r="J1640" s="2"/>
      <c r="L1640" s="20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  <c r="AA1640" s="20"/>
      <c r="AB1640" s="20"/>
      <c r="AC1640" s="20"/>
      <c r="AD1640" s="20"/>
      <c r="AE1640" s="20"/>
    </row>
    <row r="1641" spans="2:31" x14ac:dyDescent="0.25">
      <c r="B1641" s="2"/>
      <c r="C1641" s="19"/>
      <c r="D1641" s="2"/>
      <c r="E1641" s="2"/>
      <c r="F1641" s="19"/>
      <c r="G1641" s="2"/>
      <c r="H1641" s="2"/>
      <c r="I1641" s="2"/>
      <c r="J1641" s="2"/>
      <c r="L1641" s="20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  <c r="AA1641" s="20"/>
      <c r="AB1641" s="20"/>
      <c r="AC1641" s="20"/>
      <c r="AD1641" s="20"/>
      <c r="AE1641" s="20"/>
    </row>
    <row r="1642" spans="2:31" x14ac:dyDescent="0.25">
      <c r="B1642" s="2"/>
      <c r="C1642" s="19"/>
      <c r="D1642" s="2"/>
      <c r="E1642" s="2"/>
      <c r="F1642" s="19"/>
      <c r="G1642" s="2"/>
      <c r="H1642" s="2"/>
      <c r="I1642" s="2"/>
      <c r="J1642" s="2"/>
      <c r="L1642" s="20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  <c r="AA1642" s="20"/>
      <c r="AB1642" s="20"/>
      <c r="AC1642" s="20"/>
      <c r="AD1642" s="20"/>
      <c r="AE1642" s="20"/>
    </row>
    <row r="1643" spans="2:31" x14ac:dyDescent="0.25">
      <c r="B1643" s="2"/>
      <c r="C1643" s="19"/>
      <c r="D1643" s="2"/>
      <c r="E1643" s="2"/>
      <c r="F1643" s="19"/>
      <c r="G1643" s="2"/>
      <c r="H1643" s="2"/>
      <c r="I1643" s="2"/>
      <c r="J1643" s="2"/>
      <c r="L1643" s="20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  <c r="AA1643" s="20"/>
      <c r="AB1643" s="20"/>
      <c r="AC1643" s="20"/>
      <c r="AD1643" s="20"/>
      <c r="AE1643" s="20"/>
    </row>
    <row r="1644" spans="2:31" x14ac:dyDescent="0.25">
      <c r="B1644" s="2"/>
      <c r="C1644" s="19"/>
      <c r="D1644" s="2"/>
      <c r="E1644" s="2"/>
      <c r="F1644" s="19"/>
      <c r="G1644" s="2"/>
      <c r="H1644" s="2"/>
      <c r="I1644" s="2"/>
      <c r="J1644" s="2"/>
      <c r="L1644" s="20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  <c r="AA1644" s="20"/>
      <c r="AB1644" s="20"/>
      <c r="AC1644" s="20"/>
      <c r="AD1644" s="20"/>
      <c r="AE1644" s="20"/>
    </row>
    <row r="1645" spans="2:31" x14ac:dyDescent="0.25">
      <c r="B1645" s="2"/>
      <c r="C1645" s="19"/>
      <c r="D1645" s="2"/>
      <c r="E1645" s="2"/>
      <c r="F1645" s="19"/>
      <c r="G1645" s="2"/>
      <c r="H1645" s="2"/>
      <c r="I1645" s="2"/>
      <c r="J1645" s="2"/>
      <c r="L1645" s="20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  <c r="AA1645" s="20"/>
      <c r="AB1645" s="20"/>
      <c r="AC1645" s="20"/>
      <c r="AD1645" s="20"/>
      <c r="AE1645" s="20"/>
    </row>
    <row r="1646" spans="2:31" x14ac:dyDescent="0.25">
      <c r="B1646" s="2"/>
      <c r="C1646" s="19"/>
      <c r="D1646" s="2"/>
      <c r="E1646" s="2"/>
      <c r="F1646" s="19"/>
      <c r="G1646" s="2"/>
      <c r="H1646" s="2"/>
      <c r="I1646" s="2"/>
      <c r="J1646" s="2"/>
      <c r="L1646" s="20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  <c r="AA1646" s="20"/>
      <c r="AB1646" s="20"/>
      <c r="AC1646" s="20"/>
      <c r="AD1646" s="20"/>
      <c r="AE1646" s="20"/>
    </row>
    <row r="1647" spans="2:31" x14ac:dyDescent="0.25">
      <c r="B1647" s="2"/>
      <c r="C1647" s="19"/>
      <c r="D1647" s="2"/>
      <c r="E1647" s="2"/>
      <c r="F1647" s="19"/>
      <c r="G1647" s="2"/>
      <c r="H1647" s="2"/>
      <c r="I1647" s="2"/>
      <c r="J1647" s="2"/>
      <c r="L1647" s="20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  <c r="AA1647" s="20"/>
      <c r="AB1647" s="20"/>
      <c r="AC1647" s="20"/>
      <c r="AD1647" s="20"/>
      <c r="AE1647" s="20"/>
    </row>
    <row r="1648" spans="2:31" x14ac:dyDescent="0.25">
      <c r="B1648" s="2"/>
      <c r="C1648" s="19"/>
      <c r="D1648" s="2"/>
      <c r="E1648" s="2"/>
      <c r="F1648" s="19"/>
      <c r="G1648" s="2"/>
      <c r="H1648" s="2"/>
      <c r="I1648" s="2"/>
      <c r="J1648" s="2"/>
      <c r="L1648" s="20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  <c r="AA1648" s="20"/>
      <c r="AB1648" s="20"/>
      <c r="AC1648" s="20"/>
      <c r="AD1648" s="20"/>
      <c r="AE1648" s="20"/>
    </row>
    <row r="1649" spans="2:31" x14ac:dyDescent="0.25">
      <c r="B1649" s="2"/>
      <c r="C1649" s="19"/>
      <c r="D1649" s="2"/>
      <c r="E1649" s="2"/>
      <c r="F1649" s="19"/>
      <c r="G1649" s="2"/>
      <c r="H1649" s="2"/>
      <c r="I1649" s="2"/>
      <c r="J1649" s="2"/>
      <c r="L1649" s="20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  <c r="AA1649" s="20"/>
      <c r="AB1649" s="20"/>
      <c r="AC1649" s="20"/>
      <c r="AD1649" s="20"/>
      <c r="AE1649" s="20"/>
    </row>
    <row r="1650" spans="2:31" x14ac:dyDescent="0.25">
      <c r="B1650" s="2"/>
      <c r="C1650" s="19"/>
      <c r="D1650" s="2"/>
      <c r="E1650" s="2"/>
      <c r="F1650" s="19"/>
      <c r="G1650" s="2"/>
      <c r="H1650" s="2"/>
      <c r="I1650" s="2"/>
      <c r="J1650" s="2"/>
      <c r="L1650" s="20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  <c r="AA1650" s="20"/>
      <c r="AB1650" s="20"/>
      <c r="AC1650" s="20"/>
      <c r="AD1650" s="20"/>
      <c r="AE1650" s="20"/>
    </row>
    <row r="1651" spans="2:31" x14ac:dyDescent="0.25">
      <c r="B1651" s="2"/>
      <c r="C1651" s="19"/>
      <c r="D1651" s="2"/>
      <c r="E1651" s="2"/>
      <c r="F1651" s="19"/>
      <c r="G1651" s="2"/>
      <c r="H1651" s="2"/>
      <c r="I1651" s="2"/>
      <c r="J1651" s="2"/>
      <c r="L1651" s="20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  <c r="AA1651" s="20"/>
      <c r="AB1651" s="20"/>
      <c r="AC1651" s="20"/>
      <c r="AD1651" s="20"/>
      <c r="AE1651" s="20"/>
    </row>
    <row r="1652" spans="2:31" x14ac:dyDescent="0.25">
      <c r="B1652" s="2"/>
      <c r="C1652" s="19"/>
      <c r="D1652" s="2"/>
      <c r="E1652" s="2"/>
      <c r="F1652" s="19"/>
      <c r="G1652" s="2"/>
      <c r="H1652" s="2"/>
      <c r="I1652" s="2"/>
      <c r="J1652" s="2"/>
      <c r="L1652" s="20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  <c r="AA1652" s="20"/>
      <c r="AB1652" s="20"/>
      <c r="AC1652" s="20"/>
      <c r="AD1652" s="20"/>
      <c r="AE1652" s="20"/>
    </row>
    <row r="1653" spans="2:31" x14ac:dyDescent="0.25">
      <c r="B1653" s="2"/>
      <c r="C1653" s="19"/>
      <c r="D1653" s="2"/>
      <c r="E1653" s="2"/>
      <c r="F1653" s="19"/>
      <c r="G1653" s="2"/>
      <c r="H1653" s="2"/>
      <c r="I1653" s="2"/>
      <c r="J1653" s="2"/>
      <c r="L1653" s="20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  <c r="AA1653" s="20"/>
      <c r="AB1653" s="20"/>
      <c r="AC1653" s="20"/>
      <c r="AD1653" s="20"/>
      <c r="AE1653" s="20"/>
    </row>
    <row r="1654" spans="2:31" x14ac:dyDescent="0.25">
      <c r="B1654" s="2"/>
      <c r="C1654" s="19"/>
      <c r="D1654" s="2"/>
      <c r="E1654" s="2"/>
      <c r="F1654" s="19"/>
      <c r="G1654" s="2"/>
      <c r="H1654" s="2"/>
      <c r="I1654" s="2"/>
      <c r="J1654" s="2"/>
      <c r="L1654" s="20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  <c r="AA1654" s="20"/>
      <c r="AB1654" s="20"/>
      <c r="AC1654" s="20"/>
      <c r="AD1654" s="20"/>
      <c r="AE1654" s="20"/>
    </row>
    <row r="1655" spans="2:31" x14ac:dyDescent="0.25">
      <c r="B1655" s="2"/>
      <c r="C1655" s="19"/>
      <c r="D1655" s="2"/>
      <c r="E1655" s="2"/>
      <c r="F1655" s="19"/>
      <c r="G1655" s="2"/>
      <c r="H1655" s="2"/>
      <c r="I1655" s="2"/>
      <c r="J1655" s="2"/>
      <c r="L1655" s="20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  <c r="AA1655" s="20"/>
      <c r="AB1655" s="20"/>
      <c r="AC1655" s="20"/>
      <c r="AD1655" s="20"/>
      <c r="AE1655" s="20"/>
    </row>
    <row r="1656" spans="2:31" x14ac:dyDescent="0.25">
      <c r="B1656" s="2"/>
      <c r="C1656" s="19"/>
      <c r="D1656" s="2"/>
      <c r="E1656" s="2"/>
      <c r="F1656" s="19"/>
      <c r="G1656" s="2"/>
      <c r="H1656" s="2"/>
      <c r="I1656" s="2"/>
      <c r="J1656" s="2"/>
      <c r="L1656" s="20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  <c r="AA1656" s="20"/>
      <c r="AB1656" s="20"/>
      <c r="AC1656" s="20"/>
      <c r="AD1656" s="20"/>
      <c r="AE1656" s="20"/>
    </row>
    <row r="1657" spans="2:31" x14ac:dyDescent="0.25">
      <c r="B1657" s="2"/>
      <c r="C1657" s="19"/>
      <c r="D1657" s="2"/>
      <c r="E1657" s="2"/>
      <c r="F1657" s="19"/>
      <c r="G1657" s="2"/>
      <c r="H1657" s="2"/>
      <c r="I1657" s="2"/>
      <c r="J1657" s="2"/>
      <c r="L1657" s="20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  <c r="AA1657" s="20"/>
      <c r="AB1657" s="20"/>
      <c r="AC1657" s="20"/>
      <c r="AD1657" s="20"/>
      <c r="AE1657" s="20"/>
    </row>
    <row r="1658" spans="2:31" x14ac:dyDescent="0.25">
      <c r="B1658" s="2"/>
      <c r="C1658" s="19"/>
      <c r="D1658" s="2"/>
      <c r="E1658" s="2"/>
      <c r="F1658" s="19"/>
      <c r="G1658" s="2"/>
      <c r="H1658" s="2"/>
      <c r="I1658" s="2"/>
      <c r="J1658" s="2"/>
      <c r="L1658" s="20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  <c r="AA1658" s="20"/>
      <c r="AB1658" s="20"/>
      <c r="AC1658" s="20"/>
      <c r="AD1658" s="20"/>
      <c r="AE1658" s="20"/>
    </row>
    <row r="1659" spans="2:31" x14ac:dyDescent="0.25">
      <c r="B1659" s="2"/>
      <c r="C1659" s="19"/>
      <c r="D1659" s="2"/>
      <c r="E1659" s="2"/>
      <c r="F1659" s="19"/>
      <c r="G1659" s="2"/>
      <c r="H1659" s="2"/>
      <c r="I1659" s="2"/>
      <c r="J1659" s="2"/>
      <c r="L1659" s="20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  <c r="AA1659" s="20"/>
      <c r="AB1659" s="20"/>
      <c r="AC1659" s="20"/>
      <c r="AD1659" s="20"/>
      <c r="AE1659" s="20"/>
    </row>
    <row r="1660" spans="2:31" x14ac:dyDescent="0.25">
      <c r="B1660" s="2"/>
      <c r="C1660" s="19"/>
      <c r="D1660" s="2"/>
      <c r="E1660" s="2"/>
      <c r="F1660" s="19"/>
      <c r="G1660" s="2"/>
      <c r="H1660" s="2"/>
      <c r="I1660" s="2"/>
      <c r="J1660" s="2"/>
      <c r="L1660" s="20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  <c r="AA1660" s="20"/>
      <c r="AB1660" s="20"/>
      <c r="AC1660" s="20"/>
      <c r="AD1660" s="20"/>
      <c r="AE1660" s="20"/>
    </row>
    <row r="1661" spans="2:31" x14ac:dyDescent="0.25">
      <c r="B1661" s="2"/>
      <c r="C1661" s="19"/>
      <c r="D1661" s="2"/>
      <c r="E1661" s="2"/>
      <c r="F1661" s="19"/>
      <c r="G1661" s="2"/>
      <c r="H1661" s="2"/>
      <c r="I1661" s="2"/>
      <c r="J1661" s="2"/>
      <c r="L1661" s="20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  <c r="AA1661" s="20"/>
      <c r="AB1661" s="20"/>
      <c r="AC1661" s="20"/>
      <c r="AD1661" s="20"/>
      <c r="AE1661" s="20"/>
    </row>
    <row r="1662" spans="2:31" x14ac:dyDescent="0.25">
      <c r="B1662" s="2"/>
      <c r="C1662" s="19"/>
      <c r="D1662" s="2"/>
      <c r="E1662" s="2"/>
      <c r="F1662" s="19"/>
      <c r="G1662" s="2"/>
      <c r="H1662" s="2"/>
      <c r="I1662" s="2"/>
      <c r="J1662" s="2"/>
      <c r="L1662" s="20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  <c r="AA1662" s="20"/>
      <c r="AB1662" s="20"/>
      <c r="AC1662" s="20"/>
      <c r="AD1662" s="20"/>
      <c r="AE1662" s="20"/>
    </row>
    <row r="1663" spans="2:31" x14ac:dyDescent="0.25">
      <c r="B1663" s="2"/>
      <c r="C1663" s="19"/>
      <c r="D1663" s="2"/>
      <c r="E1663" s="2"/>
      <c r="F1663" s="19"/>
      <c r="G1663" s="2"/>
      <c r="H1663" s="2"/>
      <c r="I1663" s="2"/>
      <c r="J1663" s="2"/>
      <c r="L1663" s="20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  <c r="AA1663" s="20"/>
      <c r="AB1663" s="20"/>
      <c r="AC1663" s="20"/>
      <c r="AD1663" s="20"/>
      <c r="AE1663" s="20"/>
    </row>
    <row r="1664" spans="2:31" x14ac:dyDescent="0.25">
      <c r="B1664" s="2"/>
      <c r="C1664" s="19"/>
      <c r="D1664" s="2"/>
      <c r="E1664" s="2"/>
      <c r="F1664" s="19"/>
      <c r="G1664" s="2"/>
      <c r="H1664" s="2"/>
      <c r="I1664" s="2"/>
      <c r="J1664" s="2"/>
      <c r="L1664" s="20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  <c r="AA1664" s="20"/>
      <c r="AB1664" s="20"/>
      <c r="AC1664" s="20"/>
      <c r="AD1664" s="20"/>
      <c r="AE1664" s="20"/>
    </row>
    <row r="1665" spans="2:31" x14ac:dyDescent="0.25">
      <c r="B1665" s="2"/>
      <c r="C1665" s="19"/>
      <c r="D1665" s="2"/>
      <c r="E1665" s="2"/>
      <c r="F1665" s="19"/>
      <c r="G1665" s="2"/>
      <c r="H1665" s="2"/>
      <c r="I1665" s="2"/>
      <c r="J1665" s="2"/>
      <c r="L1665" s="20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  <c r="AA1665" s="20"/>
      <c r="AB1665" s="20"/>
      <c r="AC1665" s="20"/>
      <c r="AD1665" s="20"/>
      <c r="AE1665" s="20"/>
    </row>
    <row r="1666" spans="2:31" x14ac:dyDescent="0.25">
      <c r="B1666" s="2"/>
      <c r="C1666" s="19"/>
      <c r="D1666" s="2"/>
      <c r="E1666" s="2"/>
      <c r="F1666" s="19"/>
      <c r="G1666" s="2"/>
      <c r="H1666" s="2"/>
      <c r="I1666" s="2"/>
      <c r="J1666" s="2"/>
      <c r="L1666" s="20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  <c r="AA1666" s="20"/>
      <c r="AB1666" s="20"/>
      <c r="AC1666" s="20"/>
      <c r="AD1666" s="20"/>
      <c r="AE1666" s="20"/>
    </row>
    <row r="1667" spans="2:31" x14ac:dyDescent="0.25">
      <c r="B1667" s="2"/>
      <c r="C1667" s="19"/>
      <c r="D1667" s="2"/>
      <c r="E1667" s="2"/>
      <c r="F1667" s="19"/>
      <c r="G1667" s="2"/>
      <c r="H1667" s="2"/>
      <c r="I1667" s="2"/>
      <c r="J1667" s="2"/>
      <c r="L1667" s="20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  <c r="AA1667" s="20"/>
      <c r="AB1667" s="20"/>
      <c r="AC1667" s="20"/>
      <c r="AD1667" s="20"/>
      <c r="AE1667" s="20"/>
    </row>
    <row r="1668" spans="2:31" x14ac:dyDescent="0.25">
      <c r="B1668" s="2"/>
      <c r="C1668" s="19"/>
      <c r="D1668" s="2"/>
      <c r="E1668" s="2"/>
      <c r="F1668" s="19"/>
      <c r="G1668" s="2"/>
      <c r="H1668" s="2"/>
      <c r="I1668" s="2"/>
      <c r="J1668" s="2"/>
      <c r="L1668" s="20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  <c r="AA1668" s="20"/>
      <c r="AB1668" s="20"/>
      <c r="AC1668" s="20"/>
      <c r="AD1668" s="20"/>
      <c r="AE1668" s="20"/>
    </row>
    <row r="1669" spans="2:31" x14ac:dyDescent="0.25">
      <c r="B1669" s="2"/>
      <c r="C1669" s="19"/>
      <c r="D1669" s="2"/>
      <c r="E1669" s="2"/>
      <c r="F1669" s="19"/>
      <c r="G1669" s="2"/>
      <c r="H1669" s="2"/>
      <c r="I1669" s="2"/>
      <c r="J1669" s="2"/>
      <c r="L1669" s="20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  <c r="AA1669" s="20"/>
      <c r="AB1669" s="20"/>
      <c r="AC1669" s="20"/>
      <c r="AD1669" s="20"/>
      <c r="AE1669" s="20"/>
    </row>
    <row r="1670" spans="2:31" x14ac:dyDescent="0.25">
      <c r="B1670" s="2"/>
      <c r="C1670" s="19"/>
      <c r="D1670" s="2"/>
      <c r="E1670" s="2"/>
      <c r="F1670" s="19"/>
      <c r="G1670" s="2"/>
      <c r="H1670" s="2"/>
      <c r="I1670" s="2"/>
      <c r="J1670" s="2"/>
      <c r="L1670" s="20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  <c r="AA1670" s="20"/>
      <c r="AB1670" s="20"/>
      <c r="AC1670" s="20"/>
      <c r="AD1670" s="20"/>
      <c r="AE1670" s="20"/>
    </row>
    <row r="1671" spans="2:31" x14ac:dyDescent="0.25">
      <c r="B1671" s="2"/>
      <c r="C1671" s="19"/>
      <c r="D1671" s="2"/>
      <c r="E1671" s="2"/>
      <c r="F1671" s="19"/>
      <c r="G1671" s="2"/>
      <c r="H1671" s="2"/>
      <c r="I1671" s="2"/>
      <c r="J1671" s="2"/>
      <c r="L1671" s="20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  <c r="AA1671" s="20"/>
      <c r="AB1671" s="20"/>
      <c r="AC1671" s="20"/>
      <c r="AD1671" s="20"/>
      <c r="AE1671" s="20"/>
    </row>
    <row r="1672" spans="2:31" x14ac:dyDescent="0.25">
      <c r="B1672" s="2"/>
      <c r="C1672" s="19"/>
      <c r="D1672" s="2"/>
      <c r="E1672" s="2"/>
      <c r="F1672" s="19"/>
      <c r="G1672" s="2"/>
      <c r="H1672" s="2"/>
      <c r="I1672" s="2"/>
      <c r="J1672" s="2"/>
      <c r="L1672" s="20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  <c r="AA1672" s="20"/>
      <c r="AB1672" s="20"/>
      <c r="AC1672" s="20"/>
      <c r="AD1672" s="20"/>
      <c r="AE1672" s="20"/>
    </row>
    <row r="1673" spans="2:31" x14ac:dyDescent="0.25">
      <c r="B1673" s="2"/>
      <c r="C1673" s="19"/>
      <c r="D1673" s="2"/>
      <c r="E1673" s="2"/>
      <c r="F1673" s="19"/>
      <c r="G1673" s="2"/>
      <c r="H1673" s="2"/>
      <c r="I1673" s="2"/>
      <c r="J1673" s="2"/>
      <c r="L1673" s="20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  <c r="AA1673" s="20"/>
      <c r="AB1673" s="20"/>
      <c r="AC1673" s="20"/>
      <c r="AD1673" s="20"/>
      <c r="AE1673" s="20"/>
    </row>
    <row r="1674" spans="2:31" x14ac:dyDescent="0.25">
      <c r="B1674" s="2"/>
      <c r="C1674" s="19"/>
      <c r="D1674" s="2"/>
      <c r="E1674" s="2"/>
      <c r="F1674" s="19"/>
      <c r="G1674" s="2"/>
      <c r="H1674" s="2"/>
      <c r="I1674" s="2"/>
      <c r="J1674" s="2"/>
      <c r="L1674" s="20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  <c r="AA1674" s="20"/>
      <c r="AB1674" s="20"/>
      <c r="AC1674" s="20"/>
      <c r="AD1674" s="20"/>
      <c r="AE1674" s="20"/>
    </row>
    <row r="1675" spans="2:31" x14ac:dyDescent="0.25">
      <c r="B1675" s="2"/>
      <c r="C1675" s="19"/>
      <c r="D1675" s="2"/>
      <c r="E1675" s="2"/>
      <c r="F1675" s="19"/>
      <c r="G1675" s="2"/>
      <c r="H1675" s="2"/>
      <c r="I1675" s="2"/>
      <c r="J1675" s="2"/>
      <c r="L1675" s="20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  <c r="AA1675" s="20"/>
      <c r="AB1675" s="20"/>
      <c r="AC1675" s="20"/>
      <c r="AD1675" s="20"/>
      <c r="AE1675" s="20"/>
    </row>
    <row r="1676" spans="2:31" x14ac:dyDescent="0.25">
      <c r="B1676" s="2"/>
      <c r="C1676" s="19"/>
      <c r="D1676" s="2"/>
      <c r="E1676" s="2"/>
      <c r="F1676" s="19"/>
      <c r="G1676" s="2"/>
      <c r="H1676" s="2"/>
      <c r="I1676" s="2"/>
      <c r="J1676" s="2"/>
      <c r="L1676" s="20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  <c r="AA1676" s="20"/>
      <c r="AB1676" s="20"/>
      <c r="AC1676" s="20"/>
      <c r="AD1676" s="20"/>
      <c r="AE1676" s="20"/>
    </row>
    <row r="1677" spans="2:31" x14ac:dyDescent="0.25">
      <c r="B1677" s="2"/>
      <c r="C1677" s="19"/>
      <c r="D1677" s="2"/>
      <c r="E1677" s="2"/>
      <c r="F1677" s="19"/>
      <c r="G1677" s="2"/>
      <c r="H1677" s="2"/>
      <c r="I1677" s="2"/>
      <c r="J1677" s="2"/>
      <c r="L1677" s="20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  <c r="AA1677" s="20"/>
      <c r="AB1677" s="20"/>
      <c r="AC1677" s="20"/>
      <c r="AD1677" s="20"/>
      <c r="AE1677" s="20"/>
    </row>
    <row r="1678" spans="2:31" x14ac:dyDescent="0.25">
      <c r="B1678" s="2"/>
      <c r="C1678" s="19"/>
      <c r="D1678" s="2"/>
      <c r="E1678" s="2"/>
      <c r="F1678" s="19"/>
      <c r="G1678" s="2"/>
      <c r="H1678" s="2"/>
      <c r="I1678" s="2"/>
      <c r="J1678" s="2"/>
      <c r="L1678" s="20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  <c r="AA1678" s="20"/>
      <c r="AB1678" s="20"/>
      <c r="AC1678" s="20"/>
      <c r="AD1678" s="20"/>
      <c r="AE1678" s="20"/>
    </row>
    <row r="1679" spans="2:31" x14ac:dyDescent="0.25">
      <c r="B1679" s="2"/>
      <c r="C1679" s="19"/>
      <c r="D1679" s="2"/>
      <c r="E1679" s="2"/>
      <c r="F1679" s="19"/>
      <c r="G1679" s="2"/>
      <c r="H1679" s="2"/>
      <c r="I1679" s="2"/>
      <c r="J1679" s="2"/>
      <c r="L1679" s="20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  <c r="AA1679" s="20"/>
      <c r="AB1679" s="20"/>
      <c r="AC1679" s="20"/>
      <c r="AD1679" s="20"/>
      <c r="AE1679" s="20"/>
    </row>
    <row r="1680" spans="2:31" x14ac:dyDescent="0.25">
      <c r="B1680" s="2"/>
      <c r="C1680" s="19"/>
      <c r="D1680" s="2"/>
      <c r="E1680" s="2"/>
      <c r="F1680" s="19"/>
      <c r="G1680" s="2"/>
      <c r="H1680" s="2"/>
      <c r="I1680" s="2"/>
      <c r="J1680" s="2"/>
      <c r="L1680" s="20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  <c r="AA1680" s="20"/>
      <c r="AB1680" s="20"/>
      <c r="AC1680" s="20"/>
      <c r="AD1680" s="20"/>
      <c r="AE1680" s="20"/>
    </row>
    <row r="1681" spans="2:31" x14ac:dyDescent="0.25">
      <c r="B1681" s="2"/>
      <c r="C1681" s="19"/>
      <c r="D1681" s="2"/>
      <c r="E1681" s="2"/>
      <c r="F1681" s="19"/>
      <c r="G1681" s="2"/>
      <c r="H1681" s="2"/>
      <c r="I1681" s="2"/>
      <c r="J1681" s="2"/>
      <c r="L1681" s="20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  <c r="AA1681" s="20"/>
      <c r="AB1681" s="20"/>
      <c r="AC1681" s="20"/>
      <c r="AD1681" s="20"/>
      <c r="AE1681" s="20"/>
    </row>
    <row r="1682" spans="2:31" x14ac:dyDescent="0.25">
      <c r="B1682" s="2"/>
      <c r="C1682" s="19"/>
      <c r="D1682" s="2"/>
      <c r="E1682" s="2"/>
      <c r="F1682" s="19"/>
      <c r="G1682" s="2"/>
      <c r="H1682" s="2"/>
      <c r="I1682" s="2"/>
      <c r="J1682" s="2"/>
      <c r="L1682" s="20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  <c r="AA1682" s="20"/>
      <c r="AB1682" s="20"/>
      <c r="AC1682" s="20"/>
      <c r="AD1682" s="20"/>
      <c r="AE1682" s="20"/>
    </row>
    <row r="1683" spans="2:31" x14ac:dyDescent="0.25">
      <c r="B1683" s="2"/>
      <c r="C1683" s="19"/>
      <c r="D1683" s="2"/>
      <c r="E1683" s="2"/>
      <c r="F1683" s="19"/>
      <c r="G1683" s="2"/>
      <c r="H1683" s="2"/>
      <c r="I1683" s="2"/>
      <c r="J1683" s="2"/>
      <c r="L1683" s="20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  <c r="AA1683" s="20"/>
      <c r="AB1683" s="20"/>
      <c r="AC1683" s="20"/>
      <c r="AD1683" s="20"/>
      <c r="AE1683" s="20"/>
    </row>
    <row r="1684" spans="2:31" x14ac:dyDescent="0.25">
      <c r="B1684" s="2"/>
      <c r="C1684" s="19"/>
      <c r="D1684" s="2"/>
      <c r="E1684" s="2"/>
      <c r="F1684" s="19"/>
      <c r="G1684" s="2"/>
      <c r="H1684" s="2"/>
      <c r="I1684" s="2"/>
      <c r="J1684" s="2"/>
      <c r="L1684" s="20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  <c r="AA1684" s="20"/>
      <c r="AB1684" s="20"/>
      <c r="AC1684" s="20"/>
      <c r="AD1684" s="20"/>
      <c r="AE1684" s="20"/>
    </row>
    <row r="1685" spans="2:31" x14ac:dyDescent="0.25">
      <c r="B1685" s="2"/>
      <c r="C1685" s="19"/>
      <c r="D1685" s="2"/>
      <c r="E1685" s="2"/>
      <c r="F1685" s="19"/>
      <c r="G1685" s="2"/>
      <c r="H1685" s="2"/>
      <c r="I1685" s="2"/>
      <c r="J1685" s="2"/>
      <c r="L1685" s="20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  <c r="AA1685" s="20"/>
      <c r="AB1685" s="20"/>
      <c r="AC1685" s="20"/>
      <c r="AD1685" s="20"/>
      <c r="AE1685" s="20"/>
    </row>
    <row r="1686" spans="2:31" x14ac:dyDescent="0.25">
      <c r="B1686" s="2"/>
      <c r="C1686" s="19"/>
      <c r="D1686" s="2"/>
      <c r="E1686" s="2"/>
      <c r="F1686" s="19"/>
      <c r="G1686" s="2"/>
      <c r="H1686" s="2"/>
      <c r="I1686" s="2"/>
      <c r="J1686" s="2"/>
      <c r="L1686" s="20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  <c r="AA1686" s="20"/>
      <c r="AB1686" s="20"/>
      <c r="AC1686" s="20"/>
      <c r="AD1686" s="20"/>
      <c r="AE1686" s="20"/>
    </row>
    <row r="1687" spans="2:31" x14ac:dyDescent="0.25">
      <c r="B1687" s="2"/>
      <c r="C1687" s="19"/>
      <c r="D1687" s="2"/>
      <c r="E1687" s="2"/>
      <c r="F1687" s="19"/>
      <c r="G1687" s="2"/>
      <c r="H1687" s="2"/>
      <c r="I1687" s="2"/>
      <c r="J1687" s="2"/>
      <c r="L1687" s="20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  <c r="AA1687" s="20"/>
      <c r="AB1687" s="20"/>
      <c r="AC1687" s="20"/>
      <c r="AD1687" s="20"/>
      <c r="AE1687" s="20"/>
    </row>
    <row r="1688" spans="2:31" x14ac:dyDescent="0.25">
      <c r="B1688" s="2"/>
      <c r="C1688" s="19"/>
      <c r="D1688" s="2"/>
      <c r="E1688" s="2"/>
      <c r="F1688" s="19"/>
      <c r="G1688" s="2"/>
      <c r="H1688" s="2"/>
      <c r="I1688" s="2"/>
      <c r="J1688" s="2"/>
      <c r="L1688" s="20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  <c r="AA1688" s="20"/>
      <c r="AB1688" s="20"/>
      <c r="AC1688" s="20"/>
      <c r="AD1688" s="20"/>
      <c r="AE1688" s="20"/>
    </row>
    <row r="1689" spans="2:31" x14ac:dyDescent="0.25">
      <c r="B1689" s="2"/>
      <c r="C1689" s="19"/>
      <c r="D1689" s="2"/>
      <c r="E1689" s="2"/>
      <c r="F1689" s="19"/>
      <c r="G1689" s="2"/>
      <c r="H1689" s="2"/>
      <c r="I1689" s="2"/>
      <c r="J1689" s="2"/>
      <c r="L1689" s="20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  <c r="AA1689" s="20"/>
      <c r="AB1689" s="20"/>
      <c r="AC1689" s="20"/>
      <c r="AD1689" s="20"/>
      <c r="AE1689" s="20"/>
    </row>
    <row r="1690" spans="2:31" x14ac:dyDescent="0.25">
      <c r="B1690" s="2"/>
      <c r="C1690" s="19"/>
      <c r="D1690" s="2"/>
      <c r="E1690" s="2"/>
      <c r="F1690" s="19"/>
      <c r="G1690" s="2"/>
      <c r="H1690" s="2"/>
      <c r="I1690" s="2"/>
      <c r="J1690" s="2"/>
      <c r="L1690" s="20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  <c r="AA1690" s="20"/>
      <c r="AB1690" s="20"/>
      <c r="AC1690" s="20"/>
      <c r="AD1690" s="20"/>
      <c r="AE1690" s="20"/>
    </row>
    <row r="1691" spans="2:31" x14ac:dyDescent="0.25">
      <c r="B1691" s="2"/>
      <c r="C1691" s="19"/>
      <c r="D1691" s="2"/>
      <c r="E1691" s="2"/>
      <c r="F1691" s="19"/>
      <c r="G1691" s="2"/>
      <c r="H1691" s="2"/>
      <c r="I1691" s="2"/>
      <c r="J1691" s="2"/>
      <c r="L1691" s="20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  <c r="AA1691" s="20"/>
      <c r="AB1691" s="20"/>
      <c r="AC1691" s="20"/>
      <c r="AD1691" s="20"/>
      <c r="AE1691" s="20"/>
    </row>
    <row r="1692" spans="2:31" x14ac:dyDescent="0.25">
      <c r="B1692" s="2"/>
      <c r="C1692" s="19"/>
      <c r="D1692" s="2"/>
      <c r="E1692" s="2"/>
      <c r="F1692" s="19"/>
      <c r="G1692" s="2"/>
      <c r="H1692" s="2"/>
      <c r="I1692" s="2"/>
      <c r="J1692" s="2"/>
      <c r="L1692" s="20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  <c r="AA1692" s="20"/>
      <c r="AB1692" s="20"/>
      <c r="AC1692" s="20"/>
      <c r="AD1692" s="20"/>
      <c r="AE1692" s="20"/>
    </row>
    <row r="1693" spans="2:31" x14ac:dyDescent="0.25">
      <c r="B1693" s="2"/>
      <c r="C1693" s="19"/>
      <c r="D1693" s="2"/>
      <c r="E1693" s="2"/>
      <c r="F1693" s="19"/>
      <c r="G1693" s="2"/>
      <c r="H1693" s="2"/>
      <c r="I1693" s="2"/>
      <c r="J1693" s="2"/>
      <c r="L1693" s="20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  <c r="AA1693" s="20"/>
      <c r="AB1693" s="20"/>
      <c r="AC1693" s="20"/>
      <c r="AD1693" s="20"/>
      <c r="AE1693" s="20"/>
    </row>
    <row r="1694" spans="2:31" x14ac:dyDescent="0.25">
      <c r="B1694" s="2"/>
      <c r="C1694" s="19"/>
      <c r="D1694" s="2"/>
      <c r="E1694" s="2"/>
      <c r="F1694" s="19"/>
      <c r="G1694" s="2"/>
      <c r="H1694" s="2"/>
      <c r="I1694" s="2"/>
      <c r="J1694" s="2"/>
      <c r="L1694" s="20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  <c r="AA1694" s="20"/>
      <c r="AB1694" s="20"/>
      <c r="AC1694" s="20"/>
      <c r="AD1694" s="20"/>
      <c r="AE1694" s="20"/>
    </row>
    <row r="1695" spans="2:31" x14ac:dyDescent="0.25">
      <c r="B1695" s="2"/>
      <c r="C1695" s="19"/>
      <c r="D1695" s="2"/>
      <c r="E1695" s="2"/>
      <c r="F1695" s="19"/>
      <c r="G1695" s="2"/>
      <c r="H1695" s="2"/>
      <c r="I1695" s="2"/>
      <c r="J1695" s="2"/>
      <c r="L1695" s="20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  <c r="AA1695" s="20"/>
      <c r="AB1695" s="20"/>
      <c r="AC1695" s="20"/>
      <c r="AD1695" s="20"/>
      <c r="AE1695" s="20"/>
    </row>
    <row r="1696" spans="2:31" x14ac:dyDescent="0.25">
      <c r="B1696" s="2"/>
      <c r="C1696" s="19"/>
      <c r="D1696" s="2"/>
      <c r="E1696" s="2"/>
      <c r="F1696" s="19"/>
      <c r="G1696" s="2"/>
      <c r="H1696" s="2"/>
      <c r="I1696" s="2"/>
      <c r="J1696" s="2"/>
      <c r="L1696" s="20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  <c r="AA1696" s="20"/>
      <c r="AB1696" s="20"/>
      <c r="AC1696" s="20"/>
      <c r="AD1696" s="20"/>
      <c r="AE1696" s="20"/>
    </row>
    <row r="1697" spans="2:31" x14ac:dyDescent="0.25">
      <c r="B1697" s="2"/>
      <c r="C1697" s="19"/>
      <c r="D1697" s="2"/>
      <c r="E1697" s="2"/>
      <c r="F1697" s="19"/>
      <c r="G1697" s="2"/>
      <c r="H1697" s="2"/>
      <c r="I1697" s="2"/>
      <c r="J1697" s="2"/>
      <c r="L1697" s="20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  <c r="AA1697" s="20"/>
      <c r="AB1697" s="20"/>
      <c r="AC1697" s="20"/>
      <c r="AD1697" s="20"/>
      <c r="AE1697" s="20"/>
    </row>
    <row r="1698" spans="2:31" x14ac:dyDescent="0.25">
      <c r="B1698" s="2"/>
      <c r="C1698" s="19"/>
      <c r="D1698" s="2"/>
      <c r="E1698" s="2"/>
      <c r="F1698" s="19"/>
      <c r="G1698" s="2"/>
      <c r="H1698" s="2"/>
      <c r="I1698" s="2"/>
      <c r="J1698" s="2"/>
      <c r="L1698" s="20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  <c r="AA1698" s="20"/>
      <c r="AB1698" s="20"/>
      <c r="AC1698" s="20"/>
      <c r="AD1698" s="20"/>
      <c r="AE1698" s="20"/>
    </row>
    <row r="1699" spans="2:31" x14ac:dyDescent="0.25">
      <c r="B1699" s="2"/>
      <c r="C1699" s="19"/>
      <c r="D1699" s="2"/>
      <c r="E1699" s="2"/>
      <c r="F1699" s="19"/>
      <c r="G1699" s="2"/>
      <c r="H1699" s="2"/>
      <c r="I1699" s="2"/>
      <c r="J1699" s="2"/>
      <c r="L1699" s="20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  <c r="AA1699" s="20"/>
      <c r="AB1699" s="20"/>
      <c r="AC1699" s="20"/>
      <c r="AD1699" s="20"/>
      <c r="AE1699" s="20"/>
    </row>
    <row r="1700" spans="2:31" x14ac:dyDescent="0.25">
      <c r="B1700" s="2"/>
      <c r="C1700" s="19"/>
      <c r="D1700" s="2"/>
      <c r="E1700" s="2"/>
      <c r="F1700" s="19"/>
      <c r="G1700" s="2"/>
      <c r="H1700" s="2"/>
      <c r="I1700" s="2"/>
      <c r="J1700" s="2"/>
      <c r="L1700" s="20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  <c r="AA1700" s="20"/>
      <c r="AB1700" s="20"/>
      <c r="AC1700" s="20"/>
      <c r="AD1700" s="20"/>
      <c r="AE1700" s="20"/>
    </row>
    <row r="1701" spans="2:31" x14ac:dyDescent="0.25">
      <c r="B1701" s="2"/>
      <c r="C1701" s="19"/>
      <c r="D1701" s="2"/>
      <c r="E1701" s="2"/>
      <c r="F1701" s="19"/>
      <c r="G1701" s="2"/>
      <c r="H1701" s="2"/>
      <c r="I1701" s="2"/>
      <c r="J1701" s="2"/>
      <c r="L1701" s="20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  <c r="AA1701" s="20"/>
      <c r="AB1701" s="20"/>
      <c r="AC1701" s="20"/>
      <c r="AD1701" s="20"/>
      <c r="AE1701" s="20"/>
    </row>
    <row r="1702" spans="2:31" x14ac:dyDescent="0.25">
      <c r="B1702" s="2"/>
      <c r="C1702" s="19"/>
      <c r="D1702" s="2"/>
      <c r="E1702" s="2"/>
      <c r="F1702" s="19"/>
      <c r="G1702" s="2"/>
      <c r="H1702" s="2"/>
      <c r="I1702" s="2"/>
      <c r="J1702" s="2"/>
      <c r="L1702" s="20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  <c r="AA1702" s="20"/>
      <c r="AB1702" s="20"/>
      <c r="AC1702" s="20"/>
      <c r="AD1702" s="20"/>
      <c r="AE1702" s="20"/>
    </row>
    <row r="1703" spans="2:31" x14ac:dyDescent="0.25">
      <c r="B1703" s="2"/>
      <c r="C1703" s="19"/>
      <c r="D1703" s="2"/>
      <c r="E1703" s="2"/>
      <c r="F1703" s="19"/>
      <c r="G1703" s="2"/>
      <c r="H1703" s="2"/>
      <c r="I1703" s="2"/>
      <c r="J1703" s="2"/>
      <c r="L1703" s="20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  <c r="AA1703" s="20"/>
      <c r="AB1703" s="20"/>
      <c r="AC1703" s="20"/>
      <c r="AD1703" s="20"/>
      <c r="AE1703" s="20"/>
    </row>
    <row r="1704" spans="2:31" x14ac:dyDescent="0.25">
      <c r="B1704" s="2"/>
      <c r="C1704" s="19"/>
      <c r="D1704" s="2"/>
      <c r="E1704" s="2"/>
      <c r="F1704" s="19"/>
      <c r="G1704" s="2"/>
      <c r="H1704" s="2"/>
      <c r="I1704" s="2"/>
      <c r="J1704" s="2"/>
      <c r="L1704" s="20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  <c r="AA1704" s="20"/>
      <c r="AB1704" s="20"/>
      <c r="AC1704" s="20"/>
      <c r="AD1704" s="20"/>
      <c r="AE1704" s="20"/>
    </row>
    <row r="1705" spans="2:31" x14ac:dyDescent="0.25">
      <c r="B1705" s="2"/>
      <c r="C1705" s="19"/>
      <c r="D1705" s="2"/>
      <c r="E1705" s="2"/>
      <c r="F1705" s="19"/>
      <c r="G1705" s="2"/>
      <c r="H1705" s="2"/>
      <c r="I1705" s="2"/>
      <c r="J1705" s="2"/>
      <c r="L1705" s="20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  <c r="AA1705" s="20"/>
      <c r="AB1705" s="20"/>
      <c r="AC1705" s="20"/>
      <c r="AD1705" s="20"/>
      <c r="AE1705" s="20"/>
    </row>
    <row r="1706" spans="2:31" x14ac:dyDescent="0.25">
      <c r="B1706" s="2"/>
      <c r="C1706" s="19"/>
      <c r="D1706" s="2"/>
      <c r="E1706" s="2"/>
      <c r="F1706" s="19"/>
      <c r="G1706" s="2"/>
      <c r="H1706" s="2"/>
      <c r="I1706" s="2"/>
      <c r="J1706" s="2"/>
      <c r="L1706" s="20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  <c r="AA1706" s="20"/>
      <c r="AB1706" s="20"/>
      <c r="AC1706" s="20"/>
      <c r="AD1706" s="20"/>
      <c r="AE1706" s="20"/>
    </row>
    <row r="1707" spans="2:31" x14ac:dyDescent="0.25">
      <c r="B1707" s="2"/>
      <c r="C1707" s="19"/>
      <c r="D1707" s="2"/>
      <c r="E1707" s="2"/>
      <c r="F1707" s="19"/>
      <c r="G1707" s="2"/>
      <c r="H1707" s="2"/>
      <c r="I1707" s="2"/>
      <c r="J1707" s="2"/>
      <c r="L1707" s="20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  <c r="AA1707" s="20"/>
      <c r="AB1707" s="20"/>
      <c r="AC1707" s="20"/>
      <c r="AD1707" s="20"/>
      <c r="AE1707" s="20"/>
    </row>
    <row r="1708" spans="2:31" x14ac:dyDescent="0.25">
      <c r="B1708" s="2"/>
      <c r="C1708" s="19"/>
      <c r="D1708" s="2"/>
      <c r="E1708" s="2"/>
      <c r="F1708" s="19"/>
      <c r="G1708" s="2"/>
      <c r="H1708" s="2"/>
      <c r="I1708" s="2"/>
      <c r="J1708" s="2"/>
      <c r="L1708" s="20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  <c r="AA1708" s="20"/>
      <c r="AB1708" s="20"/>
      <c r="AC1708" s="20"/>
      <c r="AD1708" s="20"/>
      <c r="AE1708" s="20"/>
    </row>
    <row r="1709" spans="2:31" x14ac:dyDescent="0.25">
      <c r="B1709" s="2"/>
      <c r="C1709" s="19"/>
      <c r="D1709" s="2"/>
      <c r="E1709" s="2"/>
      <c r="F1709" s="19"/>
      <c r="G1709" s="2"/>
      <c r="H1709" s="2"/>
      <c r="I1709" s="2"/>
      <c r="J1709" s="2"/>
      <c r="L1709" s="20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  <c r="AA1709" s="20"/>
      <c r="AB1709" s="20"/>
      <c r="AC1709" s="20"/>
      <c r="AD1709" s="20"/>
      <c r="AE1709" s="20"/>
    </row>
    <row r="1710" spans="2:31" x14ac:dyDescent="0.25">
      <c r="B1710" s="2"/>
      <c r="C1710" s="19"/>
      <c r="D1710" s="2"/>
      <c r="E1710" s="2"/>
      <c r="F1710" s="19"/>
      <c r="G1710" s="2"/>
      <c r="H1710" s="2"/>
      <c r="I1710" s="2"/>
      <c r="J1710" s="2"/>
      <c r="L1710" s="20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  <c r="AA1710" s="20"/>
      <c r="AB1710" s="20"/>
      <c r="AC1710" s="20"/>
      <c r="AD1710" s="20"/>
      <c r="AE1710" s="20"/>
    </row>
    <row r="1711" spans="2:31" x14ac:dyDescent="0.25">
      <c r="B1711" s="2"/>
      <c r="C1711" s="19"/>
      <c r="D1711" s="2"/>
      <c r="E1711" s="2"/>
      <c r="F1711" s="19"/>
      <c r="G1711" s="2"/>
      <c r="H1711" s="2"/>
      <c r="I1711" s="2"/>
      <c r="J1711" s="2"/>
      <c r="L1711" s="20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  <c r="AA1711" s="20"/>
      <c r="AB1711" s="20"/>
      <c r="AC1711" s="20"/>
      <c r="AD1711" s="20"/>
      <c r="AE1711" s="20"/>
    </row>
    <row r="1712" spans="2:31" x14ac:dyDescent="0.25">
      <c r="B1712" s="2"/>
      <c r="C1712" s="19"/>
      <c r="D1712" s="2"/>
      <c r="E1712" s="2"/>
      <c r="F1712" s="19"/>
      <c r="G1712" s="2"/>
      <c r="H1712" s="2"/>
      <c r="I1712" s="2"/>
      <c r="J1712" s="2"/>
      <c r="L1712" s="20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  <c r="AA1712" s="20"/>
      <c r="AB1712" s="20"/>
      <c r="AC1712" s="20"/>
      <c r="AD1712" s="20"/>
      <c r="AE1712" s="20"/>
    </row>
    <row r="1713" spans="2:31" x14ac:dyDescent="0.25">
      <c r="B1713" s="2"/>
      <c r="C1713" s="19"/>
      <c r="D1713" s="2"/>
      <c r="E1713" s="2"/>
      <c r="F1713" s="19"/>
      <c r="G1713" s="2"/>
      <c r="H1713" s="2"/>
      <c r="I1713" s="2"/>
      <c r="J1713" s="2"/>
      <c r="L1713" s="20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  <c r="AA1713" s="20"/>
      <c r="AB1713" s="20"/>
      <c r="AC1713" s="20"/>
      <c r="AD1713" s="20"/>
      <c r="AE1713" s="20"/>
    </row>
    <row r="1714" spans="2:31" x14ac:dyDescent="0.25">
      <c r="B1714" s="2"/>
      <c r="C1714" s="19"/>
      <c r="D1714" s="2"/>
      <c r="E1714" s="2"/>
      <c r="F1714" s="19"/>
      <c r="G1714" s="2"/>
      <c r="H1714" s="2"/>
      <c r="I1714" s="2"/>
      <c r="J1714" s="2"/>
      <c r="L1714" s="20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  <c r="AA1714" s="20"/>
      <c r="AB1714" s="20"/>
      <c r="AC1714" s="20"/>
      <c r="AD1714" s="20"/>
      <c r="AE1714" s="20"/>
    </row>
    <row r="1715" spans="2:31" x14ac:dyDescent="0.25">
      <c r="B1715" s="2"/>
      <c r="C1715" s="19"/>
      <c r="D1715" s="2"/>
      <c r="E1715" s="2"/>
      <c r="F1715" s="19"/>
      <c r="G1715" s="2"/>
      <c r="H1715" s="2"/>
      <c r="I1715" s="2"/>
      <c r="J1715" s="2"/>
      <c r="L1715" s="20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  <c r="AA1715" s="20"/>
      <c r="AB1715" s="20"/>
      <c r="AC1715" s="20"/>
      <c r="AD1715" s="20"/>
      <c r="AE1715" s="20"/>
    </row>
    <row r="1716" spans="2:31" x14ac:dyDescent="0.25">
      <c r="B1716" s="2"/>
      <c r="C1716" s="19"/>
      <c r="D1716" s="2"/>
      <c r="E1716" s="2"/>
      <c r="F1716" s="19"/>
      <c r="G1716" s="2"/>
      <c r="H1716" s="2"/>
      <c r="I1716" s="2"/>
      <c r="J1716" s="2"/>
      <c r="L1716" s="20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  <c r="AA1716" s="20"/>
      <c r="AB1716" s="20"/>
      <c r="AC1716" s="20"/>
      <c r="AD1716" s="20"/>
      <c r="AE1716" s="20"/>
    </row>
    <row r="1717" spans="2:31" x14ac:dyDescent="0.25">
      <c r="B1717" s="2"/>
      <c r="C1717" s="19"/>
      <c r="D1717" s="2"/>
      <c r="E1717" s="2"/>
      <c r="F1717" s="19"/>
      <c r="G1717" s="2"/>
      <c r="H1717" s="2"/>
      <c r="I1717" s="2"/>
      <c r="J1717" s="2"/>
      <c r="L1717" s="20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  <c r="AA1717" s="20"/>
      <c r="AB1717" s="20"/>
      <c r="AC1717" s="20"/>
      <c r="AD1717" s="20"/>
      <c r="AE1717" s="20"/>
    </row>
    <row r="1718" spans="2:31" x14ac:dyDescent="0.25">
      <c r="B1718" s="2"/>
      <c r="C1718" s="19"/>
      <c r="D1718" s="2"/>
      <c r="E1718" s="2"/>
      <c r="F1718" s="19"/>
      <c r="G1718" s="2"/>
      <c r="H1718" s="2"/>
      <c r="I1718" s="2"/>
      <c r="J1718" s="2"/>
      <c r="L1718" s="20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  <c r="AA1718" s="20"/>
      <c r="AB1718" s="20"/>
      <c r="AC1718" s="20"/>
      <c r="AD1718" s="20"/>
      <c r="AE1718" s="20"/>
    </row>
    <row r="1719" spans="2:31" x14ac:dyDescent="0.25">
      <c r="B1719" s="2"/>
      <c r="C1719" s="19"/>
      <c r="D1719" s="2"/>
      <c r="E1719" s="2"/>
      <c r="F1719" s="19"/>
      <c r="G1719" s="2"/>
      <c r="H1719" s="2"/>
      <c r="I1719" s="2"/>
      <c r="J1719" s="2"/>
      <c r="L1719" s="20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  <c r="AA1719" s="20"/>
      <c r="AB1719" s="20"/>
      <c r="AC1719" s="20"/>
      <c r="AD1719" s="20"/>
      <c r="AE1719" s="20"/>
    </row>
    <row r="1720" spans="2:31" x14ac:dyDescent="0.25">
      <c r="B1720" s="2"/>
      <c r="C1720" s="19"/>
      <c r="D1720" s="2"/>
      <c r="E1720" s="2"/>
      <c r="F1720" s="19"/>
      <c r="G1720" s="2"/>
      <c r="H1720" s="2"/>
      <c r="I1720" s="2"/>
      <c r="J1720" s="2"/>
      <c r="L1720" s="20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  <c r="AA1720" s="20"/>
      <c r="AB1720" s="20"/>
      <c r="AC1720" s="20"/>
      <c r="AD1720" s="20"/>
      <c r="AE1720" s="20"/>
    </row>
    <row r="1721" spans="2:31" x14ac:dyDescent="0.25">
      <c r="B1721" s="2"/>
      <c r="C1721" s="19"/>
      <c r="D1721" s="2"/>
      <c r="E1721" s="2"/>
      <c r="F1721" s="19"/>
      <c r="G1721" s="2"/>
      <c r="H1721" s="2"/>
      <c r="I1721" s="2"/>
      <c r="J1721" s="2"/>
      <c r="L1721" s="20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  <c r="AA1721" s="20"/>
      <c r="AB1721" s="20"/>
      <c r="AC1721" s="20"/>
      <c r="AD1721" s="20"/>
      <c r="AE1721" s="20"/>
    </row>
    <row r="1722" spans="2:31" x14ac:dyDescent="0.25">
      <c r="B1722" s="2"/>
      <c r="C1722" s="19"/>
      <c r="D1722" s="2"/>
      <c r="E1722" s="2"/>
      <c r="F1722" s="19"/>
      <c r="G1722" s="2"/>
      <c r="H1722" s="2"/>
      <c r="I1722" s="2"/>
      <c r="J1722" s="2"/>
      <c r="L1722" s="20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  <c r="AA1722" s="20"/>
      <c r="AB1722" s="20"/>
      <c r="AC1722" s="20"/>
      <c r="AD1722" s="20"/>
      <c r="AE1722" s="20"/>
    </row>
    <row r="1723" spans="2:31" x14ac:dyDescent="0.25">
      <c r="B1723" s="2"/>
      <c r="C1723" s="19"/>
      <c r="D1723" s="2"/>
      <c r="E1723" s="2"/>
      <c r="F1723" s="19"/>
      <c r="G1723" s="2"/>
      <c r="H1723" s="2"/>
      <c r="I1723" s="2"/>
      <c r="J1723" s="2"/>
      <c r="L1723" s="20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  <c r="AA1723" s="20"/>
      <c r="AB1723" s="20"/>
      <c r="AC1723" s="20"/>
      <c r="AD1723" s="20"/>
      <c r="AE1723" s="20"/>
    </row>
    <row r="1724" spans="2:31" x14ac:dyDescent="0.25">
      <c r="B1724" s="2"/>
      <c r="C1724" s="19"/>
      <c r="D1724" s="2"/>
      <c r="E1724" s="2"/>
      <c r="F1724" s="19"/>
      <c r="G1724" s="2"/>
      <c r="H1724" s="2"/>
      <c r="I1724" s="2"/>
      <c r="J1724" s="2"/>
      <c r="L1724" s="20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  <c r="AA1724" s="20"/>
      <c r="AB1724" s="20"/>
      <c r="AC1724" s="20"/>
      <c r="AD1724" s="20"/>
      <c r="AE1724" s="20"/>
    </row>
    <row r="1725" spans="2:31" x14ac:dyDescent="0.25">
      <c r="B1725" s="2"/>
      <c r="C1725" s="19"/>
      <c r="D1725" s="2"/>
      <c r="E1725" s="2"/>
      <c r="F1725" s="19"/>
      <c r="G1725" s="2"/>
      <c r="H1725" s="2"/>
      <c r="I1725" s="2"/>
      <c r="J1725" s="2"/>
      <c r="L1725" s="20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  <c r="AA1725" s="20"/>
      <c r="AB1725" s="20"/>
      <c r="AC1725" s="20"/>
      <c r="AD1725" s="20"/>
      <c r="AE1725" s="20"/>
    </row>
    <row r="1726" spans="2:31" x14ac:dyDescent="0.25">
      <c r="B1726" s="2"/>
      <c r="C1726" s="19"/>
      <c r="D1726" s="2"/>
      <c r="E1726" s="2"/>
      <c r="F1726" s="19"/>
      <c r="G1726" s="2"/>
      <c r="H1726" s="2"/>
      <c r="I1726" s="2"/>
      <c r="J1726" s="2"/>
      <c r="L1726" s="20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  <c r="AA1726" s="20"/>
      <c r="AB1726" s="20"/>
      <c r="AC1726" s="20"/>
      <c r="AD1726" s="20"/>
      <c r="AE1726" s="20"/>
    </row>
    <row r="1727" spans="2:31" x14ac:dyDescent="0.25">
      <c r="B1727" s="2"/>
      <c r="C1727" s="19"/>
      <c r="D1727" s="2"/>
      <c r="E1727" s="2"/>
      <c r="F1727" s="19"/>
      <c r="G1727" s="2"/>
      <c r="H1727" s="2"/>
      <c r="I1727" s="2"/>
      <c r="J1727" s="2"/>
      <c r="L1727" s="20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  <c r="AA1727" s="20"/>
      <c r="AB1727" s="20"/>
      <c r="AC1727" s="20"/>
      <c r="AD1727" s="20"/>
      <c r="AE1727" s="20"/>
    </row>
    <row r="1728" spans="2:31" x14ac:dyDescent="0.25">
      <c r="B1728" s="2"/>
      <c r="C1728" s="19"/>
      <c r="D1728" s="2"/>
      <c r="E1728" s="2"/>
      <c r="F1728" s="19"/>
      <c r="G1728" s="2"/>
      <c r="H1728" s="2"/>
      <c r="I1728" s="2"/>
      <c r="J1728" s="2"/>
      <c r="L1728" s="20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  <c r="AA1728" s="20"/>
      <c r="AB1728" s="20"/>
      <c r="AC1728" s="20"/>
      <c r="AD1728" s="20"/>
      <c r="AE1728" s="20"/>
    </row>
    <row r="1729" spans="2:31" x14ac:dyDescent="0.25">
      <c r="B1729" s="2"/>
      <c r="C1729" s="19"/>
      <c r="D1729" s="2"/>
      <c r="E1729" s="2"/>
      <c r="F1729" s="19"/>
      <c r="G1729" s="2"/>
      <c r="H1729" s="2"/>
      <c r="I1729" s="2"/>
      <c r="J1729" s="2"/>
      <c r="L1729" s="20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  <c r="AA1729" s="20"/>
      <c r="AB1729" s="20"/>
      <c r="AC1729" s="20"/>
      <c r="AD1729" s="20"/>
      <c r="AE1729" s="20"/>
    </row>
    <row r="1730" spans="2:31" x14ac:dyDescent="0.25">
      <c r="B1730" s="2"/>
      <c r="C1730" s="19"/>
      <c r="D1730" s="2"/>
      <c r="E1730" s="2"/>
      <c r="F1730" s="19"/>
      <c r="G1730" s="2"/>
      <c r="H1730" s="2"/>
      <c r="I1730" s="2"/>
      <c r="J1730" s="2"/>
      <c r="L1730" s="20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  <c r="AA1730" s="20"/>
      <c r="AB1730" s="20"/>
      <c r="AC1730" s="20"/>
      <c r="AD1730" s="20"/>
      <c r="AE1730" s="20"/>
    </row>
    <row r="1731" spans="2:31" x14ac:dyDescent="0.25">
      <c r="B1731" s="2"/>
      <c r="C1731" s="19"/>
      <c r="D1731" s="2"/>
      <c r="E1731" s="2"/>
      <c r="F1731" s="19"/>
      <c r="G1731" s="2"/>
      <c r="H1731" s="2"/>
      <c r="I1731" s="2"/>
      <c r="J1731" s="2"/>
      <c r="L1731" s="20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  <c r="AA1731" s="20"/>
      <c r="AB1731" s="20"/>
      <c r="AC1731" s="20"/>
      <c r="AD1731" s="20"/>
      <c r="AE1731" s="20"/>
    </row>
    <row r="1732" spans="2:31" x14ac:dyDescent="0.25">
      <c r="B1732" s="2"/>
      <c r="C1732" s="19"/>
      <c r="D1732" s="2"/>
      <c r="E1732" s="2"/>
      <c r="F1732" s="19"/>
      <c r="G1732" s="2"/>
      <c r="H1732" s="2"/>
      <c r="I1732" s="2"/>
      <c r="J1732" s="2"/>
      <c r="L1732" s="20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  <c r="AA1732" s="20"/>
      <c r="AB1732" s="20"/>
      <c r="AC1732" s="20"/>
      <c r="AD1732" s="20"/>
      <c r="AE1732" s="20"/>
    </row>
    <row r="1733" spans="2:31" x14ac:dyDescent="0.25">
      <c r="B1733" s="2"/>
      <c r="C1733" s="19"/>
      <c r="D1733" s="2"/>
      <c r="E1733" s="2"/>
      <c r="F1733" s="19"/>
      <c r="G1733" s="2"/>
      <c r="H1733" s="2"/>
      <c r="I1733" s="2"/>
      <c r="J1733" s="2"/>
      <c r="L1733" s="20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  <c r="AA1733" s="20"/>
      <c r="AB1733" s="20"/>
      <c r="AC1733" s="20"/>
      <c r="AD1733" s="20"/>
      <c r="AE1733" s="20"/>
    </row>
    <row r="1734" spans="2:31" x14ac:dyDescent="0.25">
      <c r="B1734" s="2"/>
      <c r="C1734" s="19"/>
      <c r="D1734" s="2"/>
      <c r="E1734" s="2"/>
      <c r="F1734" s="19"/>
      <c r="G1734" s="2"/>
      <c r="H1734" s="2"/>
      <c r="I1734" s="2"/>
      <c r="J1734" s="2"/>
      <c r="L1734" s="20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  <c r="AA1734" s="20"/>
      <c r="AB1734" s="20"/>
      <c r="AC1734" s="20"/>
      <c r="AD1734" s="20"/>
      <c r="AE1734" s="20"/>
    </row>
    <row r="1735" spans="2:31" x14ac:dyDescent="0.25">
      <c r="B1735" s="2"/>
      <c r="C1735" s="19"/>
      <c r="D1735" s="2"/>
      <c r="E1735" s="2"/>
      <c r="F1735" s="19"/>
      <c r="G1735" s="2"/>
      <c r="H1735" s="2"/>
      <c r="I1735" s="2"/>
      <c r="J1735" s="2"/>
      <c r="L1735" s="20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  <c r="AA1735" s="20"/>
      <c r="AB1735" s="20"/>
      <c r="AC1735" s="20"/>
      <c r="AD1735" s="20"/>
      <c r="AE1735" s="20"/>
    </row>
    <row r="1736" spans="2:31" x14ac:dyDescent="0.25">
      <c r="B1736" s="2"/>
      <c r="C1736" s="19"/>
      <c r="D1736" s="2"/>
      <c r="E1736" s="2"/>
      <c r="F1736" s="19"/>
      <c r="G1736" s="2"/>
      <c r="H1736" s="2"/>
      <c r="I1736" s="2"/>
      <c r="J1736" s="2"/>
      <c r="L1736" s="20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  <c r="AA1736" s="20"/>
      <c r="AB1736" s="20"/>
      <c r="AC1736" s="20"/>
      <c r="AD1736" s="20"/>
      <c r="AE1736" s="20"/>
    </row>
    <row r="1737" spans="2:31" x14ac:dyDescent="0.25">
      <c r="B1737" s="2"/>
      <c r="C1737" s="19"/>
      <c r="D1737" s="2"/>
      <c r="E1737" s="2"/>
      <c r="F1737" s="19"/>
      <c r="G1737" s="2"/>
      <c r="H1737" s="2"/>
      <c r="I1737" s="2"/>
      <c r="J1737" s="2"/>
      <c r="L1737" s="20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  <c r="AA1737" s="20"/>
      <c r="AB1737" s="20"/>
      <c r="AC1737" s="20"/>
      <c r="AD1737" s="20"/>
      <c r="AE1737" s="20"/>
    </row>
    <row r="1738" spans="2:31" x14ac:dyDescent="0.25">
      <c r="B1738" s="2"/>
      <c r="C1738" s="19"/>
      <c r="D1738" s="2"/>
      <c r="E1738" s="2"/>
      <c r="F1738" s="19"/>
      <c r="G1738" s="2"/>
      <c r="H1738" s="2"/>
      <c r="I1738" s="2"/>
      <c r="J1738" s="2"/>
      <c r="L1738" s="20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  <c r="AA1738" s="20"/>
      <c r="AB1738" s="20"/>
      <c r="AC1738" s="20"/>
      <c r="AD1738" s="20"/>
      <c r="AE1738" s="20"/>
    </row>
    <row r="1739" spans="2:31" x14ac:dyDescent="0.25">
      <c r="B1739" s="2"/>
      <c r="C1739" s="19"/>
      <c r="D1739" s="2"/>
      <c r="E1739" s="2"/>
      <c r="F1739" s="19"/>
      <c r="G1739" s="2"/>
      <c r="H1739" s="2"/>
      <c r="I1739" s="2"/>
      <c r="J1739" s="2"/>
      <c r="L1739" s="20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  <c r="AA1739" s="20"/>
      <c r="AB1739" s="20"/>
      <c r="AC1739" s="20"/>
      <c r="AD1739" s="20"/>
      <c r="AE1739" s="20"/>
    </row>
    <row r="1740" spans="2:31" x14ac:dyDescent="0.25">
      <c r="B1740" s="2"/>
      <c r="C1740" s="19"/>
      <c r="D1740" s="2"/>
      <c r="E1740" s="2"/>
      <c r="F1740" s="19"/>
      <c r="G1740" s="2"/>
      <c r="H1740" s="2"/>
      <c r="I1740" s="2"/>
      <c r="J1740" s="2"/>
      <c r="L1740" s="20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  <c r="AA1740" s="20"/>
      <c r="AB1740" s="20"/>
      <c r="AC1740" s="20"/>
      <c r="AD1740" s="20"/>
      <c r="AE1740" s="20"/>
    </row>
    <row r="1741" spans="2:31" x14ac:dyDescent="0.25">
      <c r="B1741" s="2"/>
      <c r="C1741" s="19"/>
      <c r="D1741" s="2"/>
      <c r="E1741" s="2"/>
      <c r="F1741" s="19"/>
      <c r="G1741" s="2"/>
      <c r="H1741" s="2"/>
      <c r="I1741" s="2"/>
      <c r="J1741" s="2"/>
      <c r="L1741" s="20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  <c r="AA1741" s="20"/>
      <c r="AB1741" s="20"/>
      <c r="AC1741" s="20"/>
      <c r="AD1741" s="20"/>
      <c r="AE1741" s="20"/>
    </row>
    <row r="1742" spans="2:31" x14ac:dyDescent="0.25">
      <c r="B1742" s="2"/>
      <c r="C1742" s="19"/>
      <c r="D1742" s="2"/>
      <c r="E1742" s="2"/>
      <c r="F1742" s="19"/>
      <c r="G1742" s="2"/>
      <c r="H1742" s="2"/>
      <c r="I1742" s="2"/>
      <c r="J1742" s="2"/>
      <c r="L1742" s="20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  <c r="AA1742" s="20"/>
      <c r="AB1742" s="20"/>
      <c r="AC1742" s="20"/>
      <c r="AD1742" s="20"/>
      <c r="AE1742" s="20"/>
    </row>
    <row r="1743" spans="2:31" x14ac:dyDescent="0.25">
      <c r="B1743" s="2"/>
      <c r="C1743" s="19"/>
      <c r="D1743" s="2"/>
      <c r="E1743" s="2"/>
      <c r="F1743" s="19"/>
      <c r="G1743" s="2"/>
      <c r="H1743" s="2"/>
      <c r="I1743" s="2"/>
      <c r="J1743" s="2"/>
      <c r="L1743" s="20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  <c r="AA1743" s="20"/>
      <c r="AB1743" s="20"/>
      <c r="AC1743" s="20"/>
      <c r="AD1743" s="20"/>
      <c r="AE1743" s="20"/>
    </row>
    <row r="1744" spans="2:31" x14ac:dyDescent="0.25">
      <c r="B1744" s="2"/>
      <c r="C1744" s="19"/>
      <c r="D1744" s="2"/>
      <c r="E1744" s="2"/>
      <c r="F1744" s="19"/>
      <c r="G1744" s="2"/>
      <c r="H1744" s="2"/>
      <c r="I1744" s="2"/>
      <c r="J1744" s="2"/>
      <c r="L1744" s="20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  <c r="AA1744" s="20"/>
      <c r="AB1744" s="20"/>
      <c r="AC1744" s="20"/>
      <c r="AD1744" s="20"/>
      <c r="AE1744" s="20"/>
    </row>
    <row r="1745" spans="2:31" x14ac:dyDescent="0.25">
      <c r="B1745" s="2"/>
      <c r="C1745" s="19"/>
      <c r="D1745" s="2"/>
      <c r="E1745" s="2"/>
      <c r="F1745" s="19"/>
      <c r="G1745" s="2"/>
      <c r="H1745" s="2"/>
      <c r="I1745" s="2"/>
      <c r="J1745" s="2"/>
      <c r="L1745" s="20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  <c r="AA1745" s="20"/>
      <c r="AB1745" s="20"/>
      <c r="AC1745" s="20"/>
      <c r="AD1745" s="20"/>
      <c r="AE1745" s="20"/>
    </row>
    <row r="1746" spans="2:31" x14ac:dyDescent="0.25">
      <c r="B1746" s="2"/>
      <c r="C1746" s="19"/>
      <c r="D1746" s="2"/>
      <c r="E1746" s="2"/>
      <c r="F1746" s="19"/>
      <c r="G1746" s="2"/>
      <c r="H1746" s="2"/>
      <c r="I1746" s="2"/>
      <c r="J1746" s="2"/>
      <c r="L1746" s="20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  <c r="AA1746" s="20"/>
      <c r="AB1746" s="20"/>
      <c r="AC1746" s="20"/>
      <c r="AD1746" s="20"/>
      <c r="AE1746" s="20"/>
    </row>
    <row r="1747" spans="2:31" x14ac:dyDescent="0.25">
      <c r="B1747" s="2"/>
      <c r="C1747" s="19"/>
      <c r="D1747" s="2"/>
      <c r="E1747" s="2"/>
      <c r="F1747" s="19"/>
      <c r="G1747" s="2"/>
      <c r="H1747" s="2"/>
      <c r="I1747" s="2"/>
      <c r="J1747" s="2"/>
      <c r="L1747" s="20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  <c r="AA1747" s="20"/>
      <c r="AB1747" s="20"/>
      <c r="AC1747" s="20"/>
      <c r="AD1747" s="20"/>
      <c r="AE1747" s="20"/>
    </row>
    <row r="1748" spans="2:31" x14ac:dyDescent="0.25">
      <c r="B1748" s="2"/>
      <c r="C1748" s="19"/>
      <c r="D1748" s="2"/>
      <c r="E1748" s="2"/>
      <c r="F1748" s="19"/>
      <c r="G1748" s="2"/>
      <c r="H1748" s="2"/>
      <c r="I1748" s="2"/>
      <c r="J1748" s="2"/>
      <c r="L1748" s="20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  <c r="AA1748" s="20"/>
      <c r="AB1748" s="20"/>
      <c r="AC1748" s="20"/>
      <c r="AD1748" s="20"/>
      <c r="AE1748" s="20"/>
    </row>
    <row r="1749" spans="2:31" x14ac:dyDescent="0.25">
      <c r="B1749" s="2"/>
      <c r="C1749" s="19"/>
      <c r="D1749" s="2"/>
      <c r="E1749" s="2"/>
      <c r="F1749" s="19"/>
      <c r="G1749" s="2"/>
      <c r="H1749" s="2"/>
      <c r="I1749" s="2"/>
      <c r="J1749" s="2"/>
      <c r="L1749" s="20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  <c r="AA1749" s="20"/>
      <c r="AB1749" s="20"/>
      <c r="AC1749" s="20"/>
      <c r="AD1749" s="20"/>
      <c r="AE1749" s="20"/>
    </row>
    <row r="1750" spans="2:31" x14ac:dyDescent="0.25">
      <c r="B1750" s="2"/>
      <c r="C1750" s="19"/>
      <c r="D1750" s="2"/>
      <c r="E1750" s="2"/>
      <c r="F1750" s="19"/>
      <c r="G1750" s="2"/>
      <c r="H1750" s="2"/>
      <c r="I1750" s="2"/>
      <c r="J1750" s="2"/>
      <c r="L1750" s="20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  <c r="AA1750" s="20"/>
      <c r="AB1750" s="20"/>
      <c r="AC1750" s="20"/>
      <c r="AD1750" s="20"/>
      <c r="AE1750" s="20"/>
    </row>
    <row r="1751" spans="2:31" x14ac:dyDescent="0.25">
      <c r="B1751" s="2"/>
      <c r="C1751" s="19"/>
      <c r="D1751" s="2"/>
      <c r="E1751" s="2"/>
      <c r="F1751" s="19"/>
      <c r="G1751" s="2"/>
      <c r="H1751" s="2"/>
      <c r="I1751" s="2"/>
      <c r="J1751" s="2"/>
      <c r="L1751" s="20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  <c r="AA1751" s="20"/>
      <c r="AB1751" s="20"/>
      <c r="AC1751" s="20"/>
      <c r="AD1751" s="20"/>
      <c r="AE1751" s="20"/>
    </row>
    <row r="1752" spans="2:31" x14ac:dyDescent="0.25">
      <c r="B1752" s="2"/>
      <c r="C1752" s="19"/>
      <c r="D1752" s="2"/>
      <c r="E1752" s="2"/>
      <c r="F1752" s="19"/>
      <c r="G1752" s="2"/>
      <c r="H1752" s="2"/>
      <c r="I1752" s="2"/>
      <c r="J1752" s="2"/>
      <c r="L1752" s="20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  <c r="AA1752" s="20"/>
      <c r="AB1752" s="20"/>
      <c r="AC1752" s="20"/>
      <c r="AD1752" s="20"/>
      <c r="AE1752" s="20"/>
    </row>
    <row r="1753" spans="2:31" x14ac:dyDescent="0.25">
      <c r="B1753" s="2"/>
      <c r="C1753" s="19"/>
      <c r="D1753" s="2"/>
      <c r="E1753" s="2"/>
      <c r="F1753" s="19"/>
      <c r="G1753" s="2"/>
      <c r="H1753" s="2"/>
      <c r="I1753" s="2"/>
      <c r="J1753" s="2"/>
      <c r="L1753" s="20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  <c r="AA1753" s="20"/>
      <c r="AB1753" s="20"/>
      <c r="AC1753" s="20"/>
      <c r="AD1753" s="20"/>
      <c r="AE1753" s="20"/>
    </row>
    <row r="1754" spans="2:31" x14ac:dyDescent="0.25">
      <c r="B1754" s="2"/>
      <c r="C1754" s="19"/>
      <c r="D1754" s="2"/>
      <c r="E1754" s="2"/>
      <c r="F1754" s="19"/>
      <c r="G1754" s="2"/>
      <c r="H1754" s="2"/>
      <c r="I1754" s="2"/>
      <c r="J1754" s="2"/>
      <c r="L1754" s="20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  <c r="AA1754" s="20"/>
      <c r="AB1754" s="20"/>
      <c r="AC1754" s="20"/>
      <c r="AD1754" s="20"/>
      <c r="AE1754" s="20"/>
    </row>
    <row r="1755" spans="2:31" x14ac:dyDescent="0.25">
      <c r="B1755" s="2"/>
      <c r="C1755" s="19"/>
      <c r="D1755" s="2"/>
      <c r="E1755" s="2"/>
      <c r="F1755" s="19"/>
      <c r="G1755" s="2"/>
      <c r="H1755" s="2"/>
      <c r="I1755" s="2"/>
      <c r="J1755" s="2"/>
      <c r="L1755" s="20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  <c r="AA1755" s="20"/>
      <c r="AB1755" s="20"/>
      <c r="AC1755" s="20"/>
      <c r="AD1755" s="20"/>
      <c r="AE1755" s="20"/>
    </row>
    <row r="1756" spans="2:31" x14ac:dyDescent="0.25">
      <c r="B1756" s="2"/>
      <c r="C1756" s="19"/>
      <c r="D1756" s="2"/>
      <c r="E1756" s="2"/>
      <c r="F1756" s="19"/>
      <c r="G1756" s="2"/>
      <c r="H1756" s="2"/>
      <c r="I1756" s="2"/>
      <c r="J1756" s="2"/>
      <c r="L1756" s="20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  <c r="AA1756" s="20"/>
      <c r="AB1756" s="20"/>
      <c r="AC1756" s="20"/>
      <c r="AD1756" s="20"/>
      <c r="AE1756" s="20"/>
    </row>
    <row r="1757" spans="2:31" x14ac:dyDescent="0.25">
      <c r="B1757" s="2"/>
      <c r="C1757" s="19"/>
      <c r="D1757" s="2"/>
      <c r="E1757" s="2"/>
      <c r="F1757" s="19"/>
      <c r="G1757" s="2"/>
      <c r="H1757" s="2"/>
      <c r="I1757" s="2"/>
      <c r="J1757" s="2"/>
      <c r="L1757" s="20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  <c r="AA1757" s="20"/>
      <c r="AB1757" s="20"/>
      <c r="AC1757" s="20"/>
      <c r="AD1757" s="20"/>
      <c r="AE1757" s="20"/>
    </row>
    <row r="1758" spans="2:31" x14ac:dyDescent="0.25">
      <c r="B1758" s="2"/>
      <c r="C1758" s="19"/>
      <c r="D1758" s="2"/>
      <c r="E1758" s="2"/>
      <c r="F1758" s="19"/>
      <c r="G1758" s="2"/>
      <c r="H1758" s="2"/>
      <c r="I1758" s="2"/>
      <c r="J1758" s="2"/>
      <c r="L1758" s="20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  <c r="AA1758" s="20"/>
      <c r="AB1758" s="20"/>
      <c r="AC1758" s="20"/>
      <c r="AD1758" s="20"/>
      <c r="AE1758" s="20"/>
    </row>
    <row r="1759" spans="2:31" x14ac:dyDescent="0.25">
      <c r="B1759" s="2"/>
      <c r="C1759" s="19"/>
      <c r="D1759" s="2"/>
      <c r="E1759" s="2"/>
      <c r="F1759" s="19"/>
      <c r="G1759" s="2"/>
      <c r="H1759" s="2"/>
      <c r="I1759" s="2"/>
      <c r="J1759" s="2"/>
      <c r="L1759" s="20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  <c r="AA1759" s="20"/>
      <c r="AB1759" s="20"/>
      <c r="AC1759" s="20"/>
      <c r="AD1759" s="20"/>
      <c r="AE1759" s="20"/>
    </row>
    <row r="1760" spans="2:31" x14ac:dyDescent="0.25">
      <c r="B1760" s="2"/>
      <c r="C1760" s="19"/>
      <c r="D1760" s="2"/>
      <c r="E1760" s="2"/>
      <c r="F1760" s="19"/>
      <c r="G1760" s="2"/>
      <c r="H1760" s="2"/>
      <c r="I1760" s="2"/>
      <c r="J1760" s="2"/>
      <c r="L1760" s="20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  <c r="AA1760" s="20"/>
      <c r="AB1760" s="20"/>
      <c r="AC1760" s="20"/>
      <c r="AD1760" s="20"/>
      <c r="AE1760" s="20"/>
    </row>
    <row r="1761" spans="2:31" x14ac:dyDescent="0.25">
      <c r="B1761" s="2"/>
      <c r="C1761" s="19"/>
      <c r="D1761" s="2"/>
      <c r="E1761" s="2"/>
      <c r="F1761" s="19"/>
      <c r="G1761" s="2"/>
      <c r="H1761" s="2"/>
      <c r="I1761" s="2"/>
      <c r="J1761" s="2"/>
      <c r="L1761" s="20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  <c r="AA1761" s="20"/>
      <c r="AB1761" s="20"/>
      <c r="AC1761" s="20"/>
      <c r="AD1761" s="20"/>
      <c r="AE1761" s="20"/>
    </row>
    <row r="1762" spans="2:31" x14ac:dyDescent="0.25">
      <c r="B1762" s="2"/>
      <c r="C1762" s="19"/>
      <c r="D1762" s="2"/>
      <c r="E1762" s="2"/>
      <c r="F1762" s="19"/>
      <c r="G1762" s="2"/>
      <c r="H1762" s="2"/>
      <c r="I1762" s="2"/>
      <c r="J1762" s="2"/>
      <c r="L1762" s="20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  <c r="AA1762" s="20"/>
      <c r="AB1762" s="20"/>
      <c r="AC1762" s="20"/>
      <c r="AD1762" s="20"/>
      <c r="AE1762" s="20"/>
    </row>
    <row r="1763" spans="2:31" x14ac:dyDescent="0.25">
      <c r="B1763" s="2"/>
      <c r="C1763" s="19"/>
      <c r="D1763" s="2"/>
      <c r="E1763" s="2"/>
      <c r="F1763" s="19"/>
      <c r="G1763" s="2"/>
      <c r="H1763" s="2"/>
      <c r="I1763" s="2"/>
      <c r="J1763" s="2"/>
      <c r="L1763" s="20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  <c r="AA1763" s="20"/>
      <c r="AB1763" s="20"/>
      <c r="AC1763" s="20"/>
      <c r="AD1763" s="20"/>
      <c r="AE1763" s="20"/>
    </row>
    <row r="1764" spans="2:31" x14ac:dyDescent="0.25">
      <c r="B1764" s="2"/>
      <c r="C1764" s="19"/>
      <c r="D1764" s="2"/>
      <c r="E1764" s="2"/>
      <c r="F1764" s="19"/>
      <c r="G1764" s="2"/>
      <c r="H1764" s="2"/>
      <c r="I1764" s="2"/>
      <c r="J1764" s="2"/>
      <c r="L1764" s="20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  <c r="AA1764" s="20"/>
      <c r="AB1764" s="20"/>
      <c r="AC1764" s="20"/>
      <c r="AD1764" s="20"/>
      <c r="AE1764" s="20"/>
    </row>
    <row r="1765" spans="2:31" x14ac:dyDescent="0.25">
      <c r="B1765" s="2"/>
      <c r="C1765" s="19"/>
      <c r="D1765" s="2"/>
      <c r="E1765" s="2"/>
      <c r="F1765" s="19"/>
      <c r="G1765" s="2"/>
      <c r="H1765" s="2"/>
      <c r="I1765" s="2"/>
      <c r="J1765" s="2"/>
      <c r="L1765" s="20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  <c r="AA1765" s="20"/>
      <c r="AB1765" s="20"/>
      <c r="AC1765" s="20"/>
      <c r="AD1765" s="20"/>
      <c r="AE1765" s="20"/>
    </row>
    <row r="1766" spans="2:31" x14ac:dyDescent="0.25">
      <c r="B1766" s="2"/>
      <c r="C1766" s="19"/>
      <c r="D1766" s="2"/>
      <c r="E1766" s="2"/>
      <c r="F1766" s="19"/>
      <c r="G1766" s="2"/>
      <c r="H1766" s="2"/>
      <c r="I1766" s="2"/>
      <c r="J1766" s="2"/>
      <c r="L1766" s="20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  <c r="AA1766" s="20"/>
      <c r="AB1766" s="20"/>
      <c r="AC1766" s="20"/>
      <c r="AD1766" s="20"/>
      <c r="AE1766" s="20"/>
    </row>
    <row r="1767" spans="2:31" x14ac:dyDescent="0.25">
      <c r="B1767" s="2"/>
      <c r="C1767" s="19"/>
      <c r="D1767" s="2"/>
      <c r="E1767" s="2"/>
      <c r="F1767" s="19"/>
      <c r="G1767" s="2"/>
      <c r="H1767" s="2"/>
      <c r="I1767" s="2"/>
      <c r="J1767" s="2"/>
      <c r="L1767" s="20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  <c r="AA1767" s="20"/>
      <c r="AB1767" s="20"/>
      <c r="AC1767" s="20"/>
      <c r="AD1767" s="20"/>
      <c r="AE1767" s="20"/>
    </row>
    <row r="1768" spans="2:31" x14ac:dyDescent="0.25">
      <c r="B1768" s="2"/>
      <c r="C1768" s="19"/>
      <c r="D1768" s="2"/>
      <c r="E1768" s="2"/>
      <c r="F1768" s="19"/>
      <c r="G1768" s="2"/>
      <c r="H1768" s="2"/>
      <c r="I1768" s="2"/>
      <c r="J1768" s="2"/>
      <c r="L1768" s="20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  <c r="AA1768" s="20"/>
      <c r="AB1768" s="20"/>
      <c r="AC1768" s="20"/>
      <c r="AD1768" s="20"/>
      <c r="AE1768" s="20"/>
    </row>
    <row r="1769" spans="2:31" x14ac:dyDescent="0.25">
      <c r="B1769" s="2"/>
      <c r="C1769" s="19"/>
      <c r="D1769" s="2"/>
      <c r="E1769" s="2"/>
      <c r="F1769" s="19"/>
      <c r="G1769" s="2"/>
      <c r="H1769" s="2"/>
      <c r="I1769" s="2"/>
      <c r="J1769" s="2"/>
      <c r="L1769" s="20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  <c r="AA1769" s="20"/>
      <c r="AB1769" s="20"/>
      <c r="AC1769" s="20"/>
      <c r="AD1769" s="20"/>
      <c r="AE1769" s="20"/>
    </row>
    <row r="1770" spans="2:31" x14ac:dyDescent="0.25">
      <c r="B1770" s="2"/>
      <c r="C1770" s="19"/>
      <c r="D1770" s="2"/>
      <c r="E1770" s="2"/>
      <c r="F1770" s="19"/>
      <c r="G1770" s="2"/>
      <c r="H1770" s="2"/>
      <c r="I1770" s="2"/>
      <c r="J1770" s="2"/>
      <c r="L1770" s="20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  <c r="AA1770" s="20"/>
      <c r="AB1770" s="20"/>
      <c r="AC1770" s="20"/>
      <c r="AD1770" s="20"/>
      <c r="AE1770" s="20"/>
    </row>
    <row r="1771" spans="2:31" x14ac:dyDescent="0.25">
      <c r="B1771" s="2"/>
      <c r="C1771" s="19"/>
      <c r="D1771" s="2"/>
      <c r="E1771" s="2"/>
      <c r="F1771" s="19"/>
      <c r="G1771" s="2"/>
      <c r="H1771" s="2"/>
      <c r="I1771" s="2"/>
      <c r="J1771" s="2"/>
      <c r="L1771" s="20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  <c r="AA1771" s="20"/>
      <c r="AB1771" s="20"/>
      <c r="AC1771" s="20"/>
      <c r="AD1771" s="20"/>
      <c r="AE1771" s="20"/>
    </row>
    <row r="1772" spans="2:31" x14ac:dyDescent="0.25">
      <c r="B1772" s="2"/>
      <c r="C1772" s="19"/>
      <c r="D1772" s="2"/>
      <c r="E1772" s="2"/>
      <c r="F1772" s="19"/>
      <c r="G1772" s="2"/>
      <c r="H1772" s="2"/>
      <c r="I1772" s="2"/>
      <c r="J1772" s="2"/>
      <c r="L1772" s="20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  <c r="AA1772" s="20"/>
      <c r="AB1772" s="20"/>
      <c r="AC1772" s="20"/>
      <c r="AD1772" s="20"/>
      <c r="AE1772" s="20"/>
    </row>
    <row r="1773" spans="2:31" x14ac:dyDescent="0.25">
      <c r="B1773" s="2"/>
      <c r="C1773" s="19"/>
      <c r="D1773" s="2"/>
      <c r="E1773" s="2"/>
      <c r="F1773" s="19"/>
      <c r="G1773" s="2"/>
      <c r="H1773" s="2"/>
      <c r="I1773" s="2"/>
      <c r="J1773" s="2"/>
      <c r="L1773" s="20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  <c r="AA1773" s="20"/>
      <c r="AB1773" s="20"/>
      <c r="AC1773" s="20"/>
      <c r="AD1773" s="20"/>
      <c r="AE1773" s="20"/>
    </row>
    <row r="1774" spans="2:31" x14ac:dyDescent="0.25">
      <c r="B1774" s="2"/>
      <c r="C1774" s="19"/>
      <c r="D1774" s="2"/>
      <c r="E1774" s="2"/>
      <c r="F1774" s="19"/>
      <c r="G1774" s="2"/>
      <c r="H1774" s="2"/>
      <c r="I1774" s="2"/>
      <c r="J1774" s="2"/>
      <c r="L1774" s="20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  <c r="AA1774" s="20"/>
      <c r="AB1774" s="20"/>
      <c r="AC1774" s="20"/>
      <c r="AD1774" s="20"/>
      <c r="AE1774" s="20"/>
    </row>
    <row r="1775" spans="2:31" x14ac:dyDescent="0.25">
      <c r="B1775" s="2"/>
      <c r="C1775" s="19"/>
      <c r="D1775" s="2"/>
      <c r="E1775" s="2"/>
      <c r="F1775" s="19"/>
      <c r="G1775" s="2"/>
      <c r="H1775" s="2"/>
      <c r="I1775" s="2"/>
      <c r="J1775" s="2"/>
      <c r="L1775" s="20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  <c r="AA1775" s="20"/>
      <c r="AB1775" s="20"/>
      <c r="AC1775" s="20"/>
      <c r="AD1775" s="20"/>
      <c r="AE1775" s="20"/>
    </row>
    <row r="1776" spans="2:31" x14ac:dyDescent="0.25">
      <c r="B1776" s="2"/>
      <c r="C1776" s="19"/>
      <c r="D1776" s="2"/>
      <c r="E1776" s="2"/>
      <c r="F1776" s="19"/>
      <c r="G1776" s="2"/>
      <c r="H1776" s="2"/>
      <c r="I1776" s="2"/>
      <c r="J1776" s="2"/>
      <c r="L1776" s="20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  <c r="AA1776" s="20"/>
      <c r="AB1776" s="20"/>
      <c r="AC1776" s="20"/>
      <c r="AD1776" s="20"/>
      <c r="AE1776" s="20"/>
    </row>
    <row r="1777" spans="2:31" x14ac:dyDescent="0.25">
      <c r="B1777" s="2"/>
      <c r="C1777" s="19"/>
      <c r="D1777" s="2"/>
      <c r="E1777" s="2"/>
      <c r="F1777" s="19"/>
      <c r="G1777" s="2"/>
      <c r="H1777" s="2"/>
      <c r="I1777" s="2"/>
      <c r="J1777" s="2"/>
      <c r="L1777" s="20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  <c r="AA1777" s="20"/>
      <c r="AB1777" s="20"/>
      <c r="AC1777" s="20"/>
      <c r="AD1777" s="20"/>
      <c r="AE1777" s="20"/>
    </row>
    <row r="1778" spans="2:31" x14ac:dyDescent="0.25">
      <c r="B1778" s="2"/>
      <c r="C1778" s="19"/>
      <c r="D1778" s="2"/>
      <c r="E1778" s="2"/>
      <c r="F1778" s="19"/>
      <c r="G1778" s="2"/>
      <c r="H1778" s="2"/>
      <c r="I1778" s="2"/>
      <c r="J1778" s="2"/>
      <c r="L1778" s="20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  <c r="AA1778" s="20"/>
      <c r="AB1778" s="20"/>
      <c r="AC1778" s="20"/>
      <c r="AD1778" s="20"/>
      <c r="AE1778" s="20"/>
    </row>
    <row r="1779" spans="2:31" x14ac:dyDescent="0.25">
      <c r="B1779" s="2"/>
      <c r="C1779" s="19"/>
      <c r="D1779" s="2"/>
      <c r="E1779" s="2"/>
      <c r="F1779" s="19"/>
      <c r="G1779" s="2"/>
      <c r="H1779" s="2"/>
      <c r="I1779" s="2"/>
      <c r="J1779" s="2"/>
      <c r="L1779" s="20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  <c r="AA1779" s="20"/>
      <c r="AB1779" s="20"/>
      <c r="AC1779" s="20"/>
      <c r="AD1779" s="20"/>
      <c r="AE1779" s="20"/>
    </row>
    <row r="1780" spans="2:31" x14ac:dyDescent="0.25">
      <c r="B1780" s="2"/>
      <c r="C1780" s="19"/>
      <c r="D1780" s="2"/>
      <c r="E1780" s="2"/>
      <c r="F1780" s="19"/>
      <c r="G1780" s="2"/>
      <c r="H1780" s="2"/>
      <c r="I1780" s="2"/>
      <c r="J1780" s="2"/>
      <c r="L1780" s="20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  <c r="AA1780" s="20"/>
      <c r="AB1780" s="20"/>
      <c r="AC1780" s="20"/>
      <c r="AD1780" s="20"/>
      <c r="AE1780" s="20"/>
    </row>
    <row r="1781" spans="2:31" x14ac:dyDescent="0.25">
      <c r="B1781" s="2"/>
      <c r="C1781" s="19"/>
      <c r="D1781" s="2"/>
      <c r="E1781" s="2"/>
      <c r="F1781" s="19"/>
      <c r="G1781" s="2"/>
      <c r="H1781" s="2"/>
      <c r="I1781" s="2"/>
      <c r="J1781" s="2"/>
      <c r="L1781" s="20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  <c r="AA1781" s="20"/>
      <c r="AB1781" s="20"/>
      <c r="AC1781" s="20"/>
      <c r="AD1781" s="20"/>
      <c r="AE1781" s="20"/>
    </row>
    <row r="1782" spans="2:31" x14ac:dyDescent="0.25">
      <c r="B1782" s="2"/>
      <c r="C1782" s="19"/>
      <c r="D1782" s="2"/>
      <c r="E1782" s="2"/>
      <c r="F1782" s="19"/>
      <c r="G1782" s="2"/>
      <c r="H1782" s="2"/>
      <c r="I1782" s="2"/>
      <c r="J1782" s="2"/>
      <c r="L1782" s="20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  <c r="AA1782" s="20"/>
      <c r="AB1782" s="20"/>
      <c r="AC1782" s="20"/>
      <c r="AD1782" s="20"/>
      <c r="AE1782" s="20"/>
    </row>
    <row r="1783" spans="2:31" x14ac:dyDescent="0.25">
      <c r="B1783" s="2"/>
      <c r="C1783" s="19"/>
      <c r="D1783" s="2"/>
      <c r="E1783" s="2"/>
      <c r="F1783" s="19"/>
      <c r="G1783" s="2"/>
      <c r="H1783" s="2"/>
      <c r="I1783" s="2"/>
      <c r="J1783" s="2"/>
      <c r="L1783" s="20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  <c r="AA1783" s="20"/>
      <c r="AB1783" s="20"/>
      <c r="AC1783" s="20"/>
      <c r="AD1783" s="20"/>
      <c r="AE1783" s="20"/>
    </row>
    <row r="1784" spans="2:31" x14ac:dyDescent="0.25">
      <c r="B1784" s="2"/>
      <c r="C1784" s="19"/>
      <c r="D1784" s="2"/>
      <c r="E1784" s="2"/>
      <c r="F1784" s="19"/>
      <c r="G1784" s="2"/>
      <c r="H1784" s="2"/>
      <c r="I1784" s="2"/>
      <c r="J1784" s="2"/>
      <c r="L1784" s="20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  <c r="AA1784" s="20"/>
      <c r="AB1784" s="20"/>
      <c r="AC1784" s="20"/>
      <c r="AD1784" s="20"/>
      <c r="AE1784" s="20"/>
    </row>
    <row r="1785" spans="2:31" x14ac:dyDescent="0.25">
      <c r="B1785" s="2"/>
      <c r="C1785" s="19"/>
      <c r="D1785" s="2"/>
      <c r="E1785" s="2"/>
      <c r="F1785" s="19"/>
      <c r="G1785" s="2"/>
      <c r="H1785" s="2"/>
      <c r="I1785" s="2"/>
      <c r="J1785" s="2"/>
      <c r="L1785" s="20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  <c r="AA1785" s="20"/>
      <c r="AB1785" s="20"/>
      <c r="AC1785" s="20"/>
      <c r="AD1785" s="20"/>
      <c r="AE1785" s="20"/>
    </row>
    <row r="1786" spans="2:31" x14ac:dyDescent="0.25">
      <c r="B1786" s="2"/>
      <c r="C1786" s="19"/>
      <c r="D1786" s="2"/>
      <c r="E1786" s="2"/>
      <c r="F1786" s="19"/>
      <c r="G1786" s="2"/>
      <c r="H1786" s="2"/>
      <c r="I1786" s="2"/>
      <c r="J1786" s="2"/>
      <c r="L1786" s="20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  <c r="AA1786" s="20"/>
      <c r="AB1786" s="20"/>
      <c r="AC1786" s="20"/>
      <c r="AD1786" s="20"/>
      <c r="AE1786" s="20"/>
    </row>
    <row r="1787" spans="2:31" x14ac:dyDescent="0.25">
      <c r="B1787" s="2"/>
      <c r="C1787" s="19"/>
      <c r="D1787" s="2"/>
      <c r="E1787" s="2"/>
      <c r="F1787" s="19"/>
      <c r="G1787" s="2"/>
      <c r="H1787" s="2"/>
      <c r="I1787" s="2"/>
      <c r="J1787" s="2"/>
      <c r="L1787" s="20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  <c r="AA1787" s="20"/>
      <c r="AB1787" s="20"/>
      <c r="AC1787" s="20"/>
      <c r="AD1787" s="20"/>
      <c r="AE1787" s="20"/>
    </row>
    <row r="1788" spans="2:31" x14ac:dyDescent="0.25">
      <c r="B1788" s="2"/>
      <c r="C1788" s="19"/>
      <c r="D1788" s="2"/>
      <c r="E1788" s="2"/>
      <c r="F1788" s="19"/>
      <c r="G1788" s="2"/>
      <c r="H1788" s="2"/>
      <c r="I1788" s="2"/>
      <c r="J1788" s="2"/>
      <c r="L1788" s="20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  <c r="AA1788" s="20"/>
      <c r="AB1788" s="20"/>
      <c r="AC1788" s="20"/>
      <c r="AD1788" s="20"/>
      <c r="AE1788" s="20"/>
    </row>
    <row r="1789" spans="2:31" x14ac:dyDescent="0.25">
      <c r="B1789" s="2"/>
      <c r="C1789" s="19"/>
      <c r="D1789" s="2"/>
      <c r="E1789" s="2"/>
      <c r="F1789" s="19"/>
      <c r="G1789" s="2"/>
      <c r="H1789" s="2"/>
      <c r="I1789" s="2"/>
      <c r="J1789" s="2"/>
      <c r="L1789" s="20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  <c r="AA1789" s="20"/>
      <c r="AB1789" s="20"/>
      <c r="AC1789" s="20"/>
      <c r="AD1789" s="20"/>
      <c r="AE1789" s="20"/>
    </row>
    <row r="1790" spans="2:31" x14ac:dyDescent="0.25">
      <c r="B1790" s="2"/>
      <c r="C1790" s="19"/>
      <c r="D1790" s="2"/>
      <c r="E1790" s="2"/>
      <c r="F1790" s="19"/>
      <c r="G1790" s="2"/>
      <c r="H1790" s="2"/>
      <c r="I1790" s="2"/>
      <c r="J1790" s="2"/>
      <c r="L1790" s="20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  <c r="AA1790" s="20"/>
      <c r="AB1790" s="20"/>
      <c r="AC1790" s="20"/>
      <c r="AD1790" s="20"/>
      <c r="AE1790" s="20"/>
    </row>
    <row r="1791" spans="2:31" x14ac:dyDescent="0.25">
      <c r="B1791" s="2"/>
      <c r="C1791" s="19"/>
      <c r="D1791" s="2"/>
      <c r="E1791" s="2"/>
      <c r="F1791" s="19"/>
      <c r="G1791" s="2"/>
      <c r="H1791" s="2"/>
      <c r="I1791" s="2"/>
      <c r="J1791" s="2"/>
      <c r="L1791" s="20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  <c r="AA1791" s="20"/>
      <c r="AB1791" s="20"/>
      <c r="AC1791" s="20"/>
      <c r="AD1791" s="20"/>
      <c r="AE1791" s="20"/>
    </row>
    <row r="1792" spans="2:31" x14ac:dyDescent="0.25">
      <c r="B1792" s="2"/>
      <c r="C1792" s="19"/>
      <c r="D1792" s="2"/>
      <c r="E1792" s="2"/>
      <c r="F1792" s="19"/>
      <c r="G1792" s="2"/>
      <c r="H1792" s="2"/>
      <c r="I1792" s="2"/>
      <c r="J1792" s="2"/>
      <c r="L1792" s="20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  <c r="AA1792" s="20"/>
      <c r="AB1792" s="20"/>
      <c r="AC1792" s="20"/>
      <c r="AD1792" s="20"/>
      <c r="AE1792" s="20"/>
    </row>
    <row r="1793" spans="2:31" x14ac:dyDescent="0.25">
      <c r="B1793" s="2"/>
      <c r="C1793" s="19"/>
      <c r="D1793" s="2"/>
      <c r="E1793" s="2"/>
      <c r="F1793" s="19"/>
      <c r="G1793" s="2"/>
      <c r="H1793" s="2"/>
      <c r="I1793" s="2"/>
      <c r="J1793" s="2"/>
      <c r="L1793" s="20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  <c r="AA1793" s="20"/>
      <c r="AB1793" s="20"/>
      <c r="AC1793" s="20"/>
      <c r="AD1793" s="20"/>
      <c r="AE1793" s="20"/>
    </row>
    <row r="1794" spans="2:31" x14ac:dyDescent="0.25">
      <c r="B1794" s="2"/>
      <c r="C1794" s="19"/>
      <c r="D1794" s="2"/>
      <c r="E1794" s="2"/>
      <c r="F1794" s="19"/>
      <c r="G1794" s="2"/>
      <c r="H1794" s="2"/>
      <c r="I1794" s="2"/>
      <c r="J1794" s="2"/>
      <c r="L1794" s="20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  <c r="AA1794" s="20"/>
      <c r="AB1794" s="20"/>
      <c r="AC1794" s="20"/>
      <c r="AD1794" s="20"/>
      <c r="AE1794" s="20"/>
    </row>
    <row r="1795" spans="2:31" x14ac:dyDescent="0.25">
      <c r="B1795" s="2"/>
      <c r="C1795" s="19"/>
      <c r="D1795" s="2"/>
      <c r="E1795" s="2"/>
      <c r="F1795" s="19"/>
      <c r="G1795" s="2"/>
      <c r="H1795" s="2"/>
      <c r="I1795" s="2"/>
      <c r="J1795" s="2"/>
      <c r="L1795" s="20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  <c r="AA1795" s="20"/>
      <c r="AB1795" s="20"/>
      <c r="AC1795" s="20"/>
      <c r="AD1795" s="20"/>
      <c r="AE1795" s="20"/>
    </row>
    <row r="1796" spans="2:31" x14ac:dyDescent="0.25">
      <c r="B1796" s="2"/>
      <c r="C1796" s="19"/>
      <c r="D1796" s="2"/>
      <c r="E1796" s="2"/>
      <c r="F1796" s="19"/>
      <c r="G1796" s="2"/>
      <c r="H1796" s="2"/>
      <c r="I1796" s="2"/>
      <c r="J1796" s="2"/>
      <c r="L1796" s="20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  <c r="AA1796" s="20"/>
      <c r="AB1796" s="20"/>
      <c r="AC1796" s="20"/>
      <c r="AD1796" s="20"/>
      <c r="AE1796" s="20"/>
    </row>
    <row r="1797" spans="2:31" x14ac:dyDescent="0.25">
      <c r="B1797" s="2"/>
      <c r="C1797" s="19"/>
      <c r="D1797" s="2"/>
      <c r="E1797" s="2"/>
      <c r="F1797" s="19"/>
      <c r="G1797" s="2"/>
      <c r="H1797" s="2"/>
      <c r="I1797" s="2"/>
      <c r="J1797" s="2"/>
      <c r="L1797" s="20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  <c r="AA1797" s="20"/>
      <c r="AB1797" s="20"/>
      <c r="AC1797" s="20"/>
      <c r="AD1797" s="20"/>
      <c r="AE1797" s="20"/>
    </row>
    <row r="1798" spans="2:31" x14ac:dyDescent="0.25">
      <c r="B1798" s="2"/>
      <c r="C1798" s="19"/>
      <c r="D1798" s="2"/>
      <c r="E1798" s="2"/>
      <c r="F1798" s="19"/>
      <c r="G1798" s="2"/>
      <c r="H1798" s="2"/>
      <c r="I1798" s="2"/>
      <c r="J1798" s="2"/>
      <c r="L1798" s="20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  <c r="AA1798" s="20"/>
      <c r="AB1798" s="20"/>
      <c r="AC1798" s="20"/>
      <c r="AD1798" s="20"/>
      <c r="AE1798" s="20"/>
    </row>
    <row r="1799" spans="2:31" x14ac:dyDescent="0.25">
      <c r="B1799" s="2"/>
      <c r="C1799" s="19"/>
      <c r="D1799" s="2"/>
      <c r="E1799" s="2"/>
      <c r="F1799" s="19"/>
      <c r="G1799" s="2"/>
      <c r="H1799" s="2"/>
      <c r="I1799" s="2"/>
      <c r="J1799" s="2"/>
      <c r="L1799" s="20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  <c r="AA1799" s="20"/>
      <c r="AB1799" s="20"/>
      <c r="AC1799" s="20"/>
      <c r="AD1799" s="20"/>
      <c r="AE1799" s="20"/>
    </row>
    <row r="1800" spans="2:31" x14ac:dyDescent="0.25">
      <c r="B1800" s="2"/>
      <c r="C1800" s="19"/>
      <c r="D1800" s="2"/>
      <c r="E1800" s="2"/>
      <c r="F1800" s="19"/>
      <c r="G1800" s="2"/>
      <c r="H1800" s="2"/>
      <c r="I1800" s="2"/>
      <c r="J1800" s="2"/>
      <c r="L1800" s="20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  <c r="AA1800" s="20"/>
      <c r="AB1800" s="20"/>
      <c r="AC1800" s="20"/>
      <c r="AD1800" s="20"/>
      <c r="AE1800" s="20"/>
    </row>
    <row r="1801" spans="2:31" x14ac:dyDescent="0.25">
      <c r="B1801" s="2"/>
      <c r="C1801" s="19"/>
      <c r="D1801" s="2"/>
      <c r="E1801" s="2"/>
      <c r="F1801" s="19"/>
      <c r="G1801" s="2"/>
      <c r="H1801" s="2"/>
      <c r="I1801" s="2"/>
      <c r="J1801" s="2"/>
      <c r="L1801" s="20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  <c r="AA1801" s="20"/>
      <c r="AB1801" s="20"/>
      <c r="AC1801" s="20"/>
      <c r="AD1801" s="20"/>
      <c r="AE1801" s="20"/>
    </row>
    <row r="1802" spans="2:31" x14ac:dyDescent="0.25">
      <c r="B1802" s="2"/>
      <c r="C1802" s="19"/>
      <c r="D1802" s="2"/>
      <c r="E1802" s="2"/>
      <c r="F1802" s="19"/>
      <c r="G1802" s="2"/>
      <c r="H1802" s="2"/>
      <c r="I1802" s="2"/>
      <c r="J1802" s="2"/>
      <c r="L1802" s="20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  <c r="AA1802" s="20"/>
      <c r="AB1802" s="20"/>
      <c r="AC1802" s="20"/>
      <c r="AD1802" s="20"/>
      <c r="AE1802" s="20"/>
    </row>
    <row r="1803" spans="2:31" x14ac:dyDescent="0.25">
      <c r="B1803" s="2"/>
      <c r="C1803" s="19"/>
      <c r="D1803" s="2"/>
      <c r="E1803" s="2"/>
      <c r="F1803" s="19"/>
      <c r="G1803" s="2"/>
      <c r="H1803" s="2"/>
      <c r="I1803" s="2"/>
      <c r="J1803" s="2"/>
      <c r="L1803" s="20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  <c r="AA1803" s="20"/>
      <c r="AB1803" s="20"/>
      <c r="AC1803" s="20"/>
      <c r="AD1803" s="20"/>
      <c r="AE1803" s="20"/>
    </row>
    <row r="1804" spans="2:31" x14ac:dyDescent="0.25">
      <c r="B1804" s="2"/>
      <c r="C1804" s="19"/>
      <c r="D1804" s="2"/>
      <c r="E1804" s="2"/>
      <c r="F1804" s="19"/>
      <c r="G1804" s="2"/>
      <c r="H1804" s="2"/>
      <c r="I1804" s="2"/>
      <c r="J1804" s="2"/>
      <c r="L1804" s="20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  <c r="AA1804" s="20"/>
      <c r="AB1804" s="20"/>
      <c r="AC1804" s="20"/>
      <c r="AD1804" s="20"/>
      <c r="AE1804" s="20"/>
    </row>
    <row r="1805" spans="2:31" x14ac:dyDescent="0.25">
      <c r="B1805" s="2"/>
      <c r="C1805" s="19"/>
      <c r="D1805" s="2"/>
      <c r="E1805" s="2"/>
      <c r="F1805" s="19"/>
      <c r="G1805" s="2"/>
      <c r="H1805" s="2"/>
      <c r="I1805" s="2"/>
      <c r="J1805" s="2"/>
      <c r="L1805" s="20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  <c r="AA1805" s="20"/>
      <c r="AB1805" s="20"/>
      <c r="AC1805" s="20"/>
      <c r="AD1805" s="20"/>
      <c r="AE1805" s="20"/>
    </row>
    <row r="1806" spans="2:31" x14ac:dyDescent="0.25">
      <c r="B1806" s="2"/>
      <c r="C1806" s="19"/>
      <c r="D1806" s="2"/>
      <c r="E1806" s="2"/>
      <c r="F1806" s="19"/>
      <c r="G1806" s="2"/>
      <c r="H1806" s="2"/>
      <c r="I1806" s="2"/>
      <c r="J1806" s="2"/>
      <c r="L1806" s="20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  <c r="AA1806" s="20"/>
      <c r="AB1806" s="20"/>
      <c r="AC1806" s="20"/>
      <c r="AD1806" s="20"/>
      <c r="AE1806" s="20"/>
    </row>
    <row r="1807" spans="2:31" x14ac:dyDescent="0.25">
      <c r="B1807" s="2"/>
      <c r="C1807" s="19"/>
      <c r="D1807" s="2"/>
      <c r="E1807" s="2"/>
      <c r="F1807" s="19"/>
      <c r="G1807" s="2"/>
      <c r="H1807" s="2"/>
      <c r="I1807" s="2"/>
      <c r="J1807" s="2"/>
      <c r="L1807" s="20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  <c r="AA1807" s="20"/>
      <c r="AB1807" s="20"/>
      <c r="AC1807" s="20"/>
      <c r="AD1807" s="20"/>
      <c r="AE1807" s="20"/>
    </row>
    <row r="1808" spans="2:31" x14ac:dyDescent="0.25">
      <c r="B1808" s="2"/>
      <c r="C1808" s="19"/>
      <c r="D1808" s="2"/>
      <c r="E1808" s="2"/>
      <c r="F1808" s="19"/>
      <c r="G1808" s="2"/>
      <c r="H1808" s="2"/>
      <c r="I1808" s="2"/>
      <c r="J1808" s="2"/>
      <c r="L1808" s="20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  <c r="AA1808" s="20"/>
      <c r="AB1808" s="20"/>
      <c r="AC1808" s="20"/>
      <c r="AD1808" s="20"/>
      <c r="AE1808" s="20"/>
    </row>
    <row r="1809" spans="2:31" x14ac:dyDescent="0.25">
      <c r="B1809" s="2"/>
      <c r="C1809" s="19"/>
      <c r="D1809" s="2"/>
      <c r="E1809" s="2"/>
      <c r="F1809" s="19"/>
      <c r="G1809" s="2"/>
      <c r="H1809" s="2"/>
      <c r="I1809" s="2"/>
      <c r="J1809" s="2"/>
      <c r="L1809" s="20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  <c r="AA1809" s="20"/>
      <c r="AB1809" s="20"/>
      <c r="AC1809" s="20"/>
      <c r="AD1809" s="20"/>
      <c r="AE1809" s="20"/>
    </row>
    <row r="1810" spans="2:31" x14ac:dyDescent="0.25">
      <c r="B1810" s="2"/>
      <c r="C1810" s="19"/>
      <c r="D1810" s="2"/>
      <c r="E1810" s="2"/>
      <c r="F1810" s="19"/>
      <c r="G1810" s="2"/>
      <c r="H1810" s="2"/>
      <c r="I1810" s="2"/>
      <c r="J1810" s="2"/>
      <c r="L1810" s="20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  <c r="AA1810" s="20"/>
      <c r="AB1810" s="20"/>
      <c r="AC1810" s="20"/>
      <c r="AD1810" s="20"/>
      <c r="AE1810" s="20"/>
    </row>
    <row r="1811" spans="2:31" x14ac:dyDescent="0.25">
      <c r="B1811" s="2"/>
      <c r="C1811" s="19"/>
      <c r="D1811" s="2"/>
      <c r="E1811" s="2"/>
      <c r="F1811" s="19"/>
      <c r="G1811" s="2"/>
      <c r="H1811" s="2"/>
      <c r="I1811" s="2"/>
      <c r="J1811" s="2"/>
      <c r="L1811" s="20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  <c r="AA1811" s="20"/>
      <c r="AB1811" s="20"/>
      <c r="AC1811" s="20"/>
      <c r="AD1811" s="20"/>
      <c r="AE1811" s="20"/>
    </row>
    <row r="1812" spans="2:31" x14ac:dyDescent="0.25">
      <c r="B1812" s="2"/>
      <c r="C1812" s="19"/>
      <c r="D1812" s="2"/>
      <c r="E1812" s="2"/>
      <c r="F1812" s="19"/>
      <c r="G1812" s="2"/>
      <c r="H1812" s="2"/>
      <c r="I1812" s="2"/>
      <c r="J1812" s="2"/>
      <c r="L1812" s="20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  <c r="AA1812" s="20"/>
      <c r="AB1812" s="20"/>
      <c r="AC1812" s="20"/>
      <c r="AD1812" s="20"/>
      <c r="AE1812" s="20"/>
    </row>
    <row r="1813" spans="2:31" x14ac:dyDescent="0.25">
      <c r="B1813" s="2"/>
      <c r="C1813" s="19"/>
      <c r="D1813" s="2"/>
      <c r="E1813" s="2"/>
      <c r="F1813" s="19"/>
      <c r="G1813" s="2"/>
      <c r="H1813" s="2"/>
      <c r="I1813" s="2"/>
      <c r="J1813" s="2"/>
      <c r="L1813" s="20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  <c r="AA1813" s="20"/>
      <c r="AB1813" s="20"/>
      <c r="AC1813" s="20"/>
      <c r="AD1813" s="20"/>
      <c r="AE1813" s="20"/>
    </row>
    <row r="1814" spans="2:31" x14ac:dyDescent="0.25">
      <c r="B1814" s="2"/>
      <c r="C1814" s="19"/>
      <c r="D1814" s="2"/>
      <c r="E1814" s="2"/>
      <c r="F1814" s="19"/>
      <c r="G1814" s="2"/>
      <c r="H1814" s="2"/>
      <c r="I1814" s="2"/>
      <c r="J1814" s="2"/>
      <c r="L1814" s="20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  <c r="AA1814" s="20"/>
      <c r="AB1814" s="20"/>
      <c r="AC1814" s="20"/>
      <c r="AD1814" s="20"/>
      <c r="AE1814" s="20"/>
    </row>
    <row r="1815" spans="2:31" x14ac:dyDescent="0.25">
      <c r="B1815" s="2"/>
      <c r="C1815" s="19"/>
      <c r="D1815" s="2"/>
      <c r="E1815" s="2"/>
      <c r="F1815" s="19"/>
      <c r="G1815" s="2"/>
      <c r="H1815" s="2"/>
      <c r="I1815" s="2"/>
      <c r="J1815" s="2"/>
      <c r="L1815" s="20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  <c r="AA1815" s="20"/>
      <c r="AB1815" s="20"/>
      <c r="AC1815" s="20"/>
      <c r="AD1815" s="20"/>
      <c r="AE1815" s="20"/>
    </row>
    <row r="1816" spans="2:31" x14ac:dyDescent="0.25">
      <c r="B1816" s="2"/>
      <c r="C1816" s="19"/>
      <c r="D1816" s="2"/>
      <c r="E1816" s="2"/>
      <c r="F1816" s="19"/>
      <c r="G1816" s="2"/>
      <c r="H1816" s="2"/>
      <c r="I1816" s="2"/>
      <c r="J1816" s="2"/>
      <c r="L1816" s="20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  <c r="AA1816" s="20"/>
      <c r="AB1816" s="20"/>
      <c r="AC1816" s="20"/>
      <c r="AD1816" s="20"/>
      <c r="AE1816" s="20"/>
    </row>
    <row r="1817" spans="2:31" x14ac:dyDescent="0.25">
      <c r="B1817" s="2"/>
      <c r="C1817" s="19"/>
      <c r="D1817" s="2"/>
      <c r="E1817" s="2"/>
      <c r="F1817" s="19"/>
      <c r="G1817" s="2"/>
      <c r="H1817" s="2"/>
      <c r="I1817" s="2"/>
      <c r="J1817" s="2"/>
      <c r="L1817" s="20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  <c r="AA1817" s="20"/>
      <c r="AB1817" s="20"/>
      <c r="AC1817" s="20"/>
      <c r="AD1817" s="20"/>
      <c r="AE1817" s="20"/>
    </row>
    <row r="1818" spans="2:31" x14ac:dyDescent="0.25">
      <c r="B1818" s="2"/>
      <c r="C1818" s="19"/>
      <c r="D1818" s="2"/>
      <c r="E1818" s="2"/>
      <c r="F1818" s="19"/>
      <c r="G1818" s="2"/>
      <c r="H1818" s="2"/>
      <c r="I1818" s="2"/>
      <c r="J1818" s="2"/>
      <c r="L1818" s="20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  <c r="AA1818" s="20"/>
      <c r="AB1818" s="20"/>
      <c r="AC1818" s="20"/>
      <c r="AD1818" s="20"/>
      <c r="AE1818" s="20"/>
    </row>
    <row r="1819" spans="2:31" x14ac:dyDescent="0.25">
      <c r="B1819" s="2"/>
      <c r="C1819" s="19"/>
      <c r="D1819" s="2"/>
      <c r="E1819" s="2"/>
      <c r="F1819" s="19"/>
      <c r="G1819" s="2"/>
      <c r="H1819" s="2"/>
      <c r="I1819" s="2"/>
      <c r="J1819" s="2"/>
      <c r="L1819" s="20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  <c r="AA1819" s="20"/>
      <c r="AB1819" s="20"/>
      <c r="AC1819" s="20"/>
      <c r="AD1819" s="20"/>
      <c r="AE1819" s="20"/>
    </row>
    <row r="1820" spans="2:31" x14ac:dyDescent="0.25">
      <c r="B1820" s="2"/>
      <c r="C1820" s="19"/>
      <c r="D1820" s="2"/>
      <c r="E1820" s="2"/>
      <c r="F1820" s="19"/>
      <c r="G1820" s="2"/>
      <c r="H1820" s="2"/>
      <c r="I1820" s="2"/>
      <c r="J1820" s="2"/>
      <c r="L1820" s="20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  <c r="AA1820" s="20"/>
      <c r="AB1820" s="20"/>
      <c r="AC1820" s="20"/>
      <c r="AD1820" s="20"/>
      <c r="AE1820" s="20"/>
    </row>
    <row r="1821" spans="2:31" x14ac:dyDescent="0.25">
      <c r="B1821" s="2"/>
      <c r="C1821" s="19"/>
      <c r="D1821" s="2"/>
      <c r="E1821" s="2"/>
      <c r="F1821" s="19"/>
      <c r="G1821" s="2"/>
      <c r="H1821" s="2"/>
      <c r="I1821" s="2"/>
      <c r="J1821" s="2"/>
      <c r="L1821" s="20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  <c r="AA1821" s="20"/>
      <c r="AB1821" s="20"/>
      <c r="AC1821" s="20"/>
      <c r="AD1821" s="20"/>
      <c r="AE1821" s="20"/>
    </row>
    <row r="1822" spans="2:31" x14ac:dyDescent="0.25">
      <c r="B1822" s="2"/>
      <c r="C1822" s="19"/>
      <c r="D1822" s="2"/>
      <c r="E1822" s="2"/>
      <c r="F1822" s="19"/>
      <c r="G1822" s="2"/>
      <c r="H1822" s="2"/>
      <c r="I1822" s="2"/>
      <c r="J1822" s="2"/>
      <c r="L1822" s="20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  <c r="AA1822" s="20"/>
      <c r="AB1822" s="20"/>
      <c r="AC1822" s="20"/>
      <c r="AD1822" s="20"/>
      <c r="AE1822" s="20"/>
    </row>
    <row r="1823" spans="2:31" x14ac:dyDescent="0.25">
      <c r="B1823" s="2"/>
      <c r="C1823" s="19"/>
      <c r="D1823" s="2"/>
      <c r="E1823" s="2"/>
      <c r="F1823" s="19"/>
      <c r="G1823" s="2"/>
      <c r="H1823" s="2"/>
      <c r="I1823" s="2"/>
      <c r="J1823" s="2"/>
      <c r="L1823" s="20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  <c r="AA1823" s="20"/>
      <c r="AB1823" s="20"/>
      <c r="AC1823" s="20"/>
      <c r="AD1823" s="20"/>
      <c r="AE1823" s="20"/>
    </row>
    <row r="1824" spans="2:31" x14ac:dyDescent="0.25">
      <c r="B1824" s="2"/>
      <c r="C1824" s="19"/>
      <c r="D1824" s="2"/>
      <c r="E1824" s="2"/>
      <c r="F1824" s="19"/>
      <c r="G1824" s="2"/>
      <c r="H1824" s="2"/>
      <c r="I1824" s="2"/>
      <c r="J1824" s="2"/>
      <c r="L1824" s="20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  <c r="AA1824" s="20"/>
      <c r="AB1824" s="20"/>
      <c r="AC1824" s="20"/>
      <c r="AD1824" s="20"/>
      <c r="AE1824" s="20"/>
    </row>
    <row r="1825" spans="2:31" x14ac:dyDescent="0.25">
      <c r="B1825" s="2"/>
      <c r="C1825" s="19"/>
      <c r="D1825" s="2"/>
      <c r="E1825" s="2"/>
      <c r="F1825" s="19"/>
      <c r="G1825" s="2"/>
      <c r="H1825" s="2"/>
      <c r="I1825" s="2"/>
      <c r="J1825" s="2"/>
      <c r="L1825" s="20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  <c r="AA1825" s="20"/>
      <c r="AB1825" s="20"/>
      <c r="AC1825" s="20"/>
      <c r="AD1825" s="20"/>
      <c r="AE1825" s="20"/>
    </row>
    <row r="1826" spans="2:31" x14ac:dyDescent="0.25">
      <c r="B1826" s="2"/>
      <c r="C1826" s="19"/>
      <c r="D1826" s="2"/>
      <c r="E1826" s="2"/>
      <c r="F1826" s="19"/>
      <c r="G1826" s="2"/>
      <c r="H1826" s="2"/>
      <c r="I1826" s="2"/>
      <c r="J1826" s="2"/>
      <c r="L1826" s="20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  <c r="AA1826" s="20"/>
      <c r="AB1826" s="20"/>
      <c r="AC1826" s="20"/>
      <c r="AD1826" s="20"/>
      <c r="AE1826" s="20"/>
    </row>
    <row r="1827" spans="2:31" x14ac:dyDescent="0.25">
      <c r="B1827" s="2"/>
      <c r="C1827" s="19"/>
      <c r="D1827" s="2"/>
      <c r="E1827" s="2"/>
      <c r="F1827" s="19"/>
      <c r="G1827" s="2"/>
      <c r="H1827" s="2"/>
      <c r="I1827" s="2"/>
      <c r="J1827" s="2"/>
      <c r="L1827" s="20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  <c r="AA1827" s="20"/>
      <c r="AB1827" s="20"/>
      <c r="AC1827" s="20"/>
      <c r="AD1827" s="20"/>
      <c r="AE1827" s="20"/>
    </row>
    <row r="1828" spans="2:31" x14ac:dyDescent="0.25">
      <c r="B1828" s="2"/>
      <c r="C1828" s="19"/>
      <c r="D1828" s="2"/>
      <c r="E1828" s="2"/>
      <c r="F1828" s="19"/>
      <c r="G1828" s="2"/>
      <c r="H1828" s="2"/>
      <c r="I1828" s="2"/>
      <c r="J1828" s="2"/>
      <c r="L1828" s="20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  <c r="AA1828" s="20"/>
      <c r="AB1828" s="20"/>
      <c r="AC1828" s="20"/>
      <c r="AD1828" s="20"/>
      <c r="AE1828" s="20"/>
    </row>
    <row r="1829" spans="2:31" x14ac:dyDescent="0.25">
      <c r="B1829" s="2"/>
      <c r="C1829" s="19"/>
      <c r="D1829" s="2"/>
      <c r="E1829" s="2"/>
      <c r="F1829" s="19"/>
      <c r="G1829" s="2"/>
      <c r="H1829" s="2"/>
      <c r="I1829" s="2"/>
      <c r="J1829" s="2"/>
      <c r="L1829" s="20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  <c r="AA1829" s="20"/>
      <c r="AB1829" s="20"/>
      <c r="AC1829" s="20"/>
      <c r="AD1829" s="20"/>
      <c r="AE1829" s="20"/>
    </row>
    <row r="1830" spans="2:31" x14ac:dyDescent="0.25">
      <c r="B1830" s="2"/>
      <c r="C1830" s="19"/>
      <c r="D1830" s="2"/>
      <c r="E1830" s="2"/>
      <c r="F1830" s="19"/>
      <c r="G1830" s="2"/>
      <c r="H1830" s="2"/>
      <c r="I1830" s="2"/>
      <c r="J1830" s="2"/>
      <c r="L1830" s="20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  <c r="AA1830" s="20"/>
      <c r="AB1830" s="20"/>
      <c r="AC1830" s="20"/>
      <c r="AD1830" s="20"/>
      <c r="AE1830" s="20"/>
    </row>
    <row r="1831" spans="2:31" x14ac:dyDescent="0.25">
      <c r="B1831" s="2"/>
      <c r="C1831" s="19"/>
      <c r="D1831" s="2"/>
      <c r="E1831" s="2"/>
      <c r="F1831" s="19"/>
      <c r="G1831" s="2"/>
      <c r="H1831" s="2"/>
      <c r="I1831" s="2"/>
      <c r="J1831" s="2"/>
      <c r="L1831" s="20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  <c r="AA1831" s="20"/>
      <c r="AB1831" s="20"/>
      <c r="AC1831" s="20"/>
      <c r="AD1831" s="20"/>
      <c r="AE1831" s="20"/>
    </row>
    <row r="1832" spans="2:31" x14ac:dyDescent="0.25">
      <c r="B1832" s="2"/>
      <c r="C1832" s="19"/>
      <c r="D1832" s="2"/>
      <c r="E1832" s="2"/>
      <c r="F1832" s="19"/>
      <c r="G1832" s="2"/>
      <c r="H1832" s="2"/>
      <c r="I1832" s="2"/>
      <c r="J1832" s="2"/>
      <c r="L1832" s="20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  <c r="AA1832" s="20"/>
      <c r="AB1832" s="20"/>
      <c r="AC1832" s="20"/>
      <c r="AD1832" s="20"/>
      <c r="AE1832" s="20"/>
    </row>
    <row r="1833" spans="2:31" x14ac:dyDescent="0.25">
      <c r="B1833" s="2"/>
      <c r="C1833" s="19"/>
      <c r="D1833" s="2"/>
      <c r="E1833" s="2"/>
      <c r="F1833" s="19"/>
      <c r="G1833" s="2"/>
      <c r="H1833" s="2"/>
      <c r="I1833" s="2"/>
      <c r="J1833" s="2"/>
      <c r="L1833" s="20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  <c r="AA1833" s="20"/>
      <c r="AB1833" s="20"/>
      <c r="AC1833" s="20"/>
      <c r="AD1833" s="20"/>
      <c r="AE1833" s="20"/>
    </row>
    <row r="1834" spans="2:31" x14ac:dyDescent="0.25">
      <c r="B1834" s="2"/>
      <c r="C1834" s="19"/>
      <c r="D1834" s="2"/>
      <c r="E1834" s="2"/>
      <c r="F1834" s="19"/>
      <c r="G1834" s="2"/>
      <c r="H1834" s="2"/>
      <c r="I1834" s="2"/>
      <c r="J1834" s="2"/>
      <c r="L1834" s="20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  <c r="AA1834" s="20"/>
      <c r="AB1834" s="20"/>
      <c r="AC1834" s="20"/>
      <c r="AD1834" s="20"/>
      <c r="AE1834" s="20"/>
    </row>
    <row r="1835" spans="2:31" x14ac:dyDescent="0.25">
      <c r="B1835" s="2"/>
      <c r="C1835" s="19"/>
      <c r="D1835" s="2"/>
      <c r="E1835" s="2"/>
      <c r="F1835" s="19"/>
      <c r="G1835" s="2"/>
      <c r="H1835" s="2"/>
      <c r="I1835" s="2"/>
      <c r="J1835" s="2"/>
      <c r="L1835" s="20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  <c r="AA1835" s="20"/>
      <c r="AB1835" s="20"/>
      <c r="AC1835" s="20"/>
      <c r="AD1835" s="20"/>
      <c r="AE1835" s="20"/>
    </row>
    <row r="1836" spans="2:31" x14ac:dyDescent="0.25">
      <c r="B1836" s="2"/>
      <c r="C1836" s="19"/>
      <c r="D1836" s="2"/>
      <c r="E1836" s="2"/>
      <c r="F1836" s="19"/>
      <c r="G1836" s="2"/>
      <c r="H1836" s="2"/>
      <c r="I1836" s="2"/>
      <c r="J1836" s="2"/>
      <c r="L1836" s="20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  <c r="AA1836" s="20"/>
      <c r="AB1836" s="20"/>
      <c r="AC1836" s="20"/>
      <c r="AD1836" s="20"/>
      <c r="AE1836" s="20"/>
    </row>
    <row r="1837" spans="2:31" x14ac:dyDescent="0.25">
      <c r="B1837" s="2"/>
      <c r="C1837" s="19"/>
      <c r="D1837" s="2"/>
      <c r="E1837" s="2"/>
      <c r="F1837" s="19"/>
      <c r="G1837" s="2"/>
      <c r="H1837" s="2"/>
      <c r="I1837" s="2"/>
      <c r="J1837" s="2"/>
      <c r="L1837" s="20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  <c r="AA1837" s="20"/>
      <c r="AB1837" s="20"/>
      <c r="AC1837" s="20"/>
      <c r="AD1837" s="20"/>
      <c r="AE1837" s="20"/>
    </row>
    <row r="1838" spans="2:31" x14ac:dyDescent="0.25">
      <c r="B1838" s="2"/>
      <c r="C1838" s="19"/>
      <c r="D1838" s="2"/>
      <c r="E1838" s="2"/>
      <c r="F1838" s="19"/>
      <c r="G1838" s="2"/>
      <c r="H1838" s="2"/>
      <c r="I1838" s="2"/>
      <c r="J1838" s="2"/>
      <c r="L1838" s="20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  <c r="AA1838" s="20"/>
      <c r="AB1838" s="20"/>
      <c r="AC1838" s="20"/>
      <c r="AD1838" s="20"/>
      <c r="AE1838" s="20"/>
    </row>
    <row r="1839" spans="2:31" x14ac:dyDescent="0.25">
      <c r="B1839" s="2"/>
      <c r="C1839" s="19"/>
      <c r="D1839" s="2"/>
      <c r="E1839" s="2"/>
      <c r="F1839" s="19"/>
      <c r="G1839" s="2"/>
      <c r="H1839" s="2"/>
      <c r="I1839" s="2"/>
      <c r="J1839" s="2"/>
      <c r="L1839" s="20"/>
      <c r="M1839" s="20"/>
      <c r="N1839" s="20"/>
      <c r="O1839" s="20"/>
      <c r="P1839" s="20"/>
      <c r="Q1839" s="20"/>
      <c r="R1839" s="20"/>
      <c r="S1839" s="20"/>
      <c r="T1839" s="20"/>
      <c r="U1839" s="20"/>
      <c r="V1839" s="20"/>
      <c r="W1839" s="20"/>
      <c r="X1839" s="20"/>
      <c r="Y1839" s="20"/>
      <c r="Z1839" s="20"/>
      <c r="AA1839" s="20"/>
      <c r="AB1839" s="20"/>
      <c r="AC1839" s="20"/>
      <c r="AD1839" s="20"/>
      <c r="AE1839" s="20"/>
    </row>
    <row r="1840" spans="2:31" x14ac:dyDescent="0.25">
      <c r="B1840" s="2"/>
      <c r="C1840" s="19"/>
      <c r="D1840" s="2"/>
      <c r="E1840" s="2"/>
      <c r="F1840" s="19"/>
      <c r="G1840" s="2"/>
      <c r="H1840" s="2"/>
      <c r="I1840" s="2"/>
      <c r="J1840" s="2"/>
      <c r="L1840" s="20"/>
      <c r="M1840" s="20"/>
      <c r="N1840" s="20"/>
      <c r="O1840" s="20"/>
      <c r="P1840" s="20"/>
      <c r="Q1840" s="20"/>
      <c r="R1840" s="20"/>
      <c r="S1840" s="20"/>
      <c r="T1840" s="20"/>
      <c r="U1840" s="20"/>
      <c r="V1840" s="20"/>
      <c r="W1840" s="20"/>
      <c r="X1840" s="20"/>
      <c r="Y1840" s="20"/>
      <c r="Z1840" s="20"/>
      <c r="AA1840" s="20"/>
      <c r="AB1840" s="20"/>
      <c r="AC1840" s="20"/>
      <c r="AD1840" s="20"/>
      <c r="AE1840" s="20"/>
    </row>
    <row r="1841" spans="2:31" x14ac:dyDescent="0.25">
      <c r="B1841" s="2"/>
      <c r="C1841" s="19"/>
      <c r="D1841" s="2"/>
      <c r="E1841" s="2"/>
      <c r="F1841" s="19"/>
      <c r="G1841" s="2"/>
      <c r="H1841" s="2"/>
      <c r="I1841" s="2"/>
      <c r="J1841" s="2"/>
      <c r="L1841" s="20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  <c r="AA1841" s="20"/>
      <c r="AB1841" s="20"/>
      <c r="AC1841" s="20"/>
      <c r="AD1841" s="20"/>
      <c r="AE1841" s="20"/>
    </row>
    <row r="1842" spans="2:31" x14ac:dyDescent="0.25">
      <c r="B1842" s="2"/>
      <c r="C1842" s="19"/>
      <c r="D1842" s="2"/>
      <c r="E1842" s="2"/>
      <c r="F1842" s="19"/>
      <c r="G1842" s="2"/>
      <c r="H1842" s="2"/>
      <c r="I1842" s="2"/>
      <c r="J1842" s="2"/>
      <c r="L1842" s="20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  <c r="AA1842" s="20"/>
      <c r="AB1842" s="20"/>
      <c r="AC1842" s="20"/>
      <c r="AD1842" s="20"/>
      <c r="AE1842" s="20"/>
    </row>
    <row r="1843" spans="2:31" x14ac:dyDescent="0.25">
      <c r="B1843" s="2"/>
      <c r="C1843" s="19"/>
      <c r="D1843" s="2"/>
      <c r="E1843" s="2"/>
      <c r="F1843" s="19"/>
      <c r="G1843" s="2"/>
      <c r="H1843" s="2"/>
      <c r="I1843" s="2"/>
      <c r="J1843" s="2"/>
      <c r="L1843" s="20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  <c r="AA1843" s="20"/>
      <c r="AB1843" s="20"/>
      <c r="AC1843" s="20"/>
      <c r="AD1843" s="20"/>
      <c r="AE1843" s="20"/>
    </row>
    <row r="1844" spans="2:31" x14ac:dyDescent="0.25">
      <c r="B1844" s="2"/>
      <c r="C1844" s="19"/>
      <c r="D1844" s="2"/>
      <c r="E1844" s="2"/>
      <c r="F1844" s="19"/>
      <c r="G1844" s="2"/>
      <c r="H1844" s="2"/>
      <c r="I1844" s="2"/>
      <c r="J1844" s="2"/>
      <c r="L1844" s="20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  <c r="AA1844" s="20"/>
      <c r="AB1844" s="20"/>
      <c r="AC1844" s="20"/>
      <c r="AD1844" s="20"/>
      <c r="AE1844" s="20"/>
    </row>
    <row r="1845" spans="2:31" x14ac:dyDescent="0.25">
      <c r="B1845" s="2"/>
      <c r="C1845" s="19"/>
      <c r="D1845" s="2"/>
      <c r="E1845" s="2"/>
      <c r="F1845" s="19"/>
      <c r="G1845" s="2"/>
      <c r="H1845" s="2"/>
      <c r="I1845" s="2"/>
      <c r="J1845" s="2"/>
      <c r="L1845" s="20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  <c r="AA1845" s="20"/>
      <c r="AB1845" s="20"/>
      <c r="AC1845" s="20"/>
      <c r="AD1845" s="20"/>
      <c r="AE1845" s="20"/>
    </row>
    <row r="1846" spans="2:31" x14ac:dyDescent="0.25">
      <c r="B1846" s="2"/>
      <c r="C1846" s="19"/>
      <c r="D1846" s="2"/>
      <c r="E1846" s="2"/>
      <c r="F1846" s="19"/>
      <c r="G1846" s="2"/>
      <c r="H1846" s="2"/>
      <c r="I1846" s="2"/>
      <c r="J1846" s="2"/>
      <c r="L1846" s="20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  <c r="AA1846" s="20"/>
      <c r="AB1846" s="20"/>
      <c r="AC1846" s="20"/>
      <c r="AD1846" s="20"/>
      <c r="AE1846" s="20"/>
    </row>
    <row r="1847" spans="2:31" x14ac:dyDescent="0.25">
      <c r="B1847" s="2"/>
      <c r="C1847" s="19"/>
      <c r="D1847" s="2"/>
      <c r="E1847" s="2"/>
      <c r="F1847" s="19"/>
      <c r="G1847" s="2"/>
      <c r="H1847" s="2"/>
      <c r="I1847" s="2"/>
      <c r="J1847" s="2"/>
      <c r="L1847" s="20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  <c r="AA1847" s="20"/>
      <c r="AB1847" s="20"/>
      <c r="AC1847" s="20"/>
      <c r="AD1847" s="20"/>
      <c r="AE1847" s="20"/>
    </row>
    <row r="1848" spans="2:31" x14ac:dyDescent="0.25">
      <c r="B1848" s="2"/>
      <c r="C1848" s="19"/>
      <c r="D1848" s="2"/>
      <c r="E1848" s="2"/>
      <c r="F1848" s="19"/>
      <c r="G1848" s="2"/>
      <c r="H1848" s="2"/>
      <c r="I1848" s="2"/>
      <c r="J1848" s="2"/>
      <c r="L1848" s="20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  <c r="AA1848" s="20"/>
      <c r="AB1848" s="20"/>
      <c r="AC1848" s="20"/>
      <c r="AD1848" s="20"/>
      <c r="AE1848" s="20"/>
    </row>
    <row r="1849" spans="2:31" x14ac:dyDescent="0.25">
      <c r="B1849" s="2"/>
      <c r="C1849" s="19"/>
      <c r="D1849" s="2"/>
      <c r="E1849" s="2"/>
      <c r="F1849" s="19"/>
      <c r="G1849" s="2"/>
      <c r="H1849" s="2"/>
      <c r="I1849" s="2"/>
      <c r="J1849" s="2"/>
      <c r="L1849" s="20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  <c r="AA1849" s="20"/>
      <c r="AB1849" s="20"/>
      <c r="AC1849" s="20"/>
      <c r="AD1849" s="20"/>
      <c r="AE1849" s="20"/>
    </row>
    <row r="1850" spans="2:31" x14ac:dyDescent="0.25">
      <c r="B1850" s="2"/>
      <c r="C1850" s="19"/>
      <c r="D1850" s="2"/>
      <c r="E1850" s="2"/>
      <c r="F1850" s="19"/>
      <c r="G1850" s="2"/>
      <c r="H1850" s="2"/>
      <c r="I1850" s="2"/>
      <c r="J1850" s="2"/>
      <c r="L1850" s="20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  <c r="AA1850" s="20"/>
      <c r="AB1850" s="20"/>
      <c r="AC1850" s="20"/>
      <c r="AD1850" s="20"/>
      <c r="AE1850" s="20"/>
    </row>
    <row r="1851" spans="2:31" x14ac:dyDescent="0.25">
      <c r="B1851" s="2"/>
      <c r="C1851" s="19"/>
      <c r="D1851" s="2"/>
      <c r="E1851" s="2"/>
      <c r="F1851" s="19"/>
      <c r="G1851" s="2"/>
      <c r="H1851" s="2"/>
      <c r="I1851" s="2"/>
      <c r="J1851" s="2"/>
      <c r="L1851" s="20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  <c r="AA1851" s="20"/>
      <c r="AB1851" s="20"/>
      <c r="AC1851" s="20"/>
      <c r="AD1851" s="20"/>
      <c r="AE1851" s="20"/>
    </row>
    <row r="1852" spans="2:31" x14ac:dyDescent="0.25">
      <c r="B1852" s="2"/>
      <c r="C1852" s="19"/>
      <c r="D1852" s="2"/>
      <c r="E1852" s="2"/>
      <c r="F1852" s="19"/>
      <c r="G1852" s="2"/>
      <c r="H1852" s="2"/>
      <c r="I1852" s="2"/>
      <c r="J1852" s="2"/>
      <c r="L1852" s="20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  <c r="AA1852" s="20"/>
      <c r="AB1852" s="20"/>
      <c r="AC1852" s="20"/>
      <c r="AD1852" s="20"/>
      <c r="AE1852" s="20"/>
    </row>
    <row r="1853" spans="2:31" x14ac:dyDescent="0.25">
      <c r="B1853" s="2"/>
      <c r="C1853" s="19"/>
      <c r="D1853" s="2"/>
      <c r="E1853" s="2"/>
      <c r="F1853" s="19"/>
      <c r="G1853" s="2"/>
      <c r="H1853" s="2"/>
      <c r="I1853" s="2"/>
      <c r="J1853" s="2"/>
      <c r="L1853" s="20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  <c r="AA1853" s="20"/>
      <c r="AB1853" s="20"/>
      <c r="AC1853" s="20"/>
      <c r="AD1853" s="20"/>
      <c r="AE1853" s="20"/>
    </row>
    <row r="1854" spans="2:31" x14ac:dyDescent="0.25">
      <c r="B1854" s="2"/>
      <c r="C1854" s="19"/>
      <c r="D1854" s="2"/>
      <c r="E1854" s="2"/>
      <c r="F1854" s="19"/>
      <c r="G1854" s="2"/>
      <c r="H1854" s="2"/>
      <c r="I1854" s="2"/>
      <c r="J1854" s="2"/>
      <c r="L1854" s="20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  <c r="AA1854" s="20"/>
      <c r="AB1854" s="20"/>
      <c r="AC1854" s="20"/>
      <c r="AD1854" s="20"/>
      <c r="AE1854" s="20"/>
    </row>
    <row r="1855" spans="2:31" x14ac:dyDescent="0.25">
      <c r="B1855" s="2"/>
      <c r="C1855" s="19"/>
      <c r="D1855" s="2"/>
      <c r="E1855" s="2"/>
      <c r="F1855" s="19"/>
      <c r="G1855" s="2"/>
      <c r="H1855" s="2"/>
      <c r="I1855" s="2"/>
      <c r="J1855" s="2"/>
      <c r="L1855" s="20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  <c r="AA1855" s="20"/>
      <c r="AB1855" s="20"/>
      <c r="AC1855" s="20"/>
      <c r="AD1855" s="20"/>
      <c r="AE1855" s="20"/>
    </row>
    <row r="1856" spans="2:31" x14ac:dyDescent="0.25">
      <c r="B1856" s="2"/>
      <c r="C1856" s="19"/>
      <c r="D1856" s="2"/>
      <c r="E1856" s="2"/>
      <c r="F1856" s="19"/>
      <c r="G1856" s="2"/>
      <c r="H1856" s="2"/>
      <c r="I1856" s="2"/>
      <c r="J1856" s="2"/>
      <c r="L1856" s="20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  <c r="AA1856" s="20"/>
      <c r="AB1856" s="20"/>
      <c r="AC1856" s="20"/>
      <c r="AD1856" s="20"/>
      <c r="AE1856" s="20"/>
    </row>
    <row r="1857" spans="2:31" x14ac:dyDescent="0.25">
      <c r="B1857" s="2"/>
      <c r="C1857" s="19"/>
      <c r="D1857" s="2"/>
      <c r="E1857" s="2"/>
      <c r="F1857" s="19"/>
      <c r="G1857" s="2"/>
      <c r="H1857" s="2"/>
      <c r="I1857" s="2"/>
      <c r="J1857" s="2"/>
      <c r="L1857" s="20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  <c r="AA1857" s="20"/>
      <c r="AB1857" s="20"/>
      <c r="AC1857" s="20"/>
      <c r="AD1857" s="20"/>
      <c r="AE1857" s="20"/>
    </row>
    <row r="1858" spans="2:31" x14ac:dyDescent="0.25">
      <c r="B1858" s="2"/>
      <c r="C1858" s="19"/>
      <c r="D1858" s="2"/>
      <c r="E1858" s="2"/>
      <c r="F1858" s="19"/>
      <c r="G1858" s="2"/>
      <c r="H1858" s="2"/>
      <c r="I1858" s="2"/>
      <c r="J1858" s="2"/>
      <c r="L1858" s="20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  <c r="AA1858" s="20"/>
      <c r="AB1858" s="20"/>
      <c r="AC1858" s="20"/>
      <c r="AD1858" s="20"/>
      <c r="AE1858" s="20"/>
    </row>
    <row r="1859" spans="2:31" x14ac:dyDescent="0.25">
      <c r="B1859" s="2"/>
      <c r="C1859" s="19"/>
      <c r="D1859" s="2"/>
      <c r="E1859" s="2"/>
      <c r="F1859" s="19"/>
      <c r="G1859" s="2"/>
      <c r="H1859" s="2"/>
      <c r="I1859" s="2"/>
      <c r="J1859" s="2"/>
      <c r="L1859" s="20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  <c r="AA1859" s="20"/>
      <c r="AB1859" s="20"/>
      <c r="AC1859" s="20"/>
      <c r="AD1859" s="20"/>
      <c r="AE1859" s="20"/>
    </row>
    <row r="1860" spans="2:31" x14ac:dyDescent="0.25">
      <c r="B1860" s="2"/>
      <c r="C1860" s="19"/>
      <c r="D1860" s="2"/>
      <c r="E1860" s="2"/>
      <c r="F1860" s="19"/>
      <c r="G1860" s="2"/>
      <c r="H1860" s="2"/>
      <c r="I1860" s="2"/>
      <c r="J1860" s="2"/>
      <c r="L1860" s="20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  <c r="AA1860" s="20"/>
      <c r="AB1860" s="20"/>
      <c r="AC1860" s="20"/>
      <c r="AD1860" s="20"/>
      <c r="AE1860" s="20"/>
    </row>
    <row r="1861" spans="2:31" x14ac:dyDescent="0.25">
      <c r="B1861" s="2"/>
      <c r="C1861" s="19"/>
      <c r="D1861" s="2"/>
      <c r="E1861" s="2"/>
      <c r="F1861" s="19"/>
      <c r="G1861" s="2"/>
      <c r="H1861" s="2"/>
      <c r="I1861" s="2"/>
      <c r="J1861" s="2"/>
      <c r="L1861" s="20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  <c r="AA1861" s="20"/>
      <c r="AB1861" s="20"/>
      <c r="AC1861" s="20"/>
      <c r="AD1861" s="20"/>
      <c r="AE1861" s="20"/>
    </row>
    <row r="1862" spans="2:31" x14ac:dyDescent="0.25">
      <c r="B1862" s="2"/>
      <c r="C1862" s="19"/>
      <c r="D1862" s="2"/>
      <c r="E1862" s="2"/>
      <c r="F1862" s="19"/>
      <c r="G1862" s="2"/>
      <c r="H1862" s="2"/>
      <c r="I1862" s="2"/>
      <c r="J1862" s="2"/>
      <c r="L1862" s="20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  <c r="AA1862" s="20"/>
      <c r="AB1862" s="20"/>
      <c r="AC1862" s="20"/>
      <c r="AD1862" s="20"/>
      <c r="AE1862" s="20"/>
    </row>
    <row r="1863" spans="2:31" x14ac:dyDescent="0.25">
      <c r="B1863" s="2"/>
      <c r="C1863" s="19"/>
      <c r="D1863" s="2"/>
      <c r="E1863" s="2"/>
      <c r="F1863" s="19"/>
      <c r="G1863" s="2"/>
      <c r="H1863" s="2"/>
      <c r="I1863" s="2"/>
      <c r="J1863" s="2"/>
      <c r="L1863" s="20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  <c r="AA1863" s="20"/>
      <c r="AB1863" s="20"/>
      <c r="AC1863" s="20"/>
      <c r="AD1863" s="20"/>
      <c r="AE1863" s="20"/>
    </row>
    <row r="1864" spans="2:31" x14ac:dyDescent="0.25">
      <c r="B1864" s="2"/>
      <c r="C1864" s="19"/>
      <c r="D1864" s="2"/>
      <c r="E1864" s="2"/>
      <c r="F1864" s="19"/>
      <c r="G1864" s="2"/>
      <c r="H1864" s="2"/>
      <c r="I1864" s="2"/>
      <c r="J1864" s="2"/>
      <c r="L1864" s="20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  <c r="AA1864" s="20"/>
      <c r="AB1864" s="20"/>
      <c r="AC1864" s="20"/>
      <c r="AD1864" s="20"/>
      <c r="AE1864" s="20"/>
    </row>
    <row r="1865" spans="2:31" x14ac:dyDescent="0.25">
      <c r="B1865" s="2"/>
      <c r="C1865" s="19"/>
      <c r="D1865" s="2"/>
      <c r="E1865" s="2"/>
      <c r="F1865" s="19"/>
      <c r="G1865" s="2"/>
      <c r="H1865" s="2"/>
      <c r="I1865" s="2"/>
      <c r="J1865" s="2"/>
      <c r="L1865" s="20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  <c r="AA1865" s="20"/>
      <c r="AB1865" s="20"/>
      <c r="AC1865" s="20"/>
      <c r="AD1865" s="20"/>
      <c r="AE1865" s="20"/>
    </row>
    <row r="1866" spans="2:31" x14ac:dyDescent="0.25">
      <c r="B1866" s="2"/>
      <c r="C1866" s="19"/>
      <c r="D1866" s="2"/>
      <c r="E1866" s="2"/>
      <c r="F1866" s="19"/>
      <c r="G1866" s="2"/>
      <c r="H1866" s="2"/>
      <c r="I1866" s="2"/>
      <c r="J1866" s="2"/>
      <c r="L1866" s="20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  <c r="AA1866" s="20"/>
      <c r="AB1866" s="20"/>
      <c r="AC1866" s="20"/>
      <c r="AD1866" s="20"/>
      <c r="AE1866" s="20"/>
    </row>
    <row r="1867" spans="2:31" x14ac:dyDescent="0.25">
      <c r="B1867" s="2"/>
      <c r="C1867" s="19"/>
      <c r="D1867" s="2"/>
      <c r="E1867" s="2"/>
      <c r="F1867" s="19"/>
      <c r="G1867" s="2"/>
      <c r="H1867" s="2"/>
      <c r="I1867" s="2"/>
      <c r="J1867" s="2"/>
      <c r="L1867" s="20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  <c r="AA1867" s="20"/>
      <c r="AB1867" s="20"/>
      <c r="AC1867" s="20"/>
      <c r="AD1867" s="20"/>
      <c r="AE1867" s="20"/>
    </row>
    <row r="1868" spans="2:31" x14ac:dyDescent="0.25">
      <c r="B1868" s="2"/>
      <c r="C1868" s="19"/>
      <c r="D1868" s="2"/>
      <c r="E1868" s="2"/>
      <c r="F1868" s="19"/>
      <c r="G1868" s="2"/>
      <c r="H1868" s="2"/>
      <c r="I1868" s="2"/>
      <c r="J1868" s="2"/>
      <c r="L1868" s="20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  <c r="AA1868" s="20"/>
      <c r="AB1868" s="20"/>
      <c r="AC1868" s="20"/>
      <c r="AD1868" s="20"/>
      <c r="AE1868" s="20"/>
    </row>
    <row r="1869" spans="2:31" x14ac:dyDescent="0.25">
      <c r="B1869" s="2"/>
      <c r="C1869" s="19"/>
      <c r="D1869" s="2"/>
      <c r="E1869" s="2"/>
      <c r="F1869" s="19"/>
      <c r="G1869" s="2"/>
      <c r="H1869" s="2"/>
      <c r="I1869" s="2"/>
      <c r="J1869" s="2"/>
      <c r="L1869" s="20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  <c r="AA1869" s="20"/>
      <c r="AB1869" s="20"/>
      <c r="AC1869" s="20"/>
      <c r="AD1869" s="20"/>
      <c r="AE1869" s="20"/>
    </row>
    <row r="1870" spans="2:31" x14ac:dyDescent="0.25">
      <c r="B1870" s="2"/>
      <c r="C1870" s="19"/>
      <c r="D1870" s="2"/>
      <c r="E1870" s="2"/>
      <c r="F1870" s="19"/>
      <c r="G1870" s="2"/>
      <c r="H1870" s="2"/>
      <c r="I1870" s="2"/>
      <c r="J1870" s="2"/>
      <c r="L1870" s="20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  <c r="AA1870" s="20"/>
      <c r="AB1870" s="20"/>
      <c r="AC1870" s="20"/>
      <c r="AD1870" s="20"/>
      <c r="AE1870" s="20"/>
    </row>
    <row r="1871" spans="2:31" x14ac:dyDescent="0.25">
      <c r="B1871" s="2"/>
      <c r="C1871" s="19"/>
      <c r="D1871" s="2"/>
      <c r="E1871" s="2"/>
      <c r="F1871" s="19"/>
      <c r="G1871" s="2"/>
      <c r="H1871" s="2"/>
      <c r="I1871" s="2"/>
      <c r="J1871" s="2"/>
      <c r="L1871" s="20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  <c r="AA1871" s="20"/>
      <c r="AB1871" s="20"/>
      <c r="AC1871" s="20"/>
      <c r="AD1871" s="20"/>
      <c r="AE1871" s="20"/>
    </row>
    <row r="1872" spans="2:31" x14ac:dyDescent="0.25">
      <c r="B1872" s="2"/>
      <c r="C1872" s="19"/>
      <c r="D1872" s="2"/>
      <c r="E1872" s="2"/>
      <c r="F1872" s="19"/>
      <c r="G1872" s="2"/>
      <c r="H1872" s="2"/>
      <c r="I1872" s="2"/>
      <c r="J1872" s="2"/>
      <c r="L1872" s="20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  <c r="AA1872" s="20"/>
      <c r="AB1872" s="20"/>
      <c r="AC1872" s="20"/>
      <c r="AD1872" s="20"/>
      <c r="AE1872" s="20"/>
    </row>
    <row r="1873" spans="2:31" x14ac:dyDescent="0.25">
      <c r="B1873" s="2"/>
      <c r="C1873" s="19"/>
      <c r="D1873" s="2"/>
      <c r="E1873" s="2"/>
      <c r="F1873" s="19"/>
      <c r="G1873" s="2"/>
      <c r="H1873" s="2"/>
      <c r="I1873" s="2"/>
      <c r="J1873" s="2"/>
      <c r="L1873" s="20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  <c r="AA1873" s="20"/>
      <c r="AB1873" s="20"/>
      <c r="AC1873" s="20"/>
      <c r="AD1873" s="20"/>
      <c r="AE1873" s="20"/>
    </row>
    <row r="1874" spans="2:31" x14ac:dyDescent="0.25">
      <c r="B1874" s="2"/>
      <c r="C1874" s="19"/>
      <c r="D1874" s="2"/>
      <c r="E1874" s="2"/>
      <c r="F1874" s="19"/>
      <c r="G1874" s="2"/>
      <c r="H1874" s="2"/>
      <c r="I1874" s="2"/>
      <c r="J1874" s="2"/>
      <c r="L1874" s="20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  <c r="AA1874" s="20"/>
      <c r="AB1874" s="20"/>
      <c r="AC1874" s="20"/>
      <c r="AD1874" s="20"/>
      <c r="AE1874" s="20"/>
    </row>
    <row r="1875" spans="2:31" x14ac:dyDescent="0.25">
      <c r="B1875" s="2"/>
      <c r="C1875" s="19"/>
      <c r="D1875" s="2"/>
      <c r="E1875" s="2"/>
      <c r="F1875" s="19"/>
      <c r="G1875" s="2"/>
      <c r="H1875" s="2"/>
      <c r="I1875" s="2"/>
      <c r="J1875" s="2"/>
      <c r="L1875" s="20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  <c r="AA1875" s="20"/>
      <c r="AB1875" s="20"/>
      <c r="AC1875" s="20"/>
      <c r="AD1875" s="20"/>
      <c r="AE1875" s="20"/>
    </row>
    <row r="1876" spans="2:31" x14ac:dyDescent="0.25">
      <c r="B1876" s="2"/>
      <c r="C1876" s="19"/>
      <c r="D1876" s="2"/>
      <c r="E1876" s="2"/>
      <c r="F1876" s="19"/>
      <c r="G1876" s="2"/>
      <c r="H1876" s="2"/>
      <c r="I1876" s="2"/>
      <c r="J1876" s="2"/>
      <c r="L1876" s="20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  <c r="AA1876" s="20"/>
      <c r="AB1876" s="20"/>
      <c r="AC1876" s="20"/>
      <c r="AD1876" s="20"/>
      <c r="AE1876" s="20"/>
    </row>
    <row r="1877" spans="2:31" x14ac:dyDescent="0.25">
      <c r="B1877" s="2"/>
      <c r="C1877" s="19"/>
      <c r="D1877" s="2"/>
      <c r="E1877" s="2"/>
      <c r="F1877" s="19"/>
      <c r="G1877" s="2"/>
      <c r="H1877" s="2"/>
      <c r="I1877" s="2"/>
      <c r="J1877" s="2"/>
      <c r="L1877" s="20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  <c r="AA1877" s="20"/>
      <c r="AB1877" s="20"/>
      <c r="AC1877" s="20"/>
      <c r="AD1877" s="20"/>
      <c r="AE1877" s="20"/>
    </row>
    <row r="1878" spans="2:31" x14ac:dyDescent="0.25">
      <c r="B1878" s="2"/>
      <c r="C1878" s="19"/>
      <c r="D1878" s="2"/>
      <c r="E1878" s="2"/>
      <c r="F1878" s="19"/>
      <c r="G1878" s="2"/>
      <c r="H1878" s="2"/>
      <c r="I1878" s="2"/>
      <c r="J1878" s="2"/>
      <c r="L1878" s="20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  <c r="AA1878" s="20"/>
      <c r="AB1878" s="20"/>
      <c r="AC1878" s="20"/>
      <c r="AD1878" s="20"/>
      <c r="AE1878" s="20"/>
    </row>
    <row r="1879" spans="2:31" x14ac:dyDescent="0.25">
      <c r="B1879" s="2"/>
      <c r="C1879" s="19"/>
      <c r="D1879" s="2"/>
      <c r="E1879" s="2"/>
      <c r="F1879" s="19"/>
      <c r="G1879" s="2"/>
      <c r="H1879" s="2"/>
      <c r="I1879" s="2"/>
      <c r="J1879" s="2"/>
      <c r="L1879" s="20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  <c r="AA1879" s="20"/>
      <c r="AB1879" s="20"/>
      <c r="AC1879" s="20"/>
      <c r="AD1879" s="20"/>
      <c r="AE1879" s="20"/>
    </row>
    <row r="1880" spans="2:31" x14ac:dyDescent="0.25">
      <c r="B1880" s="2"/>
      <c r="C1880" s="19"/>
      <c r="D1880" s="2"/>
      <c r="E1880" s="2"/>
      <c r="F1880" s="19"/>
      <c r="G1880" s="2"/>
      <c r="H1880" s="2"/>
      <c r="I1880" s="2"/>
      <c r="J1880" s="2"/>
      <c r="L1880" s="20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  <c r="AA1880" s="20"/>
      <c r="AB1880" s="20"/>
      <c r="AC1880" s="20"/>
      <c r="AD1880" s="20"/>
      <c r="AE1880" s="20"/>
    </row>
    <row r="1881" spans="2:31" x14ac:dyDescent="0.25">
      <c r="B1881" s="2"/>
      <c r="C1881" s="19"/>
      <c r="D1881" s="2"/>
      <c r="E1881" s="2"/>
      <c r="F1881" s="19"/>
      <c r="G1881" s="2"/>
      <c r="H1881" s="2"/>
      <c r="I1881" s="2"/>
      <c r="J1881" s="2"/>
      <c r="L1881" s="20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  <c r="AA1881" s="20"/>
      <c r="AB1881" s="20"/>
      <c r="AC1881" s="20"/>
      <c r="AD1881" s="20"/>
      <c r="AE1881" s="20"/>
    </row>
    <row r="1882" spans="2:31" x14ac:dyDescent="0.25">
      <c r="B1882" s="2"/>
      <c r="C1882" s="19"/>
      <c r="D1882" s="2"/>
      <c r="E1882" s="2"/>
      <c r="F1882" s="19"/>
      <c r="G1882" s="2"/>
      <c r="H1882" s="2"/>
      <c r="I1882" s="2"/>
      <c r="J1882" s="2"/>
      <c r="L1882" s="20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  <c r="AA1882" s="20"/>
      <c r="AB1882" s="20"/>
      <c r="AC1882" s="20"/>
      <c r="AD1882" s="20"/>
      <c r="AE1882" s="20"/>
    </row>
    <row r="1883" spans="2:31" x14ac:dyDescent="0.25">
      <c r="B1883" s="2"/>
      <c r="C1883" s="19"/>
      <c r="D1883" s="2"/>
      <c r="E1883" s="2"/>
      <c r="F1883" s="19"/>
      <c r="G1883" s="2"/>
      <c r="H1883" s="2"/>
      <c r="I1883" s="2"/>
      <c r="J1883" s="2"/>
      <c r="L1883" s="20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  <c r="AA1883" s="20"/>
      <c r="AB1883" s="20"/>
      <c r="AC1883" s="20"/>
      <c r="AD1883" s="20"/>
      <c r="AE1883" s="20"/>
    </row>
    <row r="1884" spans="2:31" x14ac:dyDescent="0.25">
      <c r="B1884" s="2"/>
      <c r="C1884" s="19"/>
      <c r="D1884" s="2"/>
      <c r="E1884" s="2"/>
      <c r="F1884" s="19"/>
      <c r="G1884" s="2"/>
      <c r="H1884" s="2"/>
      <c r="I1884" s="2"/>
      <c r="J1884" s="2"/>
      <c r="L1884" s="20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  <c r="AA1884" s="20"/>
      <c r="AB1884" s="20"/>
      <c r="AC1884" s="20"/>
      <c r="AD1884" s="20"/>
      <c r="AE1884" s="20"/>
    </row>
    <row r="1885" spans="2:31" x14ac:dyDescent="0.25">
      <c r="B1885" s="2"/>
      <c r="C1885" s="19"/>
      <c r="D1885" s="2"/>
      <c r="E1885" s="2"/>
      <c r="F1885" s="19"/>
      <c r="G1885" s="2"/>
      <c r="H1885" s="2"/>
      <c r="I1885" s="2"/>
      <c r="J1885" s="2"/>
      <c r="L1885" s="20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  <c r="AA1885" s="20"/>
      <c r="AB1885" s="20"/>
      <c r="AC1885" s="20"/>
      <c r="AD1885" s="20"/>
      <c r="AE1885" s="20"/>
    </row>
    <row r="1886" spans="2:31" x14ac:dyDescent="0.25">
      <c r="B1886" s="2"/>
      <c r="C1886" s="19"/>
      <c r="D1886" s="2"/>
      <c r="E1886" s="2"/>
      <c r="F1886" s="19"/>
      <c r="G1886" s="2"/>
      <c r="H1886" s="2"/>
      <c r="I1886" s="2"/>
      <c r="J1886" s="2"/>
      <c r="L1886" s="20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  <c r="AA1886" s="20"/>
      <c r="AB1886" s="20"/>
      <c r="AC1886" s="20"/>
      <c r="AD1886" s="20"/>
      <c r="AE1886" s="20"/>
    </row>
    <row r="1887" spans="2:31" x14ac:dyDescent="0.25">
      <c r="B1887" s="2"/>
      <c r="C1887" s="19"/>
      <c r="D1887" s="2"/>
      <c r="E1887" s="2"/>
      <c r="F1887" s="19"/>
      <c r="G1887" s="2"/>
      <c r="H1887" s="2"/>
      <c r="I1887" s="2"/>
      <c r="J1887" s="2"/>
      <c r="L1887" s="20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  <c r="AA1887" s="20"/>
      <c r="AB1887" s="20"/>
      <c r="AC1887" s="20"/>
      <c r="AD1887" s="20"/>
      <c r="AE1887" s="20"/>
    </row>
    <row r="1888" spans="2:31" x14ac:dyDescent="0.25">
      <c r="B1888" s="2"/>
      <c r="C1888" s="19"/>
      <c r="D1888" s="2"/>
      <c r="E1888" s="2"/>
      <c r="F1888" s="19"/>
      <c r="G1888" s="2"/>
      <c r="H1888" s="2"/>
      <c r="I1888" s="2"/>
      <c r="J1888" s="2"/>
      <c r="L1888" s="20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  <c r="AA1888" s="20"/>
      <c r="AB1888" s="20"/>
      <c r="AC1888" s="20"/>
      <c r="AD1888" s="20"/>
      <c r="AE1888" s="20"/>
    </row>
    <row r="1889" spans="2:31" x14ac:dyDescent="0.25">
      <c r="B1889" s="2"/>
      <c r="C1889" s="19"/>
      <c r="D1889" s="2"/>
      <c r="E1889" s="2"/>
      <c r="F1889" s="19"/>
      <c r="G1889" s="2"/>
      <c r="H1889" s="2"/>
      <c r="I1889" s="2"/>
      <c r="J1889" s="2"/>
      <c r="L1889" s="20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  <c r="AA1889" s="20"/>
      <c r="AB1889" s="20"/>
      <c r="AC1889" s="20"/>
      <c r="AD1889" s="20"/>
      <c r="AE1889" s="20"/>
    </row>
    <row r="1890" spans="2:31" x14ac:dyDescent="0.25">
      <c r="B1890" s="2"/>
      <c r="C1890" s="19"/>
      <c r="D1890" s="2"/>
      <c r="E1890" s="2"/>
      <c r="F1890" s="19"/>
      <c r="G1890" s="2"/>
      <c r="H1890" s="2"/>
      <c r="I1890" s="2"/>
      <c r="J1890" s="2"/>
      <c r="L1890" s="20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  <c r="AA1890" s="20"/>
      <c r="AB1890" s="20"/>
      <c r="AC1890" s="20"/>
      <c r="AD1890" s="20"/>
      <c r="AE1890" s="20"/>
    </row>
    <row r="1891" spans="2:31" x14ac:dyDescent="0.25">
      <c r="B1891" s="2"/>
      <c r="C1891" s="19"/>
      <c r="D1891" s="2"/>
      <c r="E1891" s="2"/>
      <c r="F1891" s="19"/>
      <c r="G1891" s="2"/>
      <c r="H1891" s="2"/>
      <c r="I1891" s="2"/>
      <c r="J1891" s="2"/>
      <c r="L1891" s="20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  <c r="AA1891" s="20"/>
      <c r="AB1891" s="20"/>
      <c r="AC1891" s="20"/>
      <c r="AD1891" s="20"/>
      <c r="AE1891" s="20"/>
    </row>
    <row r="1892" spans="2:31" x14ac:dyDescent="0.25">
      <c r="B1892" s="2"/>
      <c r="C1892" s="19"/>
      <c r="D1892" s="2"/>
      <c r="E1892" s="2"/>
      <c r="F1892" s="19"/>
      <c r="G1892" s="2"/>
      <c r="H1892" s="2"/>
      <c r="I1892" s="2"/>
      <c r="J1892" s="2"/>
      <c r="L1892" s="20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  <c r="AA1892" s="20"/>
      <c r="AB1892" s="20"/>
      <c r="AC1892" s="20"/>
      <c r="AD1892" s="20"/>
      <c r="AE1892" s="20"/>
    </row>
    <row r="1893" spans="2:31" x14ac:dyDescent="0.25">
      <c r="B1893" s="2"/>
      <c r="C1893" s="19"/>
      <c r="D1893" s="2"/>
      <c r="E1893" s="2"/>
      <c r="F1893" s="19"/>
      <c r="G1893" s="2"/>
      <c r="H1893" s="2"/>
      <c r="I1893" s="2"/>
      <c r="J1893" s="2"/>
      <c r="L1893" s="20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  <c r="AA1893" s="20"/>
      <c r="AB1893" s="20"/>
      <c r="AC1893" s="20"/>
      <c r="AD1893" s="20"/>
      <c r="AE1893" s="20"/>
    </row>
    <row r="1894" spans="2:31" x14ac:dyDescent="0.25">
      <c r="B1894" s="2"/>
      <c r="C1894" s="19"/>
      <c r="D1894" s="2"/>
      <c r="E1894" s="2"/>
      <c r="F1894" s="19"/>
      <c r="G1894" s="2"/>
      <c r="H1894" s="2"/>
      <c r="I1894" s="2"/>
      <c r="J1894" s="2"/>
      <c r="L1894" s="20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  <c r="AA1894" s="20"/>
      <c r="AB1894" s="20"/>
      <c r="AC1894" s="20"/>
      <c r="AD1894" s="20"/>
      <c r="AE1894" s="20"/>
    </row>
    <row r="1895" spans="2:31" x14ac:dyDescent="0.25">
      <c r="B1895" s="2"/>
      <c r="C1895" s="19"/>
      <c r="D1895" s="2"/>
      <c r="E1895" s="2"/>
      <c r="F1895" s="19"/>
      <c r="G1895" s="2"/>
      <c r="H1895" s="2"/>
      <c r="I1895" s="2"/>
      <c r="J1895" s="2"/>
      <c r="L1895" s="20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  <c r="AA1895" s="20"/>
      <c r="AB1895" s="20"/>
      <c r="AC1895" s="20"/>
      <c r="AD1895" s="20"/>
      <c r="AE1895" s="20"/>
    </row>
    <row r="1896" spans="2:31" x14ac:dyDescent="0.25">
      <c r="B1896" s="2"/>
      <c r="C1896" s="19"/>
      <c r="D1896" s="2"/>
      <c r="E1896" s="2"/>
      <c r="F1896" s="19"/>
      <c r="G1896" s="2"/>
      <c r="H1896" s="2"/>
      <c r="I1896" s="2"/>
      <c r="J1896" s="2"/>
      <c r="L1896" s="20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  <c r="AA1896" s="20"/>
      <c r="AB1896" s="20"/>
      <c r="AC1896" s="20"/>
      <c r="AD1896" s="20"/>
      <c r="AE1896" s="20"/>
    </row>
    <row r="1897" spans="2:31" x14ac:dyDescent="0.25">
      <c r="B1897" s="2"/>
      <c r="C1897" s="19"/>
      <c r="D1897" s="2"/>
      <c r="E1897" s="2"/>
      <c r="F1897" s="19"/>
      <c r="G1897" s="2"/>
      <c r="H1897" s="2"/>
      <c r="I1897" s="2"/>
      <c r="J1897" s="2"/>
      <c r="L1897" s="20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  <c r="AA1897" s="20"/>
      <c r="AB1897" s="20"/>
      <c r="AC1897" s="20"/>
      <c r="AD1897" s="20"/>
      <c r="AE1897" s="20"/>
    </row>
    <row r="1898" spans="2:31" x14ac:dyDescent="0.25">
      <c r="B1898" s="2"/>
      <c r="C1898" s="19"/>
      <c r="D1898" s="2"/>
      <c r="E1898" s="2"/>
      <c r="F1898" s="19"/>
      <c r="G1898" s="2"/>
      <c r="H1898" s="2"/>
      <c r="I1898" s="2"/>
      <c r="J1898" s="2"/>
      <c r="L1898" s="20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  <c r="AA1898" s="20"/>
      <c r="AB1898" s="20"/>
      <c r="AC1898" s="20"/>
      <c r="AD1898" s="20"/>
      <c r="AE1898" s="20"/>
    </row>
    <row r="1899" spans="2:31" x14ac:dyDescent="0.25">
      <c r="B1899" s="2"/>
      <c r="C1899" s="19"/>
      <c r="D1899" s="2"/>
      <c r="E1899" s="2"/>
      <c r="F1899" s="19"/>
      <c r="G1899" s="2"/>
      <c r="H1899" s="2"/>
      <c r="I1899" s="2"/>
      <c r="J1899" s="2"/>
      <c r="L1899" s="20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  <c r="AA1899" s="20"/>
      <c r="AB1899" s="20"/>
      <c r="AC1899" s="20"/>
      <c r="AD1899" s="20"/>
      <c r="AE1899" s="20"/>
    </row>
    <row r="1900" spans="2:31" x14ac:dyDescent="0.25">
      <c r="B1900" s="2"/>
      <c r="C1900" s="19"/>
      <c r="D1900" s="2"/>
      <c r="E1900" s="2"/>
      <c r="F1900" s="19"/>
      <c r="G1900" s="2"/>
      <c r="H1900" s="2"/>
      <c r="I1900" s="2"/>
      <c r="J1900" s="2"/>
      <c r="L1900" s="20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  <c r="AA1900" s="20"/>
      <c r="AB1900" s="20"/>
      <c r="AC1900" s="20"/>
      <c r="AD1900" s="20"/>
      <c r="AE1900" s="20"/>
    </row>
    <row r="1901" spans="2:31" x14ac:dyDescent="0.25">
      <c r="B1901" s="2"/>
      <c r="C1901" s="19"/>
      <c r="D1901" s="2"/>
      <c r="E1901" s="2"/>
      <c r="F1901" s="19"/>
      <c r="G1901" s="2"/>
      <c r="H1901" s="2"/>
      <c r="I1901" s="2"/>
      <c r="J1901" s="2"/>
      <c r="L1901" s="20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  <c r="AA1901" s="20"/>
      <c r="AB1901" s="20"/>
      <c r="AC1901" s="20"/>
      <c r="AD1901" s="20"/>
      <c r="AE1901" s="20"/>
    </row>
    <row r="1902" spans="2:31" x14ac:dyDescent="0.25">
      <c r="B1902" s="2"/>
      <c r="C1902" s="19"/>
      <c r="D1902" s="2"/>
      <c r="E1902" s="2"/>
      <c r="F1902" s="19"/>
      <c r="G1902" s="2"/>
      <c r="H1902" s="2"/>
      <c r="I1902" s="2"/>
      <c r="J1902" s="2"/>
      <c r="L1902" s="20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  <c r="AA1902" s="20"/>
      <c r="AB1902" s="20"/>
      <c r="AC1902" s="20"/>
      <c r="AD1902" s="20"/>
      <c r="AE1902" s="20"/>
    </row>
    <row r="1903" spans="2:31" x14ac:dyDescent="0.25">
      <c r="B1903" s="2"/>
      <c r="C1903" s="19"/>
      <c r="D1903" s="2"/>
      <c r="E1903" s="2"/>
      <c r="F1903" s="19"/>
      <c r="G1903" s="2"/>
      <c r="H1903" s="2"/>
      <c r="I1903" s="2"/>
      <c r="J1903" s="2"/>
      <c r="L1903" s="20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  <c r="AA1903" s="20"/>
      <c r="AB1903" s="20"/>
      <c r="AC1903" s="20"/>
      <c r="AD1903" s="20"/>
      <c r="AE1903" s="20"/>
    </row>
    <row r="1904" spans="2:31" x14ac:dyDescent="0.25">
      <c r="B1904" s="2"/>
      <c r="C1904" s="19"/>
      <c r="D1904" s="2"/>
      <c r="E1904" s="2"/>
      <c r="F1904" s="19"/>
      <c r="G1904" s="2"/>
      <c r="H1904" s="2"/>
      <c r="I1904" s="2"/>
      <c r="J1904" s="2"/>
      <c r="L1904" s="20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  <c r="AA1904" s="20"/>
      <c r="AB1904" s="20"/>
      <c r="AC1904" s="20"/>
      <c r="AD1904" s="20"/>
      <c r="AE1904" s="20"/>
    </row>
    <row r="1905" spans="2:31" x14ac:dyDescent="0.25">
      <c r="B1905" s="2"/>
      <c r="C1905" s="19"/>
      <c r="D1905" s="2"/>
      <c r="E1905" s="2"/>
      <c r="F1905" s="19"/>
      <c r="G1905" s="2"/>
      <c r="H1905" s="2"/>
      <c r="I1905" s="2"/>
      <c r="J1905" s="2"/>
      <c r="L1905" s="20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  <c r="AA1905" s="20"/>
      <c r="AB1905" s="20"/>
      <c r="AC1905" s="20"/>
      <c r="AD1905" s="20"/>
      <c r="AE1905" s="20"/>
    </row>
    <row r="1906" spans="2:31" x14ac:dyDescent="0.25">
      <c r="B1906" s="2"/>
      <c r="C1906" s="19"/>
      <c r="D1906" s="2"/>
      <c r="E1906" s="2"/>
      <c r="F1906" s="19"/>
      <c r="G1906" s="2"/>
      <c r="H1906" s="2"/>
      <c r="I1906" s="2"/>
      <c r="J1906" s="2"/>
      <c r="L1906" s="20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  <c r="AA1906" s="20"/>
      <c r="AB1906" s="20"/>
      <c r="AC1906" s="20"/>
      <c r="AD1906" s="20"/>
      <c r="AE1906" s="20"/>
    </row>
    <row r="1907" spans="2:31" x14ac:dyDescent="0.25">
      <c r="B1907" s="2"/>
      <c r="C1907" s="19"/>
      <c r="D1907" s="2"/>
      <c r="E1907" s="2"/>
      <c r="F1907" s="19"/>
      <c r="G1907" s="2"/>
      <c r="H1907" s="2"/>
      <c r="I1907" s="2"/>
      <c r="J1907" s="2"/>
      <c r="L1907" s="20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  <c r="AA1907" s="20"/>
      <c r="AB1907" s="20"/>
      <c r="AC1907" s="20"/>
      <c r="AD1907" s="20"/>
      <c r="AE1907" s="20"/>
    </row>
    <row r="1908" spans="2:31" x14ac:dyDescent="0.25">
      <c r="B1908" s="2"/>
      <c r="C1908" s="19"/>
      <c r="D1908" s="2"/>
      <c r="E1908" s="2"/>
      <c r="F1908" s="19"/>
      <c r="G1908" s="2"/>
      <c r="H1908" s="2"/>
      <c r="I1908" s="2"/>
      <c r="J1908" s="2"/>
      <c r="L1908" s="20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  <c r="AA1908" s="20"/>
      <c r="AB1908" s="20"/>
      <c r="AC1908" s="20"/>
      <c r="AD1908" s="20"/>
      <c r="AE1908" s="20"/>
    </row>
    <row r="1909" spans="2:31" x14ac:dyDescent="0.25">
      <c r="B1909" s="2"/>
      <c r="C1909" s="19"/>
      <c r="D1909" s="2"/>
      <c r="E1909" s="2"/>
      <c r="F1909" s="19"/>
      <c r="G1909" s="2"/>
      <c r="H1909" s="2"/>
      <c r="I1909" s="2"/>
      <c r="J1909" s="2"/>
      <c r="L1909" s="20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  <c r="AA1909" s="20"/>
      <c r="AB1909" s="20"/>
      <c r="AC1909" s="20"/>
      <c r="AD1909" s="20"/>
      <c r="AE1909" s="20"/>
    </row>
    <row r="1910" spans="2:31" x14ac:dyDescent="0.25">
      <c r="B1910" s="2"/>
      <c r="C1910" s="19"/>
      <c r="D1910" s="2"/>
      <c r="E1910" s="2"/>
      <c r="F1910" s="19"/>
      <c r="G1910" s="2"/>
      <c r="H1910" s="2"/>
      <c r="I1910" s="2"/>
      <c r="J1910" s="2"/>
      <c r="L1910" s="20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  <c r="AA1910" s="20"/>
      <c r="AB1910" s="20"/>
      <c r="AC1910" s="20"/>
      <c r="AD1910" s="20"/>
      <c r="AE1910" s="20"/>
    </row>
    <row r="1911" spans="2:31" x14ac:dyDescent="0.25">
      <c r="B1911" s="2"/>
      <c r="C1911" s="19"/>
      <c r="D1911" s="2"/>
      <c r="E1911" s="2"/>
      <c r="F1911" s="19"/>
      <c r="G1911" s="2"/>
      <c r="H1911" s="2"/>
      <c r="I1911" s="2"/>
      <c r="J1911" s="2"/>
      <c r="L1911" s="20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  <c r="AA1911" s="20"/>
      <c r="AB1911" s="20"/>
      <c r="AC1911" s="20"/>
      <c r="AD1911" s="20"/>
      <c r="AE1911" s="20"/>
    </row>
    <row r="1912" spans="2:31" x14ac:dyDescent="0.25">
      <c r="B1912" s="2"/>
      <c r="C1912" s="19"/>
      <c r="D1912" s="2"/>
      <c r="E1912" s="2"/>
      <c r="F1912" s="19"/>
      <c r="G1912" s="2"/>
      <c r="H1912" s="2"/>
      <c r="I1912" s="2"/>
      <c r="J1912" s="2"/>
      <c r="L1912" s="20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  <c r="AA1912" s="20"/>
      <c r="AB1912" s="20"/>
      <c r="AC1912" s="20"/>
      <c r="AD1912" s="20"/>
      <c r="AE1912" s="20"/>
    </row>
    <row r="1913" spans="2:31" x14ac:dyDescent="0.25">
      <c r="B1913" s="2"/>
      <c r="C1913" s="19"/>
      <c r="D1913" s="2"/>
      <c r="E1913" s="2"/>
      <c r="F1913" s="19"/>
      <c r="G1913" s="2"/>
      <c r="H1913" s="2"/>
      <c r="I1913" s="2"/>
      <c r="J1913" s="2"/>
      <c r="L1913" s="20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  <c r="AA1913" s="20"/>
      <c r="AB1913" s="20"/>
      <c r="AC1913" s="20"/>
      <c r="AD1913" s="20"/>
      <c r="AE1913" s="20"/>
    </row>
    <row r="1914" spans="2:31" x14ac:dyDescent="0.25">
      <c r="B1914" s="2"/>
      <c r="C1914" s="19"/>
      <c r="D1914" s="2"/>
      <c r="E1914" s="2"/>
      <c r="F1914" s="19"/>
      <c r="G1914" s="2"/>
      <c r="H1914" s="2"/>
      <c r="I1914" s="2"/>
      <c r="J1914" s="2"/>
      <c r="L1914" s="20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  <c r="AA1914" s="20"/>
      <c r="AB1914" s="20"/>
      <c r="AC1914" s="20"/>
      <c r="AD1914" s="20"/>
      <c r="AE1914" s="20"/>
    </row>
    <row r="1915" spans="2:31" x14ac:dyDescent="0.25">
      <c r="B1915" s="2"/>
      <c r="C1915" s="19"/>
      <c r="D1915" s="2"/>
      <c r="E1915" s="2"/>
      <c r="F1915" s="19"/>
      <c r="G1915" s="2"/>
      <c r="H1915" s="2"/>
      <c r="I1915" s="2"/>
      <c r="J1915" s="2"/>
      <c r="L1915" s="20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  <c r="AA1915" s="20"/>
      <c r="AB1915" s="20"/>
      <c r="AC1915" s="20"/>
      <c r="AD1915" s="20"/>
      <c r="AE1915" s="20"/>
    </row>
    <row r="1916" spans="2:31" x14ac:dyDescent="0.25">
      <c r="B1916" s="2"/>
      <c r="C1916" s="19"/>
      <c r="D1916" s="2"/>
      <c r="E1916" s="2"/>
      <c r="F1916" s="19"/>
      <c r="G1916" s="2"/>
      <c r="H1916" s="2"/>
      <c r="I1916" s="2"/>
      <c r="J1916" s="2"/>
      <c r="L1916" s="20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  <c r="AA1916" s="20"/>
      <c r="AB1916" s="20"/>
      <c r="AC1916" s="20"/>
      <c r="AD1916" s="20"/>
      <c r="AE1916" s="20"/>
    </row>
    <row r="1917" spans="2:31" x14ac:dyDescent="0.25">
      <c r="B1917" s="2"/>
      <c r="C1917" s="19"/>
      <c r="D1917" s="2"/>
      <c r="E1917" s="2"/>
      <c r="F1917" s="19"/>
      <c r="G1917" s="2"/>
      <c r="H1917" s="2"/>
      <c r="I1917" s="2"/>
      <c r="J1917" s="2"/>
      <c r="L1917" s="20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  <c r="AA1917" s="20"/>
      <c r="AB1917" s="20"/>
      <c r="AC1917" s="20"/>
      <c r="AD1917" s="20"/>
      <c r="AE1917" s="20"/>
    </row>
    <row r="1918" spans="2:31" x14ac:dyDescent="0.25">
      <c r="B1918" s="2"/>
      <c r="C1918" s="19"/>
      <c r="D1918" s="2"/>
      <c r="E1918" s="2"/>
      <c r="F1918" s="19"/>
      <c r="G1918" s="2"/>
      <c r="H1918" s="2"/>
      <c r="I1918" s="2"/>
      <c r="J1918" s="2"/>
      <c r="L1918" s="20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  <c r="AA1918" s="20"/>
      <c r="AB1918" s="20"/>
      <c r="AC1918" s="20"/>
      <c r="AD1918" s="20"/>
      <c r="AE1918" s="20"/>
    </row>
    <row r="1919" spans="2:31" x14ac:dyDescent="0.25">
      <c r="B1919" s="2"/>
      <c r="C1919" s="19"/>
      <c r="D1919" s="2"/>
      <c r="E1919" s="2"/>
      <c r="F1919" s="19"/>
      <c r="G1919" s="2"/>
      <c r="H1919" s="2"/>
      <c r="I1919" s="2"/>
      <c r="J1919" s="2"/>
      <c r="L1919" s="20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  <c r="AA1919" s="20"/>
      <c r="AB1919" s="20"/>
      <c r="AC1919" s="20"/>
      <c r="AD1919" s="20"/>
      <c r="AE1919" s="20"/>
    </row>
    <row r="1920" spans="2:31" x14ac:dyDescent="0.25">
      <c r="B1920" s="2"/>
      <c r="C1920" s="19"/>
      <c r="D1920" s="2"/>
      <c r="E1920" s="2"/>
      <c r="F1920" s="19"/>
      <c r="G1920" s="2"/>
      <c r="H1920" s="2"/>
      <c r="I1920" s="2"/>
      <c r="J1920" s="2"/>
      <c r="L1920" s="20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  <c r="AA1920" s="20"/>
      <c r="AB1920" s="20"/>
      <c r="AC1920" s="20"/>
      <c r="AD1920" s="20"/>
      <c r="AE1920" s="20"/>
    </row>
    <row r="1921" spans="2:31" x14ac:dyDescent="0.25">
      <c r="B1921" s="2"/>
      <c r="C1921" s="19"/>
      <c r="D1921" s="2"/>
      <c r="E1921" s="2"/>
      <c r="F1921" s="19"/>
      <c r="G1921" s="2"/>
      <c r="H1921" s="2"/>
      <c r="I1921" s="2"/>
      <c r="J1921" s="2"/>
      <c r="L1921" s="20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  <c r="AA1921" s="20"/>
      <c r="AB1921" s="20"/>
      <c r="AC1921" s="20"/>
      <c r="AD1921" s="20"/>
      <c r="AE1921" s="20"/>
    </row>
    <row r="1922" spans="2:31" x14ac:dyDescent="0.25">
      <c r="B1922" s="2"/>
      <c r="C1922" s="19"/>
      <c r="D1922" s="2"/>
      <c r="E1922" s="2"/>
      <c r="F1922" s="19"/>
      <c r="G1922" s="2"/>
      <c r="H1922" s="2"/>
      <c r="I1922" s="2"/>
      <c r="J1922" s="2"/>
      <c r="L1922" s="20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  <c r="AA1922" s="20"/>
      <c r="AB1922" s="20"/>
      <c r="AC1922" s="20"/>
      <c r="AD1922" s="20"/>
      <c r="AE1922" s="20"/>
    </row>
    <row r="1923" spans="2:31" x14ac:dyDescent="0.25">
      <c r="B1923" s="2"/>
      <c r="C1923" s="19"/>
      <c r="D1923" s="2"/>
      <c r="E1923" s="2"/>
      <c r="F1923" s="19"/>
      <c r="G1923" s="2"/>
      <c r="H1923" s="2"/>
      <c r="I1923" s="2"/>
      <c r="J1923" s="2"/>
      <c r="L1923" s="20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  <c r="AA1923" s="20"/>
      <c r="AB1923" s="20"/>
      <c r="AC1923" s="20"/>
      <c r="AD1923" s="20"/>
      <c r="AE1923" s="20"/>
    </row>
    <row r="1924" spans="2:31" x14ac:dyDescent="0.25">
      <c r="B1924" s="2"/>
      <c r="C1924" s="19"/>
      <c r="D1924" s="2"/>
      <c r="E1924" s="2"/>
      <c r="F1924" s="19"/>
      <c r="G1924" s="2"/>
      <c r="H1924" s="2"/>
      <c r="I1924" s="2"/>
      <c r="J1924" s="2"/>
      <c r="L1924" s="20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  <c r="AA1924" s="20"/>
      <c r="AB1924" s="20"/>
      <c r="AC1924" s="20"/>
      <c r="AD1924" s="20"/>
      <c r="AE1924" s="20"/>
    </row>
    <row r="1925" spans="2:31" x14ac:dyDescent="0.25">
      <c r="B1925" s="2"/>
      <c r="C1925" s="19"/>
      <c r="D1925" s="2"/>
      <c r="E1925" s="2"/>
      <c r="F1925" s="19"/>
      <c r="G1925" s="2"/>
      <c r="H1925" s="2"/>
      <c r="I1925" s="2"/>
      <c r="J1925" s="2"/>
      <c r="L1925" s="20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  <c r="AA1925" s="20"/>
      <c r="AB1925" s="20"/>
      <c r="AC1925" s="20"/>
      <c r="AD1925" s="20"/>
      <c r="AE1925" s="20"/>
    </row>
    <row r="1926" spans="2:31" x14ac:dyDescent="0.25">
      <c r="B1926" s="2"/>
      <c r="C1926" s="19"/>
      <c r="D1926" s="2"/>
      <c r="E1926" s="2"/>
      <c r="F1926" s="19"/>
      <c r="G1926" s="2"/>
      <c r="H1926" s="2"/>
      <c r="I1926" s="2"/>
      <c r="J1926" s="2"/>
      <c r="L1926" s="20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  <c r="AA1926" s="20"/>
      <c r="AB1926" s="20"/>
      <c r="AC1926" s="20"/>
      <c r="AD1926" s="20"/>
      <c r="AE1926" s="20"/>
    </row>
    <row r="1927" spans="2:31" x14ac:dyDescent="0.25">
      <c r="B1927" s="2"/>
      <c r="C1927" s="19"/>
      <c r="D1927" s="2"/>
      <c r="E1927" s="2"/>
      <c r="F1927" s="19"/>
      <c r="G1927" s="2"/>
      <c r="H1927" s="2"/>
      <c r="I1927" s="2"/>
      <c r="J1927" s="2"/>
      <c r="L1927" s="20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  <c r="AA1927" s="20"/>
      <c r="AB1927" s="20"/>
      <c r="AC1927" s="20"/>
      <c r="AD1927" s="20"/>
      <c r="AE1927" s="20"/>
    </row>
    <row r="1928" spans="2:31" x14ac:dyDescent="0.25">
      <c r="B1928" s="2"/>
      <c r="C1928" s="19"/>
      <c r="D1928" s="2"/>
      <c r="E1928" s="2"/>
      <c r="F1928" s="19"/>
      <c r="G1928" s="2"/>
      <c r="H1928" s="2"/>
      <c r="I1928" s="2"/>
      <c r="J1928" s="2"/>
      <c r="L1928" s="20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  <c r="AA1928" s="20"/>
      <c r="AB1928" s="20"/>
      <c r="AC1928" s="20"/>
      <c r="AD1928" s="20"/>
      <c r="AE1928" s="20"/>
    </row>
    <row r="1929" spans="2:31" x14ac:dyDescent="0.25">
      <c r="B1929" s="2"/>
      <c r="C1929" s="19"/>
      <c r="D1929" s="2"/>
      <c r="E1929" s="2"/>
      <c r="F1929" s="19"/>
      <c r="G1929" s="2"/>
      <c r="H1929" s="2"/>
      <c r="I1929" s="2"/>
      <c r="J1929" s="2"/>
      <c r="L1929" s="20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  <c r="AA1929" s="20"/>
      <c r="AB1929" s="20"/>
      <c r="AC1929" s="20"/>
      <c r="AD1929" s="20"/>
      <c r="AE1929" s="20"/>
    </row>
    <row r="1930" spans="2:31" x14ac:dyDescent="0.25">
      <c r="B1930" s="2"/>
      <c r="C1930" s="19"/>
      <c r="D1930" s="2"/>
      <c r="E1930" s="2"/>
      <c r="F1930" s="19"/>
      <c r="G1930" s="2"/>
      <c r="H1930" s="2"/>
      <c r="I1930" s="2"/>
      <c r="J1930" s="2"/>
      <c r="L1930" s="20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  <c r="AA1930" s="20"/>
      <c r="AB1930" s="20"/>
      <c r="AC1930" s="20"/>
      <c r="AD1930" s="20"/>
      <c r="AE1930" s="20"/>
    </row>
    <row r="1931" spans="2:31" x14ac:dyDescent="0.25">
      <c r="B1931" s="2"/>
      <c r="C1931" s="19"/>
      <c r="D1931" s="2"/>
      <c r="E1931" s="2"/>
      <c r="F1931" s="19"/>
      <c r="G1931" s="2"/>
      <c r="H1931" s="2"/>
      <c r="I1931" s="2"/>
      <c r="J1931" s="2"/>
      <c r="L1931" s="20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  <c r="AA1931" s="20"/>
      <c r="AB1931" s="20"/>
      <c r="AC1931" s="20"/>
      <c r="AD1931" s="20"/>
      <c r="AE1931" s="20"/>
    </row>
    <row r="1932" spans="2:31" x14ac:dyDescent="0.25">
      <c r="B1932" s="2"/>
      <c r="C1932" s="19"/>
      <c r="D1932" s="2"/>
      <c r="E1932" s="2"/>
      <c r="F1932" s="19"/>
      <c r="G1932" s="2"/>
      <c r="H1932" s="2"/>
      <c r="I1932" s="2"/>
      <c r="J1932" s="2"/>
      <c r="L1932" s="20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  <c r="AA1932" s="20"/>
      <c r="AB1932" s="20"/>
      <c r="AC1932" s="20"/>
      <c r="AD1932" s="20"/>
      <c r="AE1932" s="20"/>
    </row>
    <row r="1933" spans="2:31" x14ac:dyDescent="0.25">
      <c r="B1933" s="2"/>
      <c r="C1933" s="19"/>
      <c r="D1933" s="2"/>
      <c r="E1933" s="2"/>
      <c r="F1933" s="19"/>
      <c r="G1933" s="2"/>
      <c r="H1933" s="2"/>
      <c r="I1933" s="2"/>
      <c r="J1933" s="2"/>
      <c r="L1933" s="20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  <c r="AA1933" s="20"/>
      <c r="AB1933" s="20"/>
      <c r="AC1933" s="20"/>
      <c r="AD1933" s="20"/>
      <c r="AE1933" s="20"/>
    </row>
    <row r="1934" spans="2:31" x14ac:dyDescent="0.25">
      <c r="B1934" s="2"/>
      <c r="C1934" s="19"/>
      <c r="D1934" s="2"/>
      <c r="E1934" s="2"/>
      <c r="F1934" s="19"/>
      <c r="G1934" s="2"/>
      <c r="H1934" s="2"/>
      <c r="I1934" s="2"/>
      <c r="J1934" s="2"/>
      <c r="L1934" s="20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  <c r="AA1934" s="20"/>
      <c r="AB1934" s="20"/>
      <c r="AC1934" s="20"/>
      <c r="AD1934" s="20"/>
      <c r="AE1934" s="20"/>
    </row>
    <row r="1935" spans="2:31" x14ac:dyDescent="0.25">
      <c r="B1935" s="2"/>
      <c r="C1935" s="19"/>
      <c r="D1935" s="2"/>
      <c r="E1935" s="2"/>
      <c r="F1935" s="19"/>
      <c r="G1935" s="2"/>
      <c r="H1935" s="2"/>
      <c r="I1935" s="2"/>
      <c r="J1935" s="2"/>
      <c r="L1935" s="20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  <c r="AA1935" s="20"/>
      <c r="AB1935" s="20"/>
      <c r="AC1935" s="20"/>
      <c r="AD1935" s="20"/>
      <c r="AE1935" s="20"/>
    </row>
    <row r="1936" spans="2:31" x14ac:dyDescent="0.25">
      <c r="B1936" s="2"/>
      <c r="C1936" s="19"/>
      <c r="D1936" s="2"/>
      <c r="E1936" s="2"/>
      <c r="F1936" s="19"/>
      <c r="G1936" s="2"/>
      <c r="H1936" s="2"/>
      <c r="I1936" s="2"/>
      <c r="J1936" s="2"/>
      <c r="L1936" s="20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  <c r="AA1936" s="20"/>
      <c r="AB1936" s="20"/>
      <c r="AC1936" s="20"/>
      <c r="AD1936" s="20"/>
      <c r="AE1936" s="20"/>
    </row>
    <row r="1937" spans="2:31" x14ac:dyDescent="0.25">
      <c r="B1937" s="2"/>
      <c r="C1937" s="19"/>
      <c r="D1937" s="2"/>
      <c r="E1937" s="2"/>
      <c r="F1937" s="19"/>
      <c r="G1937" s="2"/>
      <c r="H1937" s="2"/>
      <c r="I1937" s="2"/>
      <c r="J1937" s="2"/>
      <c r="L1937" s="20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  <c r="AA1937" s="20"/>
      <c r="AB1937" s="20"/>
      <c r="AC1937" s="20"/>
      <c r="AD1937" s="20"/>
      <c r="AE1937" s="20"/>
    </row>
    <row r="1938" spans="2:31" x14ac:dyDescent="0.25">
      <c r="B1938" s="2"/>
      <c r="C1938" s="19"/>
      <c r="D1938" s="2"/>
      <c r="E1938" s="2"/>
      <c r="F1938" s="19"/>
      <c r="G1938" s="2"/>
      <c r="H1938" s="2"/>
      <c r="I1938" s="2"/>
      <c r="J1938" s="2"/>
      <c r="L1938" s="20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  <c r="AA1938" s="20"/>
      <c r="AB1938" s="20"/>
      <c r="AC1938" s="20"/>
      <c r="AD1938" s="20"/>
      <c r="AE1938" s="20"/>
    </row>
    <row r="1939" spans="2:31" x14ac:dyDescent="0.25">
      <c r="B1939" s="2"/>
      <c r="C1939" s="19"/>
      <c r="D1939" s="2"/>
      <c r="E1939" s="2"/>
      <c r="F1939" s="19"/>
      <c r="G1939" s="2"/>
      <c r="H1939" s="2"/>
      <c r="I1939" s="2"/>
      <c r="J1939" s="2"/>
      <c r="L1939" s="20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  <c r="AA1939" s="20"/>
      <c r="AB1939" s="20"/>
      <c r="AC1939" s="20"/>
      <c r="AD1939" s="20"/>
      <c r="AE1939" s="20"/>
    </row>
    <row r="1940" spans="2:31" x14ac:dyDescent="0.25">
      <c r="B1940" s="2"/>
      <c r="C1940" s="19"/>
      <c r="D1940" s="2"/>
      <c r="E1940" s="2"/>
      <c r="F1940" s="19"/>
      <c r="G1940" s="2"/>
      <c r="H1940" s="2"/>
      <c r="I1940" s="2"/>
      <c r="J1940" s="2"/>
      <c r="L1940" s="20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  <c r="AA1940" s="20"/>
      <c r="AB1940" s="20"/>
      <c r="AC1940" s="20"/>
      <c r="AD1940" s="20"/>
      <c r="AE1940" s="20"/>
    </row>
    <row r="1941" spans="2:31" x14ac:dyDescent="0.25">
      <c r="B1941" s="2"/>
      <c r="C1941" s="19"/>
      <c r="D1941" s="2"/>
      <c r="E1941" s="2"/>
      <c r="F1941" s="19"/>
      <c r="G1941" s="2"/>
      <c r="H1941" s="2"/>
      <c r="I1941" s="2"/>
      <c r="J1941" s="2"/>
      <c r="L1941" s="20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  <c r="AA1941" s="20"/>
      <c r="AB1941" s="20"/>
      <c r="AC1941" s="20"/>
      <c r="AD1941" s="20"/>
      <c r="AE1941" s="20"/>
    </row>
    <row r="1942" spans="2:31" x14ac:dyDescent="0.25">
      <c r="B1942" s="2"/>
      <c r="C1942" s="19"/>
      <c r="D1942" s="2"/>
      <c r="E1942" s="2"/>
      <c r="F1942" s="19"/>
      <c r="G1942" s="2"/>
      <c r="H1942" s="2"/>
      <c r="I1942" s="2"/>
      <c r="J1942" s="2"/>
      <c r="L1942" s="20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  <c r="AA1942" s="20"/>
      <c r="AB1942" s="20"/>
      <c r="AC1942" s="20"/>
      <c r="AD1942" s="20"/>
      <c r="AE1942" s="20"/>
    </row>
    <row r="1943" spans="2:31" x14ac:dyDescent="0.25">
      <c r="B1943" s="2"/>
      <c r="C1943" s="19"/>
      <c r="D1943" s="2"/>
      <c r="E1943" s="2"/>
      <c r="F1943" s="19"/>
      <c r="G1943" s="2"/>
      <c r="H1943" s="2"/>
      <c r="I1943" s="2"/>
      <c r="J1943" s="2"/>
      <c r="L1943" s="20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  <c r="AA1943" s="20"/>
      <c r="AB1943" s="20"/>
      <c r="AC1943" s="20"/>
      <c r="AD1943" s="20"/>
      <c r="AE1943" s="20"/>
    </row>
    <row r="1944" spans="2:31" x14ac:dyDescent="0.25">
      <c r="B1944" s="2"/>
      <c r="C1944" s="19"/>
      <c r="D1944" s="2"/>
      <c r="E1944" s="2"/>
      <c r="F1944" s="19"/>
      <c r="G1944" s="2"/>
      <c r="H1944" s="2"/>
      <c r="I1944" s="2"/>
      <c r="J1944" s="2"/>
      <c r="L1944" s="20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  <c r="AA1944" s="20"/>
      <c r="AB1944" s="20"/>
      <c r="AC1944" s="20"/>
      <c r="AD1944" s="20"/>
      <c r="AE1944" s="20"/>
    </row>
    <row r="1945" spans="2:31" x14ac:dyDescent="0.25">
      <c r="B1945" s="2"/>
      <c r="C1945" s="19"/>
      <c r="D1945" s="2"/>
      <c r="E1945" s="2"/>
      <c r="F1945" s="19"/>
      <c r="G1945" s="2"/>
      <c r="H1945" s="2"/>
      <c r="I1945" s="2"/>
      <c r="J1945" s="2"/>
      <c r="L1945" s="20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  <c r="AA1945" s="20"/>
      <c r="AB1945" s="20"/>
      <c r="AC1945" s="20"/>
      <c r="AD1945" s="20"/>
      <c r="AE1945" s="20"/>
    </row>
    <row r="1946" spans="2:31" x14ac:dyDescent="0.25">
      <c r="B1946" s="2"/>
      <c r="C1946" s="19"/>
      <c r="D1946" s="2"/>
      <c r="E1946" s="2"/>
      <c r="F1946" s="19"/>
      <c r="G1946" s="2"/>
      <c r="H1946" s="2"/>
      <c r="I1946" s="2"/>
      <c r="J1946" s="2"/>
      <c r="L1946" s="20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  <c r="AA1946" s="20"/>
      <c r="AB1946" s="20"/>
      <c r="AC1946" s="20"/>
      <c r="AD1946" s="20"/>
      <c r="AE1946" s="20"/>
    </row>
    <row r="1947" spans="2:31" x14ac:dyDescent="0.25">
      <c r="B1947" s="2"/>
      <c r="C1947" s="19"/>
      <c r="D1947" s="2"/>
      <c r="E1947" s="2"/>
      <c r="F1947" s="19"/>
      <c r="G1947" s="2"/>
      <c r="H1947" s="2"/>
      <c r="I1947" s="2"/>
      <c r="J1947" s="2"/>
      <c r="L1947" s="20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  <c r="AA1947" s="20"/>
      <c r="AB1947" s="20"/>
      <c r="AC1947" s="20"/>
      <c r="AD1947" s="20"/>
      <c r="AE1947" s="20"/>
    </row>
    <row r="1948" spans="2:31" x14ac:dyDescent="0.25">
      <c r="B1948" s="2"/>
      <c r="C1948" s="19"/>
      <c r="D1948" s="2"/>
      <c r="E1948" s="2"/>
      <c r="F1948" s="19"/>
      <c r="G1948" s="2"/>
      <c r="H1948" s="2"/>
      <c r="I1948" s="2"/>
      <c r="J1948" s="2"/>
      <c r="L1948" s="20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  <c r="AA1948" s="20"/>
      <c r="AB1948" s="20"/>
      <c r="AC1948" s="20"/>
      <c r="AD1948" s="20"/>
      <c r="AE1948" s="20"/>
    </row>
    <row r="1949" spans="2:31" x14ac:dyDescent="0.25">
      <c r="B1949" s="2"/>
      <c r="C1949" s="19"/>
      <c r="D1949" s="2"/>
      <c r="E1949" s="2"/>
      <c r="F1949" s="19"/>
      <c r="G1949" s="2"/>
      <c r="H1949" s="2"/>
      <c r="I1949" s="2"/>
      <c r="J1949" s="2"/>
      <c r="L1949" s="20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  <c r="AA1949" s="20"/>
      <c r="AB1949" s="20"/>
      <c r="AC1949" s="20"/>
      <c r="AD1949" s="20"/>
      <c r="AE1949" s="20"/>
    </row>
    <row r="1950" spans="2:31" x14ac:dyDescent="0.25">
      <c r="B1950" s="2"/>
      <c r="C1950" s="19"/>
      <c r="D1950" s="2"/>
      <c r="E1950" s="2"/>
      <c r="F1950" s="19"/>
      <c r="G1950" s="2"/>
      <c r="H1950" s="2"/>
      <c r="I1950" s="2"/>
      <c r="J1950" s="2"/>
      <c r="L1950" s="20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  <c r="AA1950" s="20"/>
      <c r="AB1950" s="20"/>
      <c r="AC1950" s="20"/>
      <c r="AD1950" s="20"/>
      <c r="AE1950" s="20"/>
    </row>
    <row r="1951" spans="2:31" x14ac:dyDescent="0.25">
      <c r="B1951" s="2"/>
      <c r="C1951" s="19"/>
      <c r="D1951" s="2"/>
      <c r="E1951" s="2"/>
      <c r="F1951" s="19"/>
      <c r="G1951" s="2"/>
      <c r="H1951" s="2"/>
      <c r="I1951" s="2"/>
      <c r="J1951" s="2"/>
      <c r="L1951" s="20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  <c r="AA1951" s="20"/>
      <c r="AB1951" s="20"/>
      <c r="AC1951" s="20"/>
      <c r="AD1951" s="20"/>
      <c r="AE1951" s="20"/>
    </row>
    <row r="1952" spans="2:31" x14ac:dyDescent="0.25">
      <c r="B1952" s="2"/>
      <c r="C1952" s="19"/>
      <c r="D1952" s="2"/>
      <c r="E1952" s="2"/>
      <c r="F1952" s="19"/>
      <c r="G1952" s="2"/>
      <c r="H1952" s="2"/>
      <c r="I1952" s="2"/>
      <c r="J1952" s="2"/>
      <c r="L1952" s="20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  <c r="AA1952" s="20"/>
      <c r="AB1952" s="20"/>
      <c r="AC1952" s="20"/>
      <c r="AD1952" s="20"/>
      <c r="AE1952" s="20"/>
    </row>
    <row r="1953" spans="2:31" x14ac:dyDescent="0.25">
      <c r="B1953" s="2"/>
      <c r="C1953" s="19"/>
      <c r="D1953" s="2"/>
      <c r="E1953" s="2"/>
      <c r="F1953" s="19"/>
      <c r="G1953" s="2"/>
      <c r="H1953" s="2"/>
      <c r="I1953" s="2"/>
      <c r="J1953" s="2"/>
      <c r="L1953" s="20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  <c r="AA1953" s="20"/>
      <c r="AB1953" s="20"/>
      <c r="AC1953" s="20"/>
      <c r="AD1953" s="20"/>
      <c r="AE1953" s="20"/>
    </row>
    <row r="1954" spans="2:31" x14ac:dyDescent="0.25">
      <c r="B1954" s="2"/>
      <c r="C1954" s="19"/>
      <c r="D1954" s="2"/>
      <c r="E1954" s="2"/>
      <c r="F1954" s="19"/>
      <c r="G1954" s="2"/>
      <c r="H1954" s="2"/>
      <c r="I1954" s="2"/>
      <c r="J1954" s="2"/>
      <c r="L1954" s="20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  <c r="AA1954" s="20"/>
      <c r="AB1954" s="20"/>
      <c r="AC1954" s="20"/>
      <c r="AD1954" s="20"/>
      <c r="AE1954" s="20"/>
    </row>
    <row r="1955" spans="2:31" x14ac:dyDescent="0.25">
      <c r="B1955" s="2"/>
      <c r="C1955" s="19"/>
      <c r="D1955" s="2"/>
      <c r="E1955" s="2"/>
      <c r="F1955" s="19"/>
      <c r="G1955" s="2"/>
      <c r="H1955" s="2"/>
      <c r="I1955" s="2"/>
      <c r="J1955" s="2"/>
      <c r="L1955" s="20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  <c r="AA1955" s="20"/>
      <c r="AB1955" s="20"/>
      <c r="AC1955" s="20"/>
      <c r="AD1955" s="20"/>
      <c r="AE1955" s="20"/>
    </row>
    <row r="1956" spans="2:31" x14ac:dyDescent="0.25">
      <c r="B1956" s="2"/>
      <c r="C1956" s="19"/>
      <c r="D1956" s="2"/>
      <c r="E1956" s="2"/>
      <c r="F1956" s="19"/>
      <c r="G1956" s="2"/>
      <c r="H1956" s="2"/>
      <c r="I1956" s="2"/>
      <c r="J1956" s="2"/>
      <c r="L1956" s="20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  <c r="AA1956" s="20"/>
      <c r="AB1956" s="20"/>
      <c r="AC1956" s="20"/>
      <c r="AD1956" s="20"/>
      <c r="AE1956" s="20"/>
    </row>
    <row r="1957" spans="2:31" x14ac:dyDescent="0.25">
      <c r="B1957" s="2"/>
      <c r="C1957" s="19"/>
      <c r="D1957" s="2"/>
      <c r="E1957" s="2"/>
      <c r="F1957" s="19"/>
      <c r="G1957" s="2"/>
      <c r="H1957" s="2"/>
      <c r="I1957" s="2"/>
      <c r="J1957" s="2"/>
      <c r="L1957" s="20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  <c r="AA1957" s="20"/>
      <c r="AB1957" s="20"/>
      <c r="AC1957" s="20"/>
      <c r="AD1957" s="20"/>
      <c r="AE1957" s="20"/>
    </row>
    <row r="1958" spans="2:31" x14ac:dyDescent="0.25">
      <c r="B1958" s="2"/>
      <c r="C1958" s="19"/>
      <c r="D1958" s="2"/>
      <c r="E1958" s="2"/>
      <c r="F1958" s="19"/>
      <c r="G1958" s="2"/>
      <c r="H1958" s="2"/>
      <c r="I1958" s="2"/>
      <c r="J1958" s="2"/>
      <c r="L1958" s="20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  <c r="AA1958" s="20"/>
      <c r="AB1958" s="20"/>
      <c r="AC1958" s="20"/>
      <c r="AD1958" s="20"/>
      <c r="AE1958" s="20"/>
    </row>
    <row r="1959" spans="2:31" x14ac:dyDescent="0.25">
      <c r="B1959" s="2"/>
      <c r="C1959" s="19"/>
      <c r="D1959" s="2"/>
      <c r="E1959" s="2"/>
      <c r="F1959" s="19"/>
      <c r="G1959" s="2"/>
      <c r="H1959" s="2"/>
      <c r="I1959" s="2"/>
      <c r="J1959" s="2"/>
      <c r="L1959" s="20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  <c r="AA1959" s="20"/>
      <c r="AB1959" s="20"/>
      <c r="AC1959" s="20"/>
      <c r="AD1959" s="20"/>
      <c r="AE1959" s="20"/>
    </row>
    <row r="1960" spans="2:31" x14ac:dyDescent="0.25">
      <c r="B1960" s="2"/>
      <c r="C1960" s="19"/>
      <c r="D1960" s="2"/>
      <c r="E1960" s="2"/>
      <c r="F1960" s="19"/>
      <c r="G1960" s="2"/>
      <c r="H1960" s="2"/>
      <c r="I1960" s="2"/>
      <c r="J1960" s="2"/>
      <c r="L1960" s="20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  <c r="AA1960" s="20"/>
      <c r="AB1960" s="20"/>
      <c r="AC1960" s="20"/>
      <c r="AD1960" s="20"/>
      <c r="AE1960" s="20"/>
    </row>
    <row r="1961" spans="2:31" x14ac:dyDescent="0.25">
      <c r="B1961" s="2"/>
      <c r="C1961" s="19"/>
      <c r="D1961" s="2"/>
      <c r="E1961" s="2"/>
      <c r="F1961" s="19"/>
      <c r="G1961" s="2"/>
      <c r="H1961" s="2"/>
      <c r="I1961" s="2"/>
      <c r="J1961" s="2"/>
      <c r="L1961" s="20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  <c r="AA1961" s="20"/>
      <c r="AB1961" s="20"/>
      <c r="AC1961" s="20"/>
      <c r="AD1961" s="20"/>
      <c r="AE1961" s="20"/>
    </row>
    <row r="1962" spans="2:31" x14ac:dyDescent="0.25">
      <c r="B1962" s="2"/>
      <c r="C1962" s="19"/>
      <c r="D1962" s="2"/>
      <c r="E1962" s="2"/>
      <c r="F1962" s="19"/>
      <c r="G1962" s="2"/>
      <c r="H1962" s="2"/>
      <c r="I1962" s="2"/>
      <c r="J1962" s="2"/>
      <c r="L1962" s="20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  <c r="AA1962" s="20"/>
      <c r="AB1962" s="20"/>
      <c r="AC1962" s="20"/>
      <c r="AD1962" s="20"/>
      <c r="AE1962" s="20"/>
    </row>
    <row r="1963" spans="2:31" x14ac:dyDescent="0.25">
      <c r="B1963" s="2"/>
      <c r="C1963" s="19"/>
      <c r="D1963" s="2"/>
      <c r="E1963" s="2"/>
      <c r="F1963" s="19"/>
      <c r="G1963" s="2"/>
      <c r="H1963" s="2"/>
      <c r="I1963" s="2"/>
      <c r="J1963" s="2"/>
      <c r="L1963" s="20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  <c r="AA1963" s="20"/>
      <c r="AB1963" s="20"/>
      <c r="AC1963" s="20"/>
      <c r="AD1963" s="20"/>
      <c r="AE1963" s="20"/>
    </row>
    <row r="1964" spans="2:31" x14ac:dyDescent="0.25">
      <c r="B1964" s="2"/>
      <c r="C1964" s="19"/>
      <c r="D1964" s="2"/>
      <c r="E1964" s="2"/>
      <c r="F1964" s="19"/>
      <c r="G1964" s="2"/>
      <c r="H1964" s="2"/>
      <c r="I1964" s="2"/>
      <c r="J1964" s="2"/>
      <c r="L1964" s="20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  <c r="AA1964" s="20"/>
      <c r="AB1964" s="20"/>
      <c r="AC1964" s="20"/>
      <c r="AD1964" s="20"/>
      <c r="AE1964" s="20"/>
    </row>
    <row r="1965" spans="2:31" x14ac:dyDescent="0.25">
      <c r="B1965" s="2"/>
      <c r="C1965" s="19"/>
      <c r="D1965" s="2"/>
      <c r="E1965" s="2"/>
      <c r="F1965" s="19"/>
      <c r="G1965" s="2"/>
      <c r="H1965" s="2"/>
      <c r="I1965" s="2"/>
      <c r="J1965" s="2"/>
      <c r="L1965" s="20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  <c r="AA1965" s="20"/>
      <c r="AB1965" s="20"/>
      <c r="AC1965" s="20"/>
      <c r="AD1965" s="20"/>
      <c r="AE1965" s="20"/>
    </row>
    <row r="1966" spans="2:31" x14ac:dyDescent="0.25">
      <c r="B1966" s="2"/>
      <c r="C1966" s="19"/>
      <c r="D1966" s="2"/>
      <c r="E1966" s="2"/>
      <c r="F1966" s="19"/>
      <c r="G1966" s="2"/>
      <c r="H1966" s="2"/>
      <c r="I1966" s="2"/>
      <c r="J1966" s="2"/>
      <c r="L1966" s="20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  <c r="AA1966" s="20"/>
      <c r="AB1966" s="20"/>
      <c r="AC1966" s="20"/>
      <c r="AD1966" s="20"/>
      <c r="AE1966" s="20"/>
    </row>
    <row r="1967" spans="2:31" x14ac:dyDescent="0.25">
      <c r="B1967" s="2"/>
      <c r="C1967" s="19"/>
      <c r="D1967" s="2"/>
      <c r="E1967" s="2"/>
      <c r="F1967" s="19"/>
      <c r="G1967" s="2"/>
      <c r="H1967" s="2"/>
      <c r="I1967" s="2"/>
      <c r="J1967" s="2"/>
      <c r="L1967" s="20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  <c r="AA1967" s="20"/>
      <c r="AB1967" s="20"/>
      <c r="AC1967" s="20"/>
      <c r="AD1967" s="20"/>
      <c r="AE1967" s="20"/>
    </row>
    <row r="1968" spans="2:31" x14ac:dyDescent="0.25">
      <c r="B1968" s="2"/>
      <c r="C1968" s="19"/>
      <c r="D1968" s="2"/>
      <c r="E1968" s="2"/>
      <c r="F1968" s="19"/>
      <c r="G1968" s="2"/>
      <c r="H1968" s="2"/>
      <c r="I1968" s="2"/>
      <c r="J1968" s="2"/>
      <c r="L1968" s="20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  <c r="AA1968" s="20"/>
      <c r="AB1968" s="20"/>
      <c r="AC1968" s="20"/>
      <c r="AD1968" s="20"/>
      <c r="AE1968" s="20"/>
    </row>
    <row r="1969" spans="2:31" x14ac:dyDescent="0.25">
      <c r="B1969" s="2"/>
      <c r="C1969" s="19"/>
      <c r="D1969" s="2"/>
      <c r="E1969" s="2"/>
      <c r="F1969" s="19"/>
      <c r="G1969" s="2"/>
      <c r="H1969" s="2"/>
      <c r="I1969" s="2"/>
      <c r="J1969" s="2"/>
      <c r="L1969" s="20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  <c r="AA1969" s="20"/>
      <c r="AB1969" s="20"/>
      <c r="AC1969" s="20"/>
      <c r="AD1969" s="20"/>
      <c r="AE1969" s="20"/>
    </row>
    <row r="1970" spans="2:31" x14ac:dyDescent="0.25">
      <c r="B1970" s="2"/>
      <c r="C1970" s="19"/>
      <c r="D1970" s="2"/>
      <c r="E1970" s="2"/>
      <c r="F1970" s="19"/>
      <c r="G1970" s="2"/>
      <c r="H1970" s="2"/>
      <c r="I1970" s="2"/>
      <c r="J1970" s="2"/>
      <c r="L1970" s="20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  <c r="AA1970" s="20"/>
      <c r="AB1970" s="20"/>
      <c r="AC1970" s="20"/>
      <c r="AD1970" s="20"/>
      <c r="AE1970" s="20"/>
    </row>
    <row r="1971" spans="2:31" x14ac:dyDescent="0.25">
      <c r="B1971" s="2"/>
      <c r="C1971" s="19"/>
      <c r="D1971" s="2"/>
      <c r="E1971" s="2"/>
      <c r="F1971" s="19"/>
      <c r="G1971" s="2"/>
      <c r="H1971" s="2"/>
      <c r="I1971" s="2"/>
      <c r="J1971" s="2"/>
      <c r="L1971" s="20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  <c r="AA1971" s="20"/>
      <c r="AB1971" s="20"/>
      <c r="AC1971" s="20"/>
      <c r="AD1971" s="20"/>
      <c r="AE1971" s="20"/>
    </row>
    <row r="1972" spans="2:31" x14ac:dyDescent="0.25">
      <c r="B1972" s="2"/>
      <c r="C1972" s="19"/>
      <c r="D1972" s="2"/>
      <c r="E1972" s="2"/>
      <c r="F1972" s="19"/>
      <c r="G1972" s="2"/>
      <c r="H1972" s="2"/>
      <c r="I1972" s="2"/>
      <c r="J1972" s="2"/>
      <c r="L1972" s="20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  <c r="AA1972" s="20"/>
      <c r="AB1972" s="20"/>
      <c r="AC1972" s="20"/>
      <c r="AD1972" s="20"/>
      <c r="AE1972" s="20"/>
    </row>
    <row r="1973" spans="2:31" x14ac:dyDescent="0.25">
      <c r="B1973" s="2"/>
      <c r="C1973" s="19"/>
      <c r="D1973" s="2"/>
      <c r="E1973" s="2"/>
      <c r="F1973" s="19"/>
      <c r="G1973" s="2"/>
      <c r="H1973" s="2"/>
      <c r="I1973" s="2"/>
      <c r="J1973" s="2"/>
      <c r="L1973" s="20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  <c r="AA1973" s="20"/>
      <c r="AB1973" s="20"/>
      <c r="AC1973" s="20"/>
      <c r="AD1973" s="20"/>
      <c r="AE1973" s="20"/>
    </row>
    <row r="1974" spans="2:31" x14ac:dyDescent="0.25">
      <c r="B1974" s="2"/>
      <c r="C1974" s="19"/>
      <c r="D1974" s="2"/>
      <c r="E1974" s="2"/>
      <c r="F1974" s="19"/>
      <c r="G1974" s="2"/>
      <c r="H1974" s="2"/>
      <c r="I1974" s="2"/>
      <c r="J1974" s="2"/>
      <c r="L1974" s="20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  <c r="AA1974" s="20"/>
      <c r="AB1974" s="20"/>
      <c r="AC1974" s="20"/>
      <c r="AD1974" s="20"/>
      <c r="AE1974" s="20"/>
    </row>
    <row r="1975" spans="2:31" x14ac:dyDescent="0.25">
      <c r="B1975" s="2"/>
      <c r="C1975" s="19"/>
      <c r="D1975" s="2"/>
      <c r="E1975" s="2"/>
      <c r="F1975" s="19"/>
      <c r="G1975" s="2"/>
      <c r="H1975" s="2"/>
      <c r="I1975" s="2"/>
      <c r="J1975" s="2"/>
      <c r="L1975" s="20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  <c r="AA1975" s="20"/>
      <c r="AB1975" s="20"/>
      <c r="AC1975" s="20"/>
      <c r="AD1975" s="20"/>
      <c r="AE1975" s="20"/>
    </row>
    <row r="1976" spans="2:31" x14ac:dyDescent="0.25">
      <c r="B1976" s="2"/>
      <c r="C1976" s="19"/>
      <c r="D1976" s="2"/>
      <c r="E1976" s="2"/>
      <c r="F1976" s="19"/>
      <c r="G1976" s="2"/>
      <c r="H1976" s="2"/>
      <c r="I1976" s="2"/>
      <c r="J1976" s="2"/>
      <c r="L1976" s="20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  <c r="AA1976" s="20"/>
      <c r="AB1976" s="20"/>
      <c r="AC1976" s="20"/>
      <c r="AD1976" s="20"/>
      <c r="AE1976" s="20"/>
    </row>
    <row r="1977" spans="2:31" x14ac:dyDescent="0.25">
      <c r="B1977" s="2"/>
      <c r="C1977" s="19"/>
      <c r="D1977" s="2"/>
      <c r="E1977" s="2"/>
      <c r="F1977" s="19"/>
      <c r="G1977" s="2"/>
      <c r="H1977" s="2"/>
      <c r="I1977" s="2"/>
      <c r="J1977" s="2"/>
      <c r="L1977" s="20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  <c r="AA1977" s="20"/>
      <c r="AB1977" s="20"/>
      <c r="AC1977" s="20"/>
      <c r="AD1977" s="20"/>
      <c r="AE1977" s="20"/>
    </row>
    <row r="1978" spans="2:31" x14ac:dyDescent="0.25">
      <c r="B1978" s="2"/>
      <c r="C1978" s="19"/>
      <c r="D1978" s="2"/>
      <c r="E1978" s="2"/>
      <c r="F1978" s="19"/>
      <c r="G1978" s="2"/>
      <c r="H1978" s="2"/>
      <c r="I1978" s="2"/>
      <c r="J1978" s="2"/>
      <c r="L1978" s="20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  <c r="AA1978" s="20"/>
      <c r="AB1978" s="20"/>
      <c r="AC1978" s="20"/>
      <c r="AD1978" s="20"/>
      <c r="AE1978" s="20"/>
    </row>
    <row r="1979" spans="2:31" x14ac:dyDescent="0.25">
      <c r="B1979" s="2"/>
      <c r="C1979" s="19"/>
      <c r="D1979" s="2"/>
      <c r="E1979" s="2"/>
      <c r="F1979" s="19"/>
      <c r="G1979" s="2"/>
      <c r="H1979" s="2"/>
      <c r="I1979" s="2"/>
      <c r="J1979" s="2"/>
      <c r="L1979" s="20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  <c r="AA1979" s="20"/>
      <c r="AB1979" s="20"/>
      <c r="AC1979" s="20"/>
      <c r="AD1979" s="20"/>
      <c r="AE1979" s="20"/>
    </row>
    <row r="1980" spans="2:31" x14ac:dyDescent="0.25">
      <c r="B1980" s="2"/>
      <c r="C1980" s="19"/>
      <c r="D1980" s="2"/>
      <c r="E1980" s="2"/>
      <c r="F1980" s="19"/>
      <c r="G1980" s="2"/>
      <c r="H1980" s="2"/>
      <c r="I1980" s="2"/>
      <c r="J1980" s="2"/>
      <c r="L1980" s="20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  <c r="AA1980" s="20"/>
      <c r="AB1980" s="20"/>
      <c r="AC1980" s="20"/>
      <c r="AD1980" s="20"/>
      <c r="AE1980" s="20"/>
    </row>
    <row r="1981" spans="2:31" x14ac:dyDescent="0.25">
      <c r="B1981" s="2"/>
      <c r="C1981" s="19"/>
      <c r="D1981" s="2"/>
      <c r="E1981" s="2"/>
      <c r="F1981" s="19"/>
      <c r="G1981" s="2"/>
      <c r="H1981" s="2"/>
      <c r="I1981" s="2"/>
      <c r="J1981" s="2"/>
      <c r="L1981" s="20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  <c r="AA1981" s="20"/>
      <c r="AB1981" s="20"/>
      <c r="AC1981" s="20"/>
      <c r="AD1981" s="20"/>
      <c r="AE1981" s="20"/>
    </row>
    <row r="1982" spans="2:31" x14ac:dyDescent="0.25">
      <c r="B1982" s="2"/>
      <c r="C1982" s="19"/>
      <c r="D1982" s="2"/>
      <c r="E1982" s="2"/>
      <c r="F1982" s="19"/>
      <c r="G1982" s="2"/>
      <c r="H1982" s="2"/>
      <c r="I1982" s="2"/>
      <c r="J1982" s="2"/>
      <c r="L1982" s="20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  <c r="AA1982" s="20"/>
      <c r="AB1982" s="20"/>
      <c r="AC1982" s="20"/>
      <c r="AD1982" s="20"/>
      <c r="AE1982" s="20"/>
    </row>
    <row r="1983" spans="2:31" x14ac:dyDescent="0.25">
      <c r="B1983" s="2"/>
      <c r="C1983" s="19"/>
      <c r="D1983" s="2"/>
      <c r="E1983" s="2"/>
      <c r="F1983" s="19"/>
      <c r="G1983" s="2"/>
      <c r="H1983" s="2"/>
      <c r="I1983" s="2"/>
      <c r="J1983" s="2"/>
      <c r="L1983" s="20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  <c r="AA1983" s="20"/>
      <c r="AB1983" s="20"/>
      <c r="AC1983" s="20"/>
      <c r="AD1983" s="20"/>
      <c r="AE1983" s="20"/>
    </row>
    <row r="1984" spans="2:31" x14ac:dyDescent="0.25">
      <c r="B1984" s="2"/>
      <c r="C1984" s="19"/>
      <c r="D1984" s="2"/>
      <c r="E1984" s="2"/>
      <c r="F1984" s="19"/>
      <c r="G1984" s="2"/>
      <c r="H1984" s="2"/>
      <c r="I1984" s="2"/>
      <c r="J1984" s="2"/>
      <c r="L1984" s="20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  <c r="AA1984" s="20"/>
      <c r="AB1984" s="20"/>
      <c r="AC1984" s="20"/>
      <c r="AD1984" s="20"/>
      <c r="AE1984" s="20"/>
    </row>
    <row r="1985" spans="2:31" x14ac:dyDescent="0.25">
      <c r="B1985" s="2"/>
      <c r="C1985" s="19"/>
      <c r="D1985" s="2"/>
      <c r="E1985" s="2"/>
      <c r="F1985" s="19"/>
      <c r="G1985" s="2"/>
      <c r="H1985" s="2"/>
      <c r="I1985" s="2"/>
      <c r="J1985" s="2"/>
      <c r="L1985" s="20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  <c r="AA1985" s="20"/>
      <c r="AB1985" s="20"/>
      <c r="AC1985" s="20"/>
      <c r="AD1985" s="20"/>
      <c r="AE1985" s="20"/>
    </row>
    <row r="1986" spans="2:31" x14ac:dyDescent="0.25">
      <c r="B1986" s="2"/>
      <c r="C1986" s="19"/>
      <c r="D1986" s="2"/>
      <c r="E1986" s="2"/>
      <c r="F1986" s="19"/>
      <c r="G1986" s="2"/>
      <c r="H1986" s="2"/>
      <c r="I1986" s="2"/>
      <c r="J1986" s="2"/>
      <c r="L1986" s="20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  <c r="AA1986" s="20"/>
      <c r="AB1986" s="20"/>
      <c r="AC1986" s="20"/>
      <c r="AD1986" s="20"/>
      <c r="AE1986" s="20"/>
    </row>
    <row r="1987" spans="2:31" x14ac:dyDescent="0.25">
      <c r="B1987" s="2"/>
      <c r="C1987" s="19"/>
      <c r="D1987" s="2"/>
      <c r="E1987" s="2"/>
      <c r="F1987" s="19"/>
      <c r="G1987" s="2"/>
      <c r="H1987" s="2"/>
      <c r="I1987" s="2"/>
      <c r="J1987" s="2"/>
      <c r="L1987" s="20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  <c r="AA1987" s="20"/>
      <c r="AB1987" s="20"/>
      <c r="AC1987" s="20"/>
      <c r="AD1987" s="20"/>
      <c r="AE1987" s="20"/>
    </row>
    <row r="1988" spans="2:31" x14ac:dyDescent="0.25">
      <c r="B1988" s="2"/>
      <c r="C1988" s="19"/>
      <c r="D1988" s="2"/>
      <c r="E1988" s="2"/>
      <c r="F1988" s="19"/>
      <c r="G1988" s="2"/>
      <c r="H1988" s="2"/>
      <c r="I1988" s="2"/>
      <c r="J1988" s="2"/>
      <c r="L1988" s="20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  <c r="AA1988" s="20"/>
      <c r="AB1988" s="20"/>
      <c r="AC1988" s="20"/>
      <c r="AD1988" s="20"/>
      <c r="AE1988" s="20"/>
    </row>
    <row r="1989" spans="2:31" x14ac:dyDescent="0.25">
      <c r="B1989" s="2"/>
      <c r="C1989" s="19"/>
      <c r="D1989" s="2"/>
      <c r="E1989" s="2"/>
      <c r="F1989" s="19"/>
      <c r="G1989" s="2"/>
      <c r="H1989" s="2"/>
      <c r="I1989" s="2"/>
      <c r="J1989" s="2"/>
      <c r="L1989" s="20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  <c r="AA1989" s="20"/>
      <c r="AB1989" s="20"/>
      <c r="AC1989" s="20"/>
      <c r="AD1989" s="20"/>
      <c r="AE1989" s="20"/>
    </row>
    <row r="1990" spans="2:31" x14ac:dyDescent="0.25">
      <c r="B1990" s="2"/>
      <c r="C1990" s="19"/>
      <c r="D1990" s="2"/>
      <c r="E1990" s="2"/>
      <c r="F1990" s="19"/>
      <c r="G1990" s="2"/>
      <c r="H1990" s="2"/>
      <c r="I1990" s="2"/>
      <c r="J1990" s="2"/>
      <c r="L1990" s="20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  <c r="AA1990" s="20"/>
      <c r="AB1990" s="20"/>
      <c r="AC1990" s="20"/>
      <c r="AD1990" s="20"/>
      <c r="AE1990" s="20"/>
    </row>
    <row r="1991" spans="2:31" x14ac:dyDescent="0.25">
      <c r="B1991" s="2"/>
      <c r="C1991" s="19"/>
      <c r="D1991" s="2"/>
      <c r="E1991" s="2"/>
      <c r="F1991" s="19"/>
      <c r="G1991" s="2"/>
      <c r="H1991" s="2"/>
      <c r="I1991" s="2"/>
      <c r="J1991" s="2"/>
      <c r="L1991" s="20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  <c r="AA1991" s="20"/>
      <c r="AB1991" s="20"/>
      <c r="AC1991" s="20"/>
      <c r="AD1991" s="20"/>
      <c r="AE1991" s="20"/>
    </row>
    <row r="1992" spans="2:31" x14ac:dyDescent="0.25">
      <c r="B1992" s="2"/>
      <c r="C1992" s="19"/>
      <c r="D1992" s="2"/>
      <c r="E1992" s="2"/>
      <c r="F1992" s="19"/>
      <c r="G1992" s="2"/>
      <c r="H1992" s="2"/>
      <c r="I1992" s="2"/>
      <c r="J1992" s="2"/>
      <c r="L1992" s="20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  <c r="AA1992" s="20"/>
      <c r="AB1992" s="20"/>
      <c r="AC1992" s="20"/>
      <c r="AD1992" s="20"/>
      <c r="AE1992" s="20"/>
    </row>
    <row r="1993" spans="2:31" x14ac:dyDescent="0.25">
      <c r="B1993" s="2"/>
      <c r="C1993" s="19"/>
      <c r="D1993" s="2"/>
      <c r="E1993" s="2"/>
      <c r="F1993" s="19"/>
      <c r="G1993" s="2"/>
      <c r="H1993" s="2"/>
      <c r="I1993" s="2"/>
      <c r="J1993" s="2"/>
      <c r="L1993" s="20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  <c r="AA1993" s="20"/>
      <c r="AB1993" s="20"/>
      <c r="AC1993" s="20"/>
      <c r="AD1993" s="20"/>
      <c r="AE1993" s="20"/>
    </row>
    <row r="1994" spans="2:31" x14ac:dyDescent="0.25">
      <c r="B1994" s="2"/>
      <c r="C1994" s="19"/>
      <c r="D1994" s="2"/>
      <c r="E1994" s="2"/>
      <c r="F1994" s="19"/>
      <c r="G1994" s="2"/>
      <c r="H1994" s="2"/>
      <c r="I1994" s="2"/>
      <c r="J1994" s="2"/>
      <c r="L1994" s="20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  <c r="AA1994" s="20"/>
      <c r="AB1994" s="20"/>
      <c r="AC1994" s="20"/>
      <c r="AD1994" s="20"/>
      <c r="AE1994" s="20"/>
    </row>
    <row r="1995" spans="2:31" x14ac:dyDescent="0.25">
      <c r="B1995" s="2"/>
      <c r="C1995" s="19"/>
      <c r="D1995" s="2"/>
      <c r="E1995" s="2"/>
      <c r="F1995" s="19"/>
      <c r="G1995" s="2"/>
      <c r="H1995" s="2"/>
      <c r="I1995" s="2"/>
      <c r="J1995" s="2"/>
      <c r="L1995" s="20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  <c r="AA1995" s="20"/>
      <c r="AB1995" s="20"/>
      <c r="AC1995" s="20"/>
      <c r="AD1995" s="20"/>
      <c r="AE1995" s="20"/>
    </row>
    <row r="1996" spans="2:31" x14ac:dyDescent="0.25">
      <c r="B1996" s="2"/>
      <c r="C1996" s="19"/>
      <c r="D1996" s="2"/>
      <c r="E1996" s="2"/>
      <c r="F1996" s="19"/>
      <c r="G1996" s="2"/>
      <c r="H1996" s="2"/>
      <c r="I1996" s="2"/>
      <c r="J1996" s="2"/>
      <c r="L1996" s="20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  <c r="AA1996" s="20"/>
      <c r="AB1996" s="20"/>
      <c r="AC1996" s="20"/>
      <c r="AD1996" s="20"/>
      <c r="AE1996" s="20"/>
    </row>
    <row r="1997" spans="2:31" x14ac:dyDescent="0.25">
      <c r="B1997" s="2"/>
      <c r="C1997" s="19"/>
      <c r="D1997" s="2"/>
      <c r="E1997" s="2"/>
      <c r="F1997" s="19"/>
      <c r="G1997" s="2"/>
      <c r="H1997" s="2"/>
      <c r="I1997" s="2"/>
      <c r="J1997" s="2"/>
      <c r="L1997" s="20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  <c r="AA1997" s="20"/>
      <c r="AB1997" s="20"/>
      <c r="AC1997" s="20"/>
      <c r="AD1997" s="20"/>
      <c r="AE1997" s="20"/>
    </row>
    <row r="1998" spans="2:31" x14ac:dyDescent="0.25">
      <c r="B1998" s="2"/>
      <c r="C1998" s="19"/>
      <c r="D1998" s="2"/>
      <c r="E1998" s="2"/>
      <c r="F1998" s="19"/>
      <c r="G1998" s="2"/>
      <c r="H1998" s="2"/>
      <c r="I1998" s="2"/>
      <c r="J1998" s="2"/>
      <c r="L1998" s="20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  <c r="AA1998" s="20"/>
      <c r="AB1998" s="20"/>
      <c r="AC1998" s="20"/>
      <c r="AD1998" s="20"/>
      <c r="AE1998" s="20"/>
    </row>
    <row r="1999" spans="2:31" x14ac:dyDescent="0.25">
      <c r="B1999" s="2"/>
      <c r="C1999" s="19"/>
      <c r="D1999" s="2"/>
      <c r="E1999" s="2"/>
      <c r="F1999" s="19"/>
      <c r="G1999" s="2"/>
      <c r="H1999" s="2"/>
      <c r="I1999" s="2"/>
      <c r="J1999" s="2"/>
      <c r="L1999" s="20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  <c r="AA1999" s="20"/>
      <c r="AB1999" s="20"/>
      <c r="AC1999" s="20"/>
      <c r="AD1999" s="20"/>
      <c r="AE1999" s="20"/>
    </row>
    <row r="2000" spans="2:31" x14ac:dyDescent="0.25">
      <c r="B2000" s="2"/>
      <c r="C2000" s="19"/>
      <c r="D2000" s="2"/>
      <c r="E2000" s="2"/>
      <c r="F2000" s="19"/>
      <c r="G2000" s="2"/>
      <c r="H2000" s="2"/>
      <c r="I2000" s="2"/>
      <c r="J2000" s="2"/>
      <c r="L2000" s="20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  <c r="AA2000" s="20"/>
      <c r="AB2000" s="20"/>
      <c r="AC2000" s="20"/>
      <c r="AD2000" s="20"/>
      <c r="AE2000" s="20"/>
    </row>
    <row r="2001" spans="2:31" x14ac:dyDescent="0.25">
      <c r="B2001" s="2"/>
      <c r="C2001" s="19"/>
      <c r="D2001" s="2"/>
      <c r="E2001" s="2"/>
      <c r="F2001" s="19"/>
      <c r="G2001" s="2"/>
      <c r="H2001" s="2"/>
      <c r="I2001" s="2"/>
      <c r="J2001" s="2"/>
      <c r="L2001" s="20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  <c r="AA2001" s="20"/>
      <c r="AB2001" s="20"/>
      <c r="AC2001" s="20"/>
      <c r="AD2001" s="20"/>
      <c r="AE2001" s="20"/>
    </row>
    <row r="2002" spans="2:31" x14ac:dyDescent="0.25">
      <c r="B2002" s="2"/>
      <c r="C2002" s="19"/>
      <c r="D2002" s="2"/>
      <c r="E2002" s="2"/>
      <c r="F2002" s="19"/>
      <c r="G2002" s="2"/>
      <c r="H2002" s="2"/>
      <c r="I2002" s="2"/>
      <c r="J2002" s="2"/>
      <c r="L2002" s="20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  <c r="AA2002" s="20"/>
      <c r="AB2002" s="20"/>
      <c r="AC2002" s="20"/>
      <c r="AD2002" s="20"/>
      <c r="AE2002" s="20"/>
    </row>
    <row r="2003" spans="2:31" x14ac:dyDescent="0.25">
      <c r="B2003" s="2"/>
      <c r="C2003" s="19"/>
      <c r="D2003" s="2"/>
      <c r="E2003" s="2"/>
      <c r="F2003" s="19"/>
      <c r="G2003" s="2"/>
      <c r="H2003" s="2"/>
      <c r="I2003" s="2"/>
      <c r="J2003" s="2"/>
      <c r="L2003" s="20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  <c r="AA2003" s="20"/>
      <c r="AB2003" s="20"/>
      <c r="AC2003" s="20"/>
      <c r="AD2003" s="20"/>
      <c r="AE2003" s="20"/>
    </row>
    <row r="2004" spans="2:31" x14ac:dyDescent="0.25">
      <c r="B2004" s="2"/>
      <c r="C2004" s="19"/>
      <c r="D2004" s="2"/>
      <c r="E2004" s="2"/>
      <c r="F2004" s="19"/>
      <c r="G2004" s="2"/>
      <c r="H2004" s="2"/>
      <c r="I2004" s="2"/>
      <c r="J2004" s="2"/>
      <c r="L2004" s="20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  <c r="AA2004" s="20"/>
      <c r="AB2004" s="20"/>
      <c r="AC2004" s="20"/>
      <c r="AD2004" s="20"/>
      <c r="AE2004" s="20"/>
    </row>
    <row r="2005" spans="2:31" x14ac:dyDescent="0.25">
      <c r="B2005" s="2"/>
      <c r="C2005" s="19"/>
      <c r="D2005" s="2"/>
      <c r="E2005" s="2"/>
      <c r="F2005" s="19"/>
      <c r="G2005" s="2"/>
      <c r="H2005" s="2"/>
      <c r="I2005" s="2"/>
      <c r="J2005" s="2"/>
      <c r="L2005" s="20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  <c r="AA2005" s="20"/>
      <c r="AB2005" s="20"/>
      <c r="AC2005" s="20"/>
      <c r="AD2005" s="20"/>
      <c r="AE2005" s="20"/>
    </row>
    <row r="2006" spans="2:31" x14ac:dyDescent="0.25">
      <c r="B2006" s="2"/>
      <c r="C2006" s="19"/>
      <c r="D2006" s="2"/>
      <c r="E2006" s="2"/>
      <c r="F2006" s="19"/>
      <c r="G2006" s="2"/>
      <c r="H2006" s="2"/>
      <c r="I2006" s="2"/>
      <c r="J2006" s="2"/>
      <c r="L2006" s="20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  <c r="AA2006" s="20"/>
      <c r="AB2006" s="20"/>
      <c r="AC2006" s="20"/>
      <c r="AD2006" s="20"/>
      <c r="AE2006" s="20"/>
    </row>
    <row r="2007" spans="2:31" x14ac:dyDescent="0.25">
      <c r="B2007" s="2"/>
      <c r="C2007" s="19"/>
      <c r="D2007" s="2"/>
      <c r="E2007" s="2"/>
      <c r="F2007" s="19"/>
      <c r="G2007" s="2"/>
      <c r="H2007" s="2"/>
      <c r="I2007" s="2"/>
      <c r="J2007" s="2"/>
      <c r="L2007" s="20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  <c r="AA2007" s="20"/>
      <c r="AB2007" s="20"/>
      <c r="AC2007" s="20"/>
      <c r="AD2007" s="20"/>
      <c r="AE2007" s="20"/>
    </row>
    <row r="2008" spans="2:31" x14ac:dyDescent="0.25">
      <c r="B2008" s="2"/>
      <c r="C2008" s="19"/>
      <c r="D2008" s="2"/>
      <c r="E2008" s="2"/>
      <c r="F2008" s="19"/>
      <c r="G2008" s="2"/>
      <c r="H2008" s="2"/>
      <c r="I2008" s="2"/>
      <c r="J2008" s="2"/>
      <c r="L2008" s="20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  <c r="AA2008" s="20"/>
      <c r="AB2008" s="20"/>
      <c r="AC2008" s="20"/>
      <c r="AD2008" s="20"/>
      <c r="AE2008" s="20"/>
    </row>
    <row r="2009" spans="2:31" x14ac:dyDescent="0.25">
      <c r="B2009" s="2"/>
      <c r="C2009" s="19"/>
      <c r="D2009" s="2"/>
      <c r="E2009" s="2"/>
      <c r="F2009" s="19"/>
      <c r="G2009" s="2"/>
      <c r="H2009" s="2"/>
      <c r="I2009" s="2"/>
      <c r="J2009" s="2"/>
      <c r="L2009" s="20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  <c r="AA2009" s="20"/>
      <c r="AB2009" s="20"/>
      <c r="AC2009" s="20"/>
      <c r="AD2009" s="20"/>
      <c r="AE2009" s="20"/>
    </row>
    <row r="2010" spans="2:31" x14ac:dyDescent="0.25">
      <c r="B2010" s="2"/>
      <c r="C2010" s="19"/>
      <c r="D2010" s="2"/>
      <c r="E2010" s="2"/>
      <c r="F2010" s="19"/>
      <c r="G2010" s="2"/>
      <c r="H2010" s="2"/>
      <c r="I2010" s="2"/>
      <c r="J2010" s="2"/>
      <c r="L2010" s="20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  <c r="AA2010" s="20"/>
      <c r="AB2010" s="20"/>
      <c r="AC2010" s="20"/>
      <c r="AD2010" s="20"/>
      <c r="AE2010" s="20"/>
    </row>
    <row r="2011" spans="2:31" x14ac:dyDescent="0.25">
      <c r="B2011" s="2"/>
      <c r="C2011" s="19"/>
      <c r="D2011" s="2"/>
      <c r="E2011" s="2"/>
      <c r="F2011" s="19"/>
      <c r="G2011" s="2"/>
      <c r="H2011" s="2"/>
      <c r="I2011" s="2"/>
      <c r="J2011" s="2"/>
      <c r="L2011" s="20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  <c r="AA2011" s="20"/>
      <c r="AB2011" s="20"/>
      <c r="AC2011" s="20"/>
      <c r="AD2011" s="20"/>
      <c r="AE2011" s="20"/>
    </row>
    <row r="2012" spans="2:31" x14ac:dyDescent="0.25">
      <c r="B2012" s="2"/>
      <c r="C2012" s="19"/>
      <c r="D2012" s="2"/>
      <c r="E2012" s="2"/>
      <c r="F2012" s="19"/>
      <c r="G2012" s="2"/>
      <c r="H2012" s="2"/>
      <c r="I2012" s="2"/>
      <c r="J2012" s="2"/>
      <c r="L2012" s="20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  <c r="AA2012" s="20"/>
      <c r="AB2012" s="20"/>
      <c r="AC2012" s="20"/>
      <c r="AD2012" s="20"/>
      <c r="AE2012" s="20"/>
    </row>
    <row r="2013" spans="2:31" x14ac:dyDescent="0.25">
      <c r="B2013" s="2"/>
      <c r="C2013" s="19"/>
      <c r="D2013" s="2"/>
      <c r="E2013" s="2"/>
      <c r="F2013" s="19"/>
      <c r="G2013" s="2"/>
      <c r="H2013" s="2"/>
      <c r="I2013" s="2"/>
      <c r="J2013" s="2"/>
      <c r="L2013" s="20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  <c r="AA2013" s="20"/>
      <c r="AB2013" s="20"/>
      <c r="AC2013" s="20"/>
      <c r="AD2013" s="20"/>
      <c r="AE2013" s="20"/>
    </row>
    <row r="2014" spans="2:31" x14ac:dyDescent="0.25">
      <c r="B2014" s="2"/>
      <c r="C2014" s="19"/>
      <c r="D2014" s="2"/>
      <c r="E2014" s="2"/>
      <c r="F2014" s="19"/>
      <c r="G2014" s="2"/>
      <c r="H2014" s="2"/>
      <c r="I2014" s="2"/>
      <c r="J2014" s="2"/>
      <c r="L2014" s="20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  <c r="AA2014" s="20"/>
      <c r="AB2014" s="20"/>
      <c r="AC2014" s="20"/>
      <c r="AD2014" s="20"/>
      <c r="AE2014" s="20"/>
    </row>
    <row r="2015" spans="2:31" x14ac:dyDescent="0.25">
      <c r="B2015" s="2"/>
      <c r="C2015" s="19"/>
      <c r="D2015" s="2"/>
      <c r="E2015" s="2"/>
      <c r="F2015" s="19"/>
      <c r="G2015" s="2"/>
      <c r="H2015" s="2"/>
      <c r="I2015" s="2"/>
      <c r="J2015" s="2"/>
      <c r="L2015" s="20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  <c r="AA2015" s="20"/>
      <c r="AB2015" s="20"/>
      <c r="AC2015" s="20"/>
      <c r="AD2015" s="20"/>
      <c r="AE2015" s="20"/>
    </row>
    <row r="2016" spans="2:31" x14ac:dyDescent="0.25">
      <c r="B2016" s="2"/>
      <c r="C2016" s="19"/>
      <c r="D2016" s="2"/>
      <c r="E2016" s="2"/>
      <c r="F2016" s="19"/>
      <c r="G2016" s="2"/>
      <c r="H2016" s="2"/>
      <c r="I2016" s="2"/>
      <c r="J2016" s="2"/>
      <c r="L2016" s="20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  <c r="AA2016" s="20"/>
      <c r="AB2016" s="20"/>
      <c r="AC2016" s="20"/>
      <c r="AD2016" s="20"/>
      <c r="AE2016" s="20"/>
    </row>
    <row r="2017" spans="2:31" x14ac:dyDescent="0.25">
      <c r="B2017" s="2"/>
      <c r="C2017" s="19"/>
      <c r="D2017" s="2"/>
      <c r="E2017" s="2"/>
      <c r="F2017" s="19"/>
      <c r="G2017" s="2"/>
      <c r="H2017" s="2"/>
      <c r="I2017" s="2"/>
      <c r="J2017" s="2"/>
      <c r="L2017" s="20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  <c r="AA2017" s="20"/>
      <c r="AB2017" s="20"/>
      <c r="AC2017" s="20"/>
      <c r="AD2017" s="20"/>
      <c r="AE2017" s="20"/>
    </row>
    <row r="2018" spans="2:31" x14ac:dyDescent="0.25">
      <c r="B2018" s="2"/>
      <c r="C2018" s="19"/>
      <c r="D2018" s="2"/>
      <c r="E2018" s="2"/>
      <c r="F2018" s="19"/>
      <c r="G2018" s="2"/>
      <c r="H2018" s="2"/>
      <c r="I2018" s="2"/>
      <c r="J2018" s="2"/>
      <c r="L2018" s="20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  <c r="AA2018" s="20"/>
      <c r="AB2018" s="20"/>
      <c r="AC2018" s="20"/>
      <c r="AD2018" s="20"/>
      <c r="AE2018" s="20"/>
    </row>
    <row r="2019" spans="2:31" x14ac:dyDescent="0.25">
      <c r="B2019" s="2"/>
      <c r="C2019" s="19"/>
      <c r="D2019" s="2"/>
      <c r="E2019" s="2"/>
      <c r="F2019" s="19"/>
      <c r="G2019" s="2"/>
      <c r="H2019" s="2"/>
      <c r="I2019" s="2"/>
      <c r="J2019" s="2"/>
      <c r="L2019" s="20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  <c r="AA2019" s="20"/>
      <c r="AB2019" s="20"/>
      <c r="AC2019" s="20"/>
      <c r="AD2019" s="20"/>
      <c r="AE2019" s="20"/>
    </row>
    <row r="2020" spans="2:31" x14ac:dyDescent="0.25">
      <c r="B2020" s="2"/>
      <c r="C2020" s="19"/>
      <c r="D2020" s="2"/>
      <c r="E2020" s="2"/>
      <c r="F2020" s="19"/>
      <c r="G2020" s="2"/>
      <c r="H2020" s="2"/>
      <c r="I2020" s="2"/>
      <c r="J2020" s="2"/>
      <c r="L2020" s="20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  <c r="AA2020" s="20"/>
      <c r="AB2020" s="20"/>
      <c r="AC2020" s="20"/>
      <c r="AD2020" s="20"/>
      <c r="AE2020" s="20"/>
    </row>
    <row r="2021" spans="2:31" x14ac:dyDescent="0.25">
      <c r="B2021" s="2"/>
      <c r="C2021" s="19"/>
      <c r="D2021" s="2"/>
      <c r="E2021" s="2"/>
      <c r="F2021" s="19"/>
      <c r="G2021" s="2"/>
      <c r="H2021" s="2"/>
      <c r="I2021" s="2"/>
      <c r="J2021" s="2"/>
      <c r="L2021" s="20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  <c r="AA2021" s="20"/>
      <c r="AB2021" s="20"/>
      <c r="AC2021" s="20"/>
      <c r="AD2021" s="20"/>
      <c r="AE2021" s="20"/>
    </row>
    <row r="2022" spans="2:31" x14ac:dyDescent="0.25">
      <c r="B2022" s="2"/>
      <c r="C2022" s="19"/>
      <c r="D2022" s="2"/>
      <c r="E2022" s="2"/>
      <c r="F2022" s="19"/>
      <c r="G2022" s="2"/>
      <c r="H2022" s="2"/>
      <c r="I2022" s="2"/>
      <c r="J2022" s="2"/>
      <c r="L2022" s="20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  <c r="AA2022" s="20"/>
      <c r="AB2022" s="20"/>
      <c r="AC2022" s="20"/>
      <c r="AD2022" s="20"/>
      <c r="AE2022" s="20"/>
    </row>
    <row r="2023" spans="2:31" x14ac:dyDescent="0.25">
      <c r="B2023" s="2"/>
      <c r="C2023" s="19"/>
      <c r="D2023" s="2"/>
      <c r="E2023" s="2"/>
      <c r="F2023" s="19"/>
      <c r="G2023" s="2"/>
      <c r="H2023" s="2"/>
      <c r="I2023" s="2"/>
      <c r="J2023" s="2"/>
      <c r="L2023" s="20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  <c r="AA2023" s="20"/>
      <c r="AB2023" s="20"/>
      <c r="AC2023" s="20"/>
      <c r="AD2023" s="20"/>
      <c r="AE2023" s="20"/>
    </row>
    <row r="2024" spans="2:31" x14ac:dyDescent="0.25">
      <c r="B2024" s="2"/>
      <c r="C2024" s="19"/>
      <c r="D2024" s="2"/>
      <c r="E2024" s="2"/>
      <c r="F2024" s="19"/>
      <c r="G2024" s="2"/>
      <c r="H2024" s="2"/>
      <c r="I2024" s="2"/>
      <c r="J2024" s="2"/>
      <c r="L2024" s="20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  <c r="AA2024" s="20"/>
      <c r="AB2024" s="20"/>
      <c r="AC2024" s="20"/>
      <c r="AD2024" s="20"/>
      <c r="AE2024" s="20"/>
    </row>
    <row r="2025" spans="2:31" x14ac:dyDescent="0.25">
      <c r="B2025" s="2"/>
      <c r="C2025" s="19"/>
      <c r="D2025" s="2"/>
      <c r="E2025" s="2"/>
      <c r="F2025" s="19"/>
      <c r="G2025" s="2"/>
      <c r="H2025" s="2"/>
      <c r="I2025" s="2"/>
      <c r="J2025" s="2"/>
      <c r="L2025" s="20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  <c r="AA2025" s="20"/>
      <c r="AB2025" s="20"/>
      <c r="AC2025" s="20"/>
      <c r="AD2025" s="20"/>
      <c r="AE2025" s="20"/>
    </row>
    <row r="2026" spans="2:31" x14ac:dyDescent="0.25">
      <c r="B2026" s="2"/>
      <c r="C2026" s="19"/>
      <c r="D2026" s="2"/>
      <c r="E2026" s="2"/>
      <c r="F2026" s="19"/>
      <c r="G2026" s="2"/>
      <c r="H2026" s="2"/>
      <c r="I2026" s="2"/>
      <c r="J2026" s="2"/>
      <c r="L2026" s="20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  <c r="AA2026" s="20"/>
      <c r="AB2026" s="20"/>
      <c r="AC2026" s="20"/>
      <c r="AD2026" s="20"/>
      <c r="AE2026" s="20"/>
    </row>
    <row r="2027" spans="2:31" x14ac:dyDescent="0.25">
      <c r="B2027" s="2"/>
      <c r="C2027" s="19"/>
      <c r="D2027" s="2"/>
      <c r="E2027" s="2"/>
      <c r="F2027" s="19"/>
      <c r="G2027" s="2"/>
      <c r="H2027" s="2"/>
      <c r="I2027" s="2"/>
      <c r="J2027" s="2"/>
      <c r="L2027" s="20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  <c r="AA2027" s="20"/>
      <c r="AB2027" s="20"/>
      <c r="AC2027" s="20"/>
      <c r="AD2027" s="20"/>
      <c r="AE2027" s="20"/>
    </row>
    <row r="2028" spans="2:31" x14ac:dyDescent="0.25">
      <c r="B2028" s="2"/>
      <c r="C2028" s="19"/>
      <c r="D2028" s="2"/>
      <c r="E2028" s="2"/>
      <c r="F2028" s="19"/>
      <c r="G2028" s="2"/>
      <c r="H2028" s="2"/>
      <c r="I2028" s="2"/>
      <c r="J2028" s="2"/>
      <c r="L2028" s="20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  <c r="AA2028" s="20"/>
      <c r="AB2028" s="20"/>
      <c r="AC2028" s="20"/>
      <c r="AD2028" s="20"/>
      <c r="AE2028" s="20"/>
    </row>
    <row r="2029" spans="2:31" x14ac:dyDescent="0.25">
      <c r="B2029" s="2"/>
      <c r="C2029" s="19"/>
      <c r="D2029" s="2"/>
      <c r="E2029" s="2"/>
      <c r="F2029" s="19"/>
      <c r="G2029" s="2"/>
      <c r="H2029" s="2"/>
      <c r="I2029" s="2"/>
      <c r="J2029" s="2"/>
      <c r="L2029" s="20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  <c r="AA2029" s="20"/>
      <c r="AB2029" s="20"/>
      <c r="AC2029" s="20"/>
      <c r="AD2029" s="20"/>
      <c r="AE2029" s="20"/>
    </row>
    <row r="2030" spans="2:31" x14ac:dyDescent="0.25">
      <c r="B2030" s="2"/>
      <c r="C2030" s="19"/>
      <c r="D2030" s="2"/>
      <c r="E2030" s="2"/>
      <c r="F2030" s="19"/>
      <c r="G2030" s="2"/>
      <c r="H2030" s="2"/>
      <c r="I2030" s="2"/>
      <c r="J2030" s="2"/>
      <c r="L2030" s="20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  <c r="AA2030" s="20"/>
      <c r="AB2030" s="20"/>
      <c r="AC2030" s="20"/>
      <c r="AD2030" s="20"/>
      <c r="AE2030" s="20"/>
    </row>
    <row r="2031" spans="2:31" x14ac:dyDescent="0.25">
      <c r="B2031" s="2"/>
      <c r="C2031" s="19"/>
      <c r="D2031" s="2"/>
      <c r="E2031" s="2"/>
      <c r="F2031" s="19"/>
      <c r="G2031" s="2"/>
      <c r="H2031" s="2"/>
      <c r="I2031" s="2"/>
      <c r="J2031" s="2"/>
      <c r="L2031" s="20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  <c r="AA2031" s="20"/>
      <c r="AB2031" s="20"/>
      <c r="AC2031" s="20"/>
      <c r="AD2031" s="20"/>
      <c r="AE2031" s="20"/>
    </row>
    <row r="2032" spans="2:31" x14ac:dyDescent="0.25">
      <c r="B2032" s="2"/>
      <c r="C2032" s="19"/>
      <c r="D2032" s="2"/>
      <c r="E2032" s="2"/>
      <c r="F2032" s="19"/>
      <c r="G2032" s="2"/>
      <c r="H2032" s="2"/>
      <c r="I2032" s="2"/>
      <c r="J2032" s="2"/>
      <c r="L2032" s="20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  <c r="AA2032" s="20"/>
      <c r="AB2032" s="20"/>
      <c r="AC2032" s="20"/>
      <c r="AD2032" s="20"/>
      <c r="AE2032" s="20"/>
    </row>
    <row r="2033" spans="2:31" x14ac:dyDescent="0.25">
      <c r="B2033" s="2"/>
      <c r="C2033" s="19"/>
      <c r="D2033" s="2"/>
      <c r="E2033" s="2"/>
      <c r="F2033" s="19"/>
      <c r="G2033" s="2"/>
      <c r="H2033" s="2"/>
      <c r="I2033" s="2"/>
      <c r="J2033" s="2"/>
      <c r="L2033" s="20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  <c r="AA2033" s="20"/>
      <c r="AB2033" s="20"/>
      <c r="AC2033" s="20"/>
      <c r="AD2033" s="20"/>
      <c r="AE2033" s="20"/>
    </row>
    <row r="2034" spans="2:31" x14ac:dyDescent="0.25">
      <c r="B2034" s="2"/>
      <c r="C2034" s="19"/>
      <c r="D2034" s="2"/>
      <c r="E2034" s="2"/>
      <c r="F2034" s="19"/>
      <c r="G2034" s="2"/>
      <c r="H2034" s="2"/>
      <c r="I2034" s="2"/>
      <c r="J2034" s="2"/>
      <c r="L2034" s="20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  <c r="AA2034" s="20"/>
      <c r="AB2034" s="20"/>
      <c r="AC2034" s="20"/>
      <c r="AD2034" s="20"/>
      <c r="AE2034" s="20"/>
    </row>
    <row r="2035" spans="2:31" x14ac:dyDescent="0.25">
      <c r="B2035" s="2"/>
      <c r="C2035" s="19"/>
      <c r="D2035" s="2"/>
      <c r="E2035" s="2"/>
      <c r="F2035" s="19"/>
      <c r="G2035" s="2"/>
      <c r="H2035" s="2"/>
      <c r="I2035" s="2"/>
      <c r="J2035" s="2"/>
      <c r="L2035" s="20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  <c r="AA2035" s="20"/>
      <c r="AB2035" s="20"/>
      <c r="AC2035" s="20"/>
      <c r="AD2035" s="20"/>
      <c r="AE2035" s="20"/>
    </row>
    <row r="2036" spans="2:31" x14ac:dyDescent="0.25">
      <c r="B2036" s="2"/>
      <c r="C2036" s="19"/>
      <c r="D2036" s="2"/>
      <c r="E2036" s="2"/>
      <c r="F2036" s="19"/>
      <c r="G2036" s="2"/>
      <c r="H2036" s="2"/>
      <c r="I2036" s="2"/>
      <c r="J2036" s="2"/>
      <c r="L2036" s="20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  <c r="AA2036" s="20"/>
      <c r="AB2036" s="20"/>
      <c r="AC2036" s="20"/>
      <c r="AD2036" s="20"/>
      <c r="AE2036" s="20"/>
    </row>
    <row r="2037" spans="2:31" x14ac:dyDescent="0.25">
      <c r="B2037" s="2"/>
      <c r="C2037" s="19"/>
      <c r="D2037" s="2"/>
      <c r="E2037" s="2"/>
      <c r="F2037" s="19"/>
      <c r="G2037" s="2"/>
      <c r="H2037" s="2"/>
      <c r="I2037" s="2"/>
      <c r="J2037" s="2"/>
      <c r="L2037" s="20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  <c r="AA2037" s="20"/>
      <c r="AB2037" s="20"/>
      <c r="AC2037" s="20"/>
      <c r="AD2037" s="20"/>
      <c r="AE2037" s="20"/>
    </row>
    <row r="2038" spans="2:31" x14ac:dyDescent="0.25">
      <c r="B2038" s="2"/>
      <c r="C2038" s="19"/>
      <c r="D2038" s="2"/>
      <c r="E2038" s="2"/>
      <c r="F2038" s="19"/>
      <c r="G2038" s="2"/>
      <c r="H2038" s="2"/>
      <c r="I2038" s="2"/>
      <c r="J2038" s="2"/>
      <c r="L2038" s="20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  <c r="AA2038" s="20"/>
      <c r="AB2038" s="20"/>
      <c r="AC2038" s="20"/>
      <c r="AD2038" s="20"/>
      <c r="AE2038" s="20"/>
    </row>
    <row r="2039" spans="2:31" x14ac:dyDescent="0.25">
      <c r="B2039" s="2"/>
      <c r="C2039" s="19"/>
      <c r="D2039" s="2"/>
      <c r="E2039" s="2"/>
      <c r="F2039" s="19"/>
      <c r="G2039" s="2"/>
      <c r="H2039" s="2"/>
      <c r="I2039" s="2"/>
      <c r="J2039" s="2"/>
      <c r="L2039" s="20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  <c r="AA2039" s="20"/>
      <c r="AB2039" s="20"/>
      <c r="AC2039" s="20"/>
      <c r="AD2039" s="20"/>
      <c r="AE2039" s="20"/>
    </row>
    <row r="2040" spans="2:31" x14ac:dyDescent="0.25">
      <c r="B2040" s="2"/>
      <c r="C2040" s="19"/>
      <c r="D2040" s="2"/>
      <c r="E2040" s="2"/>
      <c r="F2040" s="19"/>
      <c r="G2040" s="2"/>
      <c r="H2040" s="2"/>
      <c r="I2040" s="2"/>
      <c r="J2040" s="2"/>
      <c r="L2040" s="20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  <c r="AA2040" s="20"/>
      <c r="AB2040" s="20"/>
      <c r="AC2040" s="20"/>
      <c r="AD2040" s="20"/>
      <c r="AE2040" s="20"/>
    </row>
    <row r="2041" spans="2:31" x14ac:dyDescent="0.25">
      <c r="B2041" s="2"/>
      <c r="C2041" s="19"/>
      <c r="D2041" s="2"/>
      <c r="E2041" s="2"/>
      <c r="F2041" s="19"/>
      <c r="G2041" s="2"/>
      <c r="H2041" s="2"/>
      <c r="I2041" s="2"/>
      <c r="J2041" s="2"/>
      <c r="L2041" s="20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  <c r="AA2041" s="20"/>
      <c r="AB2041" s="20"/>
      <c r="AC2041" s="20"/>
      <c r="AD2041" s="20"/>
      <c r="AE2041" s="20"/>
    </row>
    <row r="2042" spans="2:31" x14ac:dyDescent="0.25">
      <c r="B2042" s="2"/>
      <c r="C2042" s="19"/>
      <c r="D2042" s="2"/>
      <c r="E2042" s="2"/>
      <c r="F2042" s="19"/>
      <c r="G2042" s="2"/>
      <c r="H2042" s="2"/>
      <c r="I2042" s="2"/>
      <c r="J2042" s="2"/>
      <c r="L2042" s="20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  <c r="AA2042" s="20"/>
      <c r="AB2042" s="20"/>
      <c r="AC2042" s="20"/>
      <c r="AD2042" s="20"/>
      <c r="AE2042" s="20"/>
    </row>
    <row r="2043" spans="2:31" x14ac:dyDescent="0.25">
      <c r="B2043" s="2"/>
      <c r="C2043" s="19"/>
      <c r="D2043" s="2"/>
      <c r="E2043" s="2"/>
      <c r="F2043" s="19"/>
      <c r="G2043" s="2"/>
      <c r="H2043" s="2"/>
      <c r="I2043" s="2"/>
      <c r="J2043" s="2"/>
      <c r="L2043" s="20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  <c r="AA2043" s="20"/>
      <c r="AB2043" s="20"/>
      <c r="AC2043" s="20"/>
      <c r="AD2043" s="20"/>
      <c r="AE2043" s="20"/>
    </row>
    <row r="2044" spans="2:31" x14ac:dyDescent="0.25">
      <c r="B2044" s="2"/>
      <c r="C2044" s="19"/>
      <c r="D2044" s="2"/>
      <c r="E2044" s="2"/>
      <c r="F2044" s="19"/>
      <c r="G2044" s="2"/>
      <c r="H2044" s="2"/>
      <c r="I2044" s="2"/>
      <c r="J2044" s="2"/>
      <c r="L2044" s="20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  <c r="AA2044" s="20"/>
      <c r="AB2044" s="20"/>
      <c r="AC2044" s="20"/>
      <c r="AD2044" s="20"/>
      <c r="AE2044" s="20"/>
    </row>
    <row r="2045" spans="2:31" x14ac:dyDescent="0.25">
      <c r="B2045" s="2"/>
      <c r="C2045" s="19"/>
      <c r="D2045" s="2"/>
      <c r="E2045" s="2"/>
      <c r="F2045" s="19"/>
      <c r="G2045" s="2"/>
      <c r="H2045" s="2"/>
      <c r="I2045" s="2"/>
      <c r="J2045" s="2"/>
      <c r="L2045" s="20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  <c r="AA2045" s="20"/>
      <c r="AB2045" s="20"/>
      <c r="AC2045" s="20"/>
      <c r="AD2045" s="20"/>
      <c r="AE2045" s="20"/>
    </row>
    <row r="2046" spans="2:31" x14ac:dyDescent="0.25">
      <c r="B2046" s="2"/>
      <c r="C2046" s="19"/>
      <c r="D2046" s="2"/>
      <c r="E2046" s="2"/>
      <c r="F2046" s="19"/>
      <c r="G2046" s="2"/>
      <c r="H2046" s="2"/>
      <c r="I2046" s="2"/>
      <c r="J2046" s="2"/>
      <c r="L2046" s="20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  <c r="AA2046" s="20"/>
      <c r="AB2046" s="20"/>
      <c r="AC2046" s="20"/>
      <c r="AD2046" s="20"/>
      <c r="AE2046" s="20"/>
    </row>
    <row r="2047" spans="2:31" x14ac:dyDescent="0.25">
      <c r="B2047" s="2"/>
      <c r="C2047" s="19"/>
      <c r="D2047" s="2"/>
      <c r="E2047" s="2"/>
      <c r="F2047" s="19"/>
      <c r="G2047" s="2"/>
      <c r="H2047" s="2"/>
      <c r="I2047" s="2"/>
      <c r="J2047" s="2"/>
      <c r="L2047" s="20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  <c r="AA2047" s="20"/>
      <c r="AB2047" s="20"/>
      <c r="AC2047" s="20"/>
      <c r="AD2047" s="20"/>
      <c r="AE2047" s="20"/>
    </row>
    <row r="2048" spans="2:31" x14ac:dyDescent="0.25">
      <c r="B2048" s="2"/>
      <c r="C2048" s="19"/>
      <c r="D2048" s="2"/>
      <c r="E2048" s="2"/>
      <c r="F2048" s="19"/>
      <c r="G2048" s="2"/>
      <c r="H2048" s="2"/>
      <c r="I2048" s="2"/>
      <c r="J2048" s="2"/>
      <c r="L2048" s="20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  <c r="AA2048" s="20"/>
      <c r="AB2048" s="20"/>
      <c r="AC2048" s="20"/>
      <c r="AD2048" s="20"/>
      <c r="AE2048" s="20"/>
    </row>
    <row r="2049" spans="2:31" x14ac:dyDescent="0.25">
      <c r="B2049" s="2"/>
      <c r="C2049" s="19"/>
      <c r="D2049" s="2"/>
      <c r="E2049" s="2"/>
      <c r="F2049" s="19"/>
      <c r="G2049" s="2"/>
      <c r="H2049" s="2"/>
      <c r="I2049" s="2"/>
      <c r="J2049" s="2"/>
      <c r="L2049" s="20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  <c r="AA2049" s="20"/>
      <c r="AB2049" s="20"/>
      <c r="AC2049" s="20"/>
      <c r="AD2049" s="20"/>
      <c r="AE2049" s="20"/>
    </row>
    <row r="2050" spans="2:31" x14ac:dyDescent="0.25">
      <c r="B2050" s="2"/>
      <c r="C2050" s="19"/>
      <c r="D2050" s="2"/>
      <c r="E2050" s="2"/>
      <c r="F2050" s="19"/>
      <c r="G2050" s="2"/>
      <c r="H2050" s="2"/>
      <c r="I2050" s="2"/>
      <c r="J2050" s="2"/>
      <c r="L2050" s="20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  <c r="AA2050" s="20"/>
      <c r="AB2050" s="20"/>
      <c r="AC2050" s="20"/>
      <c r="AD2050" s="20"/>
      <c r="AE2050" s="20"/>
    </row>
    <row r="2051" spans="2:31" x14ac:dyDescent="0.25">
      <c r="B2051" s="2"/>
      <c r="C2051" s="19"/>
      <c r="D2051" s="2"/>
      <c r="E2051" s="2"/>
      <c r="F2051" s="19"/>
      <c r="G2051" s="2"/>
      <c r="H2051" s="2"/>
      <c r="I2051" s="2"/>
      <c r="J2051" s="2"/>
      <c r="L2051" s="20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  <c r="AA2051" s="20"/>
      <c r="AB2051" s="20"/>
      <c r="AC2051" s="20"/>
      <c r="AD2051" s="20"/>
      <c r="AE2051" s="20"/>
    </row>
    <row r="2052" spans="2:31" x14ac:dyDescent="0.25">
      <c r="B2052" s="2"/>
      <c r="C2052" s="19"/>
      <c r="D2052" s="2"/>
      <c r="E2052" s="2"/>
      <c r="F2052" s="19"/>
      <c r="G2052" s="2"/>
      <c r="H2052" s="2"/>
      <c r="I2052" s="2"/>
      <c r="J2052" s="2"/>
      <c r="L2052" s="20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  <c r="AA2052" s="20"/>
      <c r="AB2052" s="20"/>
      <c r="AC2052" s="20"/>
      <c r="AD2052" s="20"/>
      <c r="AE2052" s="20"/>
    </row>
    <row r="2053" spans="2:31" x14ac:dyDescent="0.25">
      <c r="B2053" s="2"/>
      <c r="C2053" s="19"/>
      <c r="D2053" s="2"/>
      <c r="E2053" s="2"/>
      <c r="F2053" s="19"/>
      <c r="G2053" s="2"/>
      <c r="H2053" s="2"/>
      <c r="I2053" s="2"/>
      <c r="J2053" s="2"/>
      <c r="L2053" s="20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  <c r="AA2053" s="20"/>
      <c r="AB2053" s="20"/>
      <c r="AC2053" s="20"/>
      <c r="AD2053" s="20"/>
      <c r="AE2053" s="20"/>
    </row>
    <row r="2054" spans="2:31" x14ac:dyDescent="0.25">
      <c r="B2054" s="2"/>
      <c r="C2054" s="19"/>
      <c r="D2054" s="2"/>
      <c r="E2054" s="2"/>
      <c r="F2054" s="19"/>
      <c r="G2054" s="2"/>
      <c r="H2054" s="2"/>
      <c r="I2054" s="2"/>
      <c r="J2054" s="2"/>
      <c r="L2054" s="20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  <c r="AA2054" s="20"/>
      <c r="AB2054" s="20"/>
      <c r="AC2054" s="20"/>
      <c r="AD2054" s="20"/>
      <c r="AE2054" s="20"/>
    </row>
    <row r="2055" spans="2:31" x14ac:dyDescent="0.25">
      <c r="B2055" s="2"/>
      <c r="C2055" s="19"/>
      <c r="D2055" s="2"/>
      <c r="E2055" s="2"/>
      <c r="F2055" s="19"/>
      <c r="G2055" s="2"/>
      <c r="H2055" s="2"/>
      <c r="I2055" s="2"/>
      <c r="J2055" s="2"/>
      <c r="L2055" s="20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  <c r="AA2055" s="20"/>
      <c r="AB2055" s="20"/>
      <c r="AC2055" s="20"/>
      <c r="AD2055" s="20"/>
      <c r="AE2055" s="20"/>
    </row>
    <row r="2056" spans="2:31" x14ac:dyDescent="0.25">
      <c r="B2056" s="2"/>
      <c r="C2056" s="19"/>
      <c r="D2056" s="2"/>
      <c r="E2056" s="2"/>
      <c r="F2056" s="19"/>
      <c r="G2056" s="2"/>
      <c r="H2056" s="2"/>
      <c r="I2056" s="2"/>
      <c r="J2056" s="2"/>
      <c r="L2056" s="20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  <c r="AA2056" s="20"/>
      <c r="AB2056" s="20"/>
      <c r="AC2056" s="20"/>
      <c r="AD2056" s="20"/>
      <c r="AE2056" s="20"/>
    </row>
    <row r="2057" spans="2:31" x14ac:dyDescent="0.25">
      <c r="B2057" s="2"/>
      <c r="C2057" s="19"/>
      <c r="D2057" s="2"/>
      <c r="E2057" s="2"/>
      <c r="F2057" s="19"/>
      <c r="G2057" s="2"/>
      <c r="H2057" s="2"/>
      <c r="I2057" s="2"/>
      <c r="J2057" s="2"/>
      <c r="L2057" s="20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  <c r="AA2057" s="20"/>
      <c r="AB2057" s="20"/>
      <c r="AC2057" s="20"/>
      <c r="AD2057" s="20"/>
      <c r="AE2057" s="20"/>
    </row>
    <row r="2058" spans="2:31" x14ac:dyDescent="0.25">
      <c r="B2058" s="2"/>
      <c r="C2058" s="19"/>
      <c r="D2058" s="2"/>
      <c r="E2058" s="2"/>
      <c r="F2058" s="19"/>
      <c r="G2058" s="2"/>
      <c r="H2058" s="2"/>
      <c r="I2058" s="2"/>
      <c r="J2058" s="2"/>
      <c r="L2058" s="20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  <c r="AA2058" s="20"/>
      <c r="AB2058" s="20"/>
      <c r="AC2058" s="20"/>
      <c r="AD2058" s="20"/>
      <c r="AE2058" s="20"/>
    </row>
    <row r="2059" spans="2:31" x14ac:dyDescent="0.25">
      <c r="B2059" s="2"/>
      <c r="C2059" s="19"/>
      <c r="D2059" s="2"/>
      <c r="E2059" s="2"/>
      <c r="F2059" s="19"/>
      <c r="G2059" s="2"/>
      <c r="H2059" s="2"/>
      <c r="I2059" s="2"/>
      <c r="J2059" s="2"/>
      <c r="L2059" s="20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  <c r="AA2059" s="20"/>
      <c r="AB2059" s="20"/>
      <c r="AC2059" s="20"/>
      <c r="AD2059" s="20"/>
      <c r="AE2059" s="20"/>
    </row>
    <row r="2060" spans="2:31" x14ac:dyDescent="0.25">
      <c r="B2060" s="2"/>
      <c r="C2060" s="19"/>
      <c r="D2060" s="2"/>
      <c r="E2060" s="2"/>
      <c r="F2060" s="19"/>
      <c r="G2060" s="2"/>
      <c r="H2060" s="2"/>
      <c r="I2060" s="2"/>
      <c r="J2060" s="2"/>
      <c r="L2060" s="20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  <c r="AA2060" s="20"/>
      <c r="AB2060" s="20"/>
      <c r="AC2060" s="20"/>
      <c r="AD2060" s="20"/>
      <c r="AE2060" s="20"/>
    </row>
    <row r="2061" spans="2:31" x14ac:dyDescent="0.25">
      <c r="B2061" s="2"/>
      <c r="C2061" s="19"/>
      <c r="D2061" s="2"/>
      <c r="E2061" s="2"/>
      <c r="F2061" s="19"/>
      <c r="G2061" s="2"/>
      <c r="H2061" s="2"/>
      <c r="I2061" s="2"/>
      <c r="J2061" s="2"/>
      <c r="L2061" s="20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  <c r="AA2061" s="20"/>
      <c r="AB2061" s="20"/>
      <c r="AC2061" s="20"/>
      <c r="AD2061" s="20"/>
      <c r="AE2061" s="20"/>
    </row>
    <row r="2062" spans="2:31" x14ac:dyDescent="0.25">
      <c r="B2062" s="2"/>
      <c r="C2062" s="19"/>
      <c r="D2062" s="2"/>
      <c r="E2062" s="2"/>
      <c r="F2062" s="19"/>
      <c r="G2062" s="2"/>
      <c r="H2062" s="2"/>
      <c r="I2062" s="2"/>
      <c r="J2062" s="2"/>
      <c r="L2062" s="20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  <c r="AA2062" s="20"/>
      <c r="AB2062" s="20"/>
      <c r="AC2062" s="20"/>
      <c r="AD2062" s="20"/>
      <c r="AE2062" s="20"/>
    </row>
    <row r="2063" spans="2:31" x14ac:dyDescent="0.25">
      <c r="B2063" s="2"/>
      <c r="C2063" s="19"/>
      <c r="D2063" s="2"/>
      <c r="E2063" s="2"/>
      <c r="F2063" s="19"/>
      <c r="G2063" s="2"/>
      <c r="H2063" s="2"/>
      <c r="I2063" s="2"/>
      <c r="J2063" s="2"/>
      <c r="L2063" s="20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  <c r="AA2063" s="20"/>
      <c r="AB2063" s="20"/>
      <c r="AC2063" s="20"/>
      <c r="AD2063" s="20"/>
      <c r="AE2063" s="20"/>
    </row>
    <row r="2064" spans="2:31" x14ac:dyDescent="0.25">
      <c r="B2064" s="2"/>
      <c r="C2064" s="19"/>
      <c r="D2064" s="2"/>
      <c r="E2064" s="2"/>
      <c r="F2064" s="19"/>
      <c r="G2064" s="2"/>
      <c r="H2064" s="2"/>
      <c r="I2064" s="2"/>
      <c r="J2064" s="2"/>
      <c r="L2064" s="20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  <c r="AA2064" s="20"/>
      <c r="AB2064" s="20"/>
      <c r="AC2064" s="20"/>
      <c r="AD2064" s="20"/>
      <c r="AE2064" s="20"/>
    </row>
    <row r="2065" spans="2:31" x14ac:dyDescent="0.25">
      <c r="B2065" s="2"/>
      <c r="C2065" s="19"/>
      <c r="D2065" s="2"/>
      <c r="E2065" s="2"/>
      <c r="F2065" s="19"/>
      <c r="G2065" s="2"/>
      <c r="H2065" s="2"/>
      <c r="I2065" s="2"/>
      <c r="J2065" s="2"/>
      <c r="L2065" s="20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  <c r="AA2065" s="20"/>
      <c r="AB2065" s="20"/>
      <c r="AC2065" s="20"/>
      <c r="AD2065" s="20"/>
      <c r="AE2065" s="20"/>
    </row>
    <row r="2066" spans="2:31" x14ac:dyDescent="0.25">
      <c r="B2066" s="2"/>
      <c r="C2066" s="19"/>
      <c r="D2066" s="2"/>
      <c r="E2066" s="2"/>
      <c r="F2066" s="19"/>
      <c r="G2066" s="2"/>
      <c r="H2066" s="2"/>
      <c r="I2066" s="2"/>
      <c r="J2066" s="2"/>
      <c r="L2066" s="20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  <c r="AA2066" s="20"/>
      <c r="AB2066" s="20"/>
      <c r="AC2066" s="20"/>
      <c r="AD2066" s="20"/>
      <c r="AE2066" s="20"/>
    </row>
    <row r="2067" spans="2:31" x14ac:dyDescent="0.25">
      <c r="B2067" s="2"/>
      <c r="C2067" s="19"/>
      <c r="D2067" s="2"/>
      <c r="E2067" s="2"/>
      <c r="F2067" s="19"/>
      <c r="G2067" s="2"/>
      <c r="H2067" s="2"/>
      <c r="I2067" s="2"/>
      <c r="J2067" s="2"/>
      <c r="L2067" s="20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  <c r="AA2067" s="20"/>
      <c r="AB2067" s="20"/>
      <c r="AC2067" s="20"/>
      <c r="AD2067" s="20"/>
      <c r="AE2067" s="20"/>
    </row>
    <row r="2068" spans="2:31" x14ac:dyDescent="0.25">
      <c r="B2068" s="2"/>
      <c r="C2068" s="19"/>
      <c r="D2068" s="2"/>
      <c r="E2068" s="2"/>
      <c r="F2068" s="19"/>
      <c r="G2068" s="2"/>
      <c r="H2068" s="2"/>
      <c r="I2068" s="2"/>
      <c r="J2068" s="2"/>
      <c r="L2068" s="20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  <c r="AA2068" s="20"/>
      <c r="AB2068" s="20"/>
      <c r="AC2068" s="20"/>
      <c r="AD2068" s="20"/>
      <c r="AE2068" s="20"/>
    </row>
    <row r="2069" spans="2:31" x14ac:dyDescent="0.25">
      <c r="B2069" s="2"/>
      <c r="C2069" s="19"/>
      <c r="D2069" s="2"/>
      <c r="E2069" s="2"/>
      <c r="F2069" s="19"/>
      <c r="G2069" s="2"/>
      <c r="H2069" s="2"/>
      <c r="I2069" s="2"/>
      <c r="J2069" s="2"/>
      <c r="L2069" s="20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  <c r="AA2069" s="20"/>
      <c r="AB2069" s="20"/>
      <c r="AC2069" s="20"/>
      <c r="AD2069" s="20"/>
      <c r="AE2069" s="20"/>
    </row>
    <row r="2070" spans="2:31" x14ac:dyDescent="0.25">
      <c r="B2070" s="2"/>
      <c r="C2070" s="19"/>
      <c r="D2070" s="2"/>
      <c r="E2070" s="2"/>
      <c r="F2070" s="19"/>
      <c r="G2070" s="2"/>
      <c r="H2070" s="2"/>
      <c r="I2070" s="2"/>
      <c r="J2070" s="2"/>
      <c r="L2070" s="20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  <c r="AA2070" s="20"/>
      <c r="AB2070" s="20"/>
      <c r="AC2070" s="20"/>
      <c r="AD2070" s="20"/>
      <c r="AE2070" s="20"/>
    </row>
    <row r="2071" spans="2:31" x14ac:dyDescent="0.25">
      <c r="B2071" s="2"/>
      <c r="C2071" s="19"/>
      <c r="D2071" s="2"/>
      <c r="E2071" s="2"/>
      <c r="F2071" s="19"/>
      <c r="G2071" s="2"/>
      <c r="H2071" s="2"/>
      <c r="I2071" s="2"/>
      <c r="J2071" s="2"/>
      <c r="L2071" s="20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  <c r="AA2071" s="20"/>
      <c r="AB2071" s="20"/>
      <c r="AC2071" s="20"/>
      <c r="AD2071" s="20"/>
      <c r="AE2071" s="20"/>
    </row>
    <row r="2072" spans="2:31" x14ac:dyDescent="0.25">
      <c r="B2072" s="2"/>
      <c r="C2072" s="19"/>
      <c r="D2072" s="2"/>
      <c r="E2072" s="2"/>
      <c r="F2072" s="19"/>
      <c r="G2072" s="2"/>
      <c r="H2072" s="2"/>
      <c r="I2072" s="2"/>
      <c r="J2072" s="2"/>
      <c r="L2072" s="20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  <c r="AA2072" s="20"/>
      <c r="AB2072" s="20"/>
      <c r="AC2072" s="20"/>
      <c r="AD2072" s="20"/>
      <c r="AE2072" s="20"/>
    </row>
    <row r="2073" spans="2:31" x14ac:dyDescent="0.25">
      <c r="B2073" s="2"/>
      <c r="C2073" s="19"/>
      <c r="D2073" s="2"/>
      <c r="E2073" s="2"/>
      <c r="F2073" s="19"/>
      <c r="G2073" s="2"/>
      <c r="H2073" s="2"/>
      <c r="I2073" s="2"/>
      <c r="J2073" s="2"/>
      <c r="L2073" s="20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  <c r="AA2073" s="20"/>
      <c r="AB2073" s="20"/>
      <c r="AC2073" s="20"/>
      <c r="AD2073" s="20"/>
      <c r="AE2073" s="20"/>
    </row>
    <row r="2074" spans="2:31" x14ac:dyDescent="0.25">
      <c r="B2074" s="2"/>
      <c r="C2074" s="19"/>
      <c r="D2074" s="2"/>
      <c r="E2074" s="2"/>
      <c r="F2074" s="19"/>
      <c r="G2074" s="2"/>
      <c r="H2074" s="2"/>
      <c r="I2074" s="2"/>
      <c r="J2074" s="2"/>
      <c r="L2074" s="20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  <c r="AA2074" s="20"/>
      <c r="AB2074" s="20"/>
      <c r="AC2074" s="20"/>
      <c r="AD2074" s="20"/>
      <c r="AE2074" s="20"/>
    </row>
    <row r="2075" spans="2:31" x14ac:dyDescent="0.25">
      <c r="B2075" s="2"/>
      <c r="C2075" s="19"/>
      <c r="D2075" s="2"/>
      <c r="E2075" s="2"/>
      <c r="F2075" s="19"/>
      <c r="G2075" s="2"/>
      <c r="H2075" s="2"/>
      <c r="I2075" s="2"/>
      <c r="J2075" s="2"/>
      <c r="L2075" s="20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  <c r="AA2075" s="20"/>
      <c r="AB2075" s="20"/>
      <c r="AC2075" s="20"/>
      <c r="AD2075" s="20"/>
      <c r="AE2075" s="20"/>
    </row>
    <row r="2076" spans="2:31" x14ac:dyDescent="0.25">
      <c r="B2076" s="2"/>
      <c r="C2076" s="19"/>
      <c r="D2076" s="2"/>
      <c r="E2076" s="2"/>
      <c r="F2076" s="19"/>
      <c r="G2076" s="2"/>
      <c r="H2076" s="2"/>
      <c r="I2076" s="2"/>
      <c r="J2076" s="2"/>
      <c r="L2076" s="20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  <c r="AA2076" s="20"/>
      <c r="AB2076" s="20"/>
      <c r="AC2076" s="20"/>
      <c r="AD2076" s="20"/>
      <c r="AE2076" s="20"/>
    </row>
    <row r="2077" spans="2:31" x14ac:dyDescent="0.25">
      <c r="B2077" s="2"/>
      <c r="C2077" s="19"/>
      <c r="D2077" s="2"/>
      <c r="E2077" s="2"/>
      <c r="F2077" s="19"/>
      <c r="G2077" s="2"/>
      <c r="H2077" s="2"/>
      <c r="I2077" s="2"/>
      <c r="J2077" s="2"/>
      <c r="L2077" s="20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  <c r="AA2077" s="20"/>
      <c r="AB2077" s="20"/>
      <c r="AC2077" s="20"/>
      <c r="AD2077" s="20"/>
      <c r="AE2077" s="20"/>
    </row>
    <row r="2078" spans="2:31" x14ac:dyDescent="0.25">
      <c r="B2078" s="2"/>
      <c r="C2078" s="19"/>
      <c r="D2078" s="2"/>
      <c r="E2078" s="2"/>
      <c r="F2078" s="19"/>
      <c r="G2078" s="2"/>
      <c r="H2078" s="2"/>
      <c r="I2078" s="2"/>
      <c r="J2078" s="2"/>
      <c r="L2078" s="20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  <c r="AA2078" s="20"/>
      <c r="AB2078" s="20"/>
      <c r="AC2078" s="20"/>
      <c r="AD2078" s="20"/>
      <c r="AE2078" s="20"/>
    </row>
    <row r="2079" spans="2:31" x14ac:dyDescent="0.25">
      <c r="B2079" s="2"/>
      <c r="C2079" s="19"/>
      <c r="D2079" s="2"/>
      <c r="E2079" s="2"/>
      <c r="F2079" s="19"/>
      <c r="G2079" s="2"/>
      <c r="H2079" s="2"/>
      <c r="I2079" s="2"/>
      <c r="J2079" s="2"/>
      <c r="L2079" s="20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  <c r="AA2079" s="20"/>
      <c r="AB2079" s="20"/>
      <c r="AC2079" s="20"/>
      <c r="AD2079" s="20"/>
      <c r="AE2079" s="20"/>
    </row>
    <row r="2080" spans="2:31" x14ac:dyDescent="0.25">
      <c r="B2080" s="2"/>
      <c r="C2080" s="19"/>
      <c r="D2080" s="2"/>
      <c r="E2080" s="2"/>
      <c r="F2080" s="19"/>
      <c r="G2080" s="2"/>
      <c r="H2080" s="2"/>
      <c r="I2080" s="2"/>
      <c r="J2080" s="2"/>
      <c r="L2080" s="20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  <c r="AA2080" s="20"/>
      <c r="AB2080" s="20"/>
      <c r="AC2080" s="20"/>
      <c r="AD2080" s="20"/>
      <c r="AE2080" s="20"/>
    </row>
    <row r="2081" spans="2:31" x14ac:dyDescent="0.25">
      <c r="B2081" s="2"/>
      <c r="C2081" s="19"/>
      <c r="D2081" s="2"/>
      <c r="E2081" s="2"/>
      <c r="F2081" s="19"/>
      <c r="G2081" s="2"/>
      <c r="H2081" s="2"/>
      <c r="I2081" s="2"/>
      <c r="J2081" s="2"/>
      <c r="L2081" s="20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  <c r="AA2081" s="20"/>
      <c r="AB2081" s="20"/>
      <c r="AC2081" s="20"/>
      <c r="AD2081" s="20"/>
      <c r="AE2081" s="20"/>
    </row>
    <row r="2082" spans="2:31" x14ac:dyDescent="0.25">
      <c r="B2082" s="2"/>
      <c r="C2082" s="19"/>
      <c r="D2082" s="2"/>
      <c r="E2082" s="2"/>
      <c r="F2082" s="19"/>
      <c r="G2082" s="2"/>
      <c r="H2082" s="2"/>
      <c r="I2082" s="2"/>
      <c r="J2082" s="2"/>
      <c r="L2082" s="20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  <c r="AA2082" s="20"/>
      <c r="AB2082" s="20"/>
      <c r="AC2082" s="20"/>
      <c r="AD2082" s="20"/>
      <c r="AE2082" s="20"/>
    </row>
    <row r="2083" spans="2:31" x14ac:dyDescent="0.25">
      <c r="B2083" s="2"/>
      <c r="C2083" s="19"/>
      <c r="D2083" s="2"/>
      <c r="E2083" s="2"/>
      <c r="F2083" s="19"/>
      <c r="G2083" s="2"/>
      <c r="H2083" s="2"/>
      <c r="I2083" s="2"/>
      <c r="J2083" s="2"/>
      <c r="L2083" s="20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  <c r="AA2083" s="20"/>
      <c r="AB2083" s="20"/>
      <c r="AC2083" s="20"/>
      <c r="AD2083" s="20"/>
      <c r="AE2083" s="20"/>
    </row>
    <row r="2084" spans="2:31" x14ac:dyDescent="0.25">
      <c r="B2084" s="2"/>
      <c r="C2084" s="19"/>
      <c r="D2084" s="2"/>
      <c r="E2084" s="2"/>
      <c r="F2084" s="19"/>
      <c r="G2084" s="2"/>
      <c r="H2084" s="2"/>
      <c r="I2084" s="2"/>
      <c r="J2084" s="2"/>
      <c r="L2084" s="20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  <c r="AA2084" s="20"/>
      <c r="AB2084" s="20"/>
      <c r="AC2084" s="20"/>
      <c r="AD2084" s="20"/>
      <c r="AE2084" s="20"/>
    </row>
    <row r="2085" spans="2:31" x14ac:dyDescent="0.25">
      <c r="B2085" s="2"/>
      <c r="C2085" s="19"/>
      <c r="D2085" s="2"/>
      <c r="E2085" s="2"/>
      <c r="F2085" s="19"/>
      <c r="G2085" s="2"/>
      <c r="H2085" s="2"/>
      <c r="I2085" s="2"/>
      <c r="J2085" s="2"/>
      <c r="L2085" s="20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  <c r="AA2085" s="20"/>
      <c r="AB2085" s="20"/>
      <c r="AC2085" s="20"/>
      <c r="AD2085" s="20"/>
      <c r="AE2085" s="20"/>
    </row>
    <row r="2086" spans="2:31" x14ac:dyDescent="0.25">
      <c r="B2086" s="2"/>
      <c r="C2086" s="19"/>
      <c r="D2086" s="2"/>
      <c r="E2086" s="2"/>
      <c r="F2086" s="19"/>
      <c r="G2086" s="2"/>
      <c r="H2086" s="2"/>
      <c r="I2086" s="2"/>
      <c r="J2086" s="2"/>
      <c r="L2086" s="20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  <c r="AA2086" s="20"/>
      <c r="AB2086" s="20"/>
      <c r="AC2086" s="20"/>
      <c r="AD2086" s="20"/>
      <c r="AE2086" s="20"/>
    </row>
    <row r="2087" spans="2:31" x14ac:dyDescent="0.25">
      <c r="B2087" s="2"/>
      <c r="C2087" s="19"/>
      <c r="D2087" s="2"/>
      <c r="E2087" s="2"/>
      <c r="F2087" s="19"/>
      <c r="G2087" s="2"/>
      <c r="H2087" s="2"/>
      <c r="I2087" s="2"/>
      <c r="J2087" s="2"/>
      <c r="L2087" s="20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  <c r="AA2087" s="20"/>
      <c r="AB2087" s="20"/>
      <c r="AC2087" s="20"/>
      <c r="AD2087" s="20"/>
      <c r="AE2087" s="20"/>
    </row>
    <row r="2088" spans="2:31" x14ac:dyDescent="0.25">
      <c r="B2088" s="2"/>
      <c r="C2088" s="19"/>
      <c r="D2088" s="2"/>
      <c r="E2088" s="2"/>
      <c r="F2088" s="19"/>
      <c r="G2088" s="2"/>
      <c r="H2088" s="2"/>
      <c r="I2088" s="2"/>
      <c r="J2088" s="2"/>
      <c r="L2088" s="20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  <c r="AA2088" s="20"/>
      <c r="AB2088" s="20"/>
      <c r="AC2088" s="20"/>
      <c r="AD2088" s="20"/>
      <c r="AE2088" s="20"/>
    </row>
    <row r="2089" spans="2:31" x14ac:dyDescent="0.25">
      <c r="B2089" s="2"/>
      <c r="C2089" s="19"/>
      <c r="D2089" s="2"/>
      <c r="E2089" s="2"/>
      <c r="F2089" s="19"/>
      <c r="G2089" s="2"/>
      <c r="H2089" s="2"/>
      <c r="I2089" s="2"/>
      <c r="J2089" s="2"/>
      <c r="L2089" s="20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  <c r="AA2089" s="20"/>
      <c r="AB2089" s="20"/>
      <c r="AC2089" s="20"/>
      <c r="AD2089" s="20"/>
      <c r="AE2089" s="20"/>
    </row>
    <row r="2090" spans="2:31" x14ac:dyDescent="0.25">
      <c r="B2090" s="2"/>
      <c r="C2090" s="19"/>
      <c r="D2090" s="2"/>
      <c r="E2090" s="2"/>
      <c r="F2090" s="19"/>
      <c r="G2090" s="2"/>
      <c r="H2090" s="2"/>
      <c r="I2090" s="2"/>
      <c r="J2090" s="2"/>
      <c r="L2090" s="20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  <c r="AA2090" s="20"/>
      <c r="AB2090" s="20"/>
      <c r="AC2090" s="20"/>
      <c r="AD2090" s="20"/>
      <c r="AE2090" s="20"/>
    </row>
    <row r="2091" spans="2:31" x14ac:dyDescent="0.25">
      <c r="B2091" s="2"/>
      <c r="C2091" s="19"/>
      <c r="D2091" s="2"/>
      <c r="E2091" s="2"/>
      <c r="F2091" s="19"/>
      <c r="G2091" s="2"/>
      <c r="H2091" s="2"/>
      <c r="I2091" s="2"/>
      <c r="J2091" s="2"/>
      <c r="L2091" s="20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  <c r="AA2091" s="20"/>
      <c r="AB2091" s="20"/>
      <c r="AC2091" s="20"/>
      <c r="AD2091" s="20"/>
      <c r="AE2091" s="20"/>
    </row>
    <row r="2092" spans="2:31" x14ac:dyDescent="0.25">
      <c r="B2092" s="2"/>
      <c r="C2092" s="19"/>
      <c r="D2092" s="2"/>
      <c r="E2092" s="2"/>
      <c r="F2092" s="19"/>
      <c r="G2092" s="2"/>
      <c r="H2092" s="2"/>
      <c r="I2092" s="2"/>
      <c r="J2092" s="2"/>
      <c r="L2092" s="20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  <c r="AA2092" s="20"/>
      <c r="AB2092" s="20"/>
      <c r="AC2092" s="20"/>
      <c r="AD2092" s="20"/>
      <c r="AE2092" s="20"/>
    </row>
    <row r="2093" spans="2:31" x14ac:dyDescent="0.25">
      <c r="B2093" s="2"/>
      <c r="C2093" s="19"/>
      <c r="D2093" s="2"/>
      <c r="E2093" s="2"/>
      <c r="F2093" s="19"/>
      <c r="G2093" s="2"/>
      <c r="H2093" s="2"/>
      <c r="I2093" s="2"/>
      <c r="J2093" s="2"/>
      <c r="L2093" s="20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  <c r="AA2093" s="20"/>
      <c r="AB2093" s="20"/>
      <c r="AC2093" s="20"/>
      <c r="AD2093" s="20"/>
      <c r="AE2093" s="20"/>
    </row>
    <row r="2094" spans="2:31" x14ac:dyDescent="0.25">
      <c r="B2094" s="2"/>
      <c r="C2094" s="19"/>
      <c r="D2094" s="2"/>
      <c r="E2094" s="2"/>
      <c r="F2094" s="19"/>
      <c r="G2094" s="2"/>
      <c r="H2094" s="2"/>
      <c r="I2094" s="2"/>
      <c r="J2094" s="2"/>
      <c r="L2094" s="20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  <c r="AA2094" s="20"/>
      <c r="AB2094" s="20"/>
      <c r="AC2094" s="20"/>
      <c r="AD2094" s="20"/>
      <c r="AE2094" s="20"/>
    </row>
    <row r="2095" spans="2:31" x14ac:dyDescent="0.25">
      <c r="B2095" s="2"/>
      <c r="C2095" s="19"/>
      <c r="D2095" s="2"/>
      <c r="E2095" s="2"/>
      <c r="F2095" s="19"/>
      <c r="G2095" s="2"/>
      <c r="H2095" s="2"/>
      <c r="I2095" s="2"/>
      <c r="J2095" s="2"/>
      <c r="L2095" s="20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  <c r="AA2095" s="20"/>
      <c r="AB2095" s="20"/>
      <c r="AC2095" s="20"/>
      <c r="AD2095" s="20"/>
      <c r="AE2095" s="20"/>
    </row>
    <row r="2096" spans="2:31" x14ac:dyDescent="0.25">
      <c r="B2096" s="2"/>
      <c r="C2096" s="19"/>
      <c r="D2096" s="2"/>
      <c r="E2096" s="2"/>
      <c r="F2096" s="19"/>
      <c r="G2096" s="2"/>
      <c r="H2096" s="2"/>
      <c r="I2096" s="2"/>
      <c r="J2096" s="2"/>
      <c r="L2096" s="20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  <c r="AA2096" s="20"/>
      <c r="AB2096" s="20"/>
      <c r="AC2096" s="20"/>
      <c r="AD2096" s="20"/>
      <c r="AE2096" s="20"/>
    </row>
    <row r="2097" spans="2:31" x14ac:dyDescent="0.25">
      <c r="B2097" s="2"/>
      <c r="C2097" s="19"/>
      <c r="D2097" s="2"/>
      <c r="E2097" s="2"/>
      <c r="F2097" s="19"/>
      <c r="G2097" s="2"/>
      <c r="H2097" s="2"/>
      <c r="I2097" s="2"/>
      <c r="J2097" s="2"/>
      <c r="L2097" s="20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  <c r="AA2097" s="20"/>
      <c r="AB2097" s="20"/>
      <c r="AC2097" s="20"/>
      <c r="AD2097" s="20"/>
      <c r="AE2097" s="20"/>
    </row>
    <row r="2098" spans="2:31" x14ac:dyDescent="0.25">
      <c r="B2098" s="2"/>
      <c r="C2098" s="19"/>
      <c r="D2098" s="2"/>
      <c r="E2098" s="2"/>
      <c r="F2098" s="19"/>
      <c r="G2098" s="2"/>
      <c r="H2098" s="2"/>
      <c r="I2098" s="2"/>
      <c r="J2098" s="2"/>
      <c r="L2098" s="20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  <c r="AA2098" s="20"/>
      <c r="AB2098" s="20"/>
      <c r="AC2098" s="20"/>
      <c r="AD2098" s="20"/>
      <c r="AE2098" s="20"/>
    </row>
    <row r="2099" spans="2:31" x14ac:dyDescent="0.25">
      <c r="B2099" s="2"/>
      <c r="C2099" s="19"/>
      <c r="D2099" s="2"/>
      <c r="E2099" s="2"/>
      <c r="F2099" s="19"/>
      <c r="G2099" s="2"/>
      <c r="H2099" s="2"/>
      <c r="I2099" s="2"/>
      <c r="J2099" s="2"/>
      <c r="L2099" s="20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  <c r="AA2099" s="20"/>
      <c r="AB2099" s="20"/>
      <c r="AC2099" s="20"/>
      <c r="AD2099" s="20"/>
      <c r="AE2099" s="20"/>
    </row>
    <row r="2100" spans="2:31" x14ac:dyDescent="0.25">
      <c r="B2100" s="2"/>
      <c r="C2100" s="19"/>
      <c r="D2100" s="2"/>
      <c r="E2100" s="2"/>
      <c r="F2100" s="19"/>
      <c r="G2100" s="2"/>
      <c r="H2100" s="2"/>
      <c r="I2100" s="2"/>
      <c r="J2100" s="2"/>
      <c r="L2100" s="20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  <c r="AA2100" s="20"/>
      <c r="AB2100" s="20"/>
      <c r="AC2100" s="20"/>
      <c r="AD2100" s="20"/>
      <c r="AE2100" s="20"/>
    </row>
    <row r="2101" spans="2:31" x14ac:dyDescent="0.25">
      <c r="B2101" s="2"/>
      <c r="C2101" s="19"/>
      <c r="D2101" s="2"/>
      <c r="E2101" s="2"/>
      <c r="F2101" s="19"/>
      <c r="G2101" s="2"/>
      <c r="H2101" s="2"/>
      <c r="I2101" s="2"/>
      <c r="J2101" s="2"/>
      <c r="L2101" s="20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  <c r="AA2101" s="20"/>
      <c r="AB2101" s="20"/>
      <c r="AC2101" s="20"/>
      <c r="AD2101" s="20"/>
      <c r="AE2101" s="20"/>
    </row>
    <row r="2102" spans="2:31" x14ac:dyDescent="0.25">
      <c r="B2102" s="2"/>
      <c r="C2102" s="19"/>
      <c r="D2102" s="2"/>
      <c r="E2102" s="2"/>
      <c r="F2102" s="19"/>
      <c r="G2102" s="2"/>
      <c r="H2102" s="2"/>
      <c r="I2102" s="2"/>
      <c r="J2102" s="2"/>
      <c r="L2102" s="20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  <c r="AA2102" s="20"/>
      <c r="AB2102" s="20"/>
      <c r="AC2102" s="20"/>
      <c r="AD2102" s="20"/>
      <c r="AE2102" s="20"/>
    </row>
    <row r="2103" spans="2:31" x14ac:dyDescent="0.25">
      <c r="B2103" s="2"/>
      <c r="C2103" s="19"/>
      <c r="D2103" s="2"/>
      <c r="E2103" s="2"/>
      <c r="F2103" s="19"/>
      <c r="G2103" s="2"/>
      <c r="H2103" s="2"/>
      <c r="I2103" s="2"/>
      <c r="J2103" s="2"/>
      <c r="L2103" s="20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  <c r="AA2103" s="20"/>
      <c r="AB2103" s="20"/>
      <c r="AC2103" s="20"/>
      <c r="AD2103" s="20"/>
      <c r="AE2103" s="20"/>
    </row>
    <row r="2104" spans="2:31" x14ac:dyDescent="0.25">
      <c r="B2104" s="2"/>
      <c r="C2104" s="19"/>
      <c r="D2104" s="2"/>
      <c r="E2104" s="2"/>
      <c r="F2104" s="19"/>
      <c r="G2104" s="2"/>
      <c r="H2104" s="2"/>
      <c r="I2104" s="2"/>
      <c r="J2104" s="2"/>
      <c r="L2104" s="20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  <c r="AA2104" s="20"/>
      <c r="AB2104" s="20"/>
      <c r="AC2104" s="20"/>
      <c r="AD2104" s="20"/>
      <c r="AE2104" s="20"/>
    </row>
    <row r="2105" spans="2:31" x14ac:dyDescent="0.25">
      <c r="B2105" s="2"/>
      <c r="C2105" s="19"/>
      <c r="D2105" s="2"/>
      <c r="E2105" s="2"/>
      <c r="F2105" s="19"/>
      <c r="G2105" s="2"/>
      <c r="H2105" s="2"/>
      <c r="I2105" s="2"/>
      <c r="J2105" s="2"/>
      <c r="L2105" s="20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  <c r="AA2105" s="20"/>
      <c r="AB2105" s="20"/>
      <c r="AC2105" s="20"/>
      <c r="AD2105" s="20"/>
      <c r="AE2105" s="20"/>
    </row>
    <row r="2106" spans="2:31" x14ac:dyDescent="0.25">
      <c r="B2106" s="2"/>
      <c r="C2106" s="19"/>
      <c r="D2106" s="2"/>
      <c r="E2106" s="2"/>
      <c r="F2106" s="19"/>
      <c r="G2106" s="2"/>
      <c r="H2106" s="2"/>
      <c r="I2106" s="2"/>
      <c r="J2106" s="2"/>
      <c r="L2106" s="20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  <c r="AA2106" s="20"/>
      <c r="AB2106" s="20"/>
      <c r="AC2106" s="20"/>
      <c r="AD2106" s="20"/>
      <c r="AE2106" s="20"/>
    </row>
    <row r="2107" spans="2:31" x14ac:dyDescent="0.25">
      <c r="B2107" s="2"/>
      <c r="C2107" s="19"/>
      <c r="D2107" s="2"/>
      <c r="E2107" s="2"/>
      <c r="F2107" s="19"/>
      <c r="G2107" s="2"/>
      <c r="H2107" s="2"/>
      <c r="I2107" s="2"/>
      <c r="J2107" s="2"/>
      <c r="L2107" s="20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  <c r="AA2107" s="20"/>
      <c r="AB2107" s="20"/>
      <c r="AC2107" s="20"/>
      <c r="AD2107" s="20"/>
      <c r="AE2107" s="20"/>
    </row>
    <row r="2108" spans="2:31" x14ac:dyDescent="0.25">
      <c r="B2108" s="2"/>
      <c r="C2108" s="19"/>
      <c r="D2108" s="2"/>
      <c r="E2108" s="2"/>
      <c r="F2108" s="19"/>
      <c r="G2108" s="2"/>
      <c r="H2108" s="2"/>
      <c r="I2108" s="2"/>
      <c r="J2108" s="2"/>
      <c r="L2108" s="20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  <c r="AA2108" s="20"/>
      <c r="AB2108" s="20"/>
      <c r="AC2108" s="20"/>
      <c r="AD2108" s="20"/>
      <c r="AE2108" s="20"/>
    </row>
    <row r="2109" spans="2:31" x14ac:dyDescent="0.25">
      <c r="B2109" s="2"/>
      <c r="C2109" s="19"/>
      <c r="D2109" s="2"/>
      <c r="E2109" s="2"/>
      <c r="F2109" s="19"/>
      <c r="G2109" s="2"/>
      <c r="H2109" s="2"/>
      <c r="I2109" s="2"/>
      <c r="J2109" s="2"/>
      <c r="L2109" s="20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  <c r="AA2109" s="20"/>
      <c r="AB2109" s="20"/>
      <c r="AC2109" s="20"/>
      <c r="AD2109" s="20"/>
      <c r="AE2109" s="20"/>
    </row>
    <row r="2110" spans="2:31" x14ac:dyDescent="0.25">
      <c r="B2110" s="2"/>
      <c r="C2110" s="19"/>
      <c r="D2110" s="2"/>
      <c r="E2110" s="2"/>
      <c r="F2110" s="19"/>
      <c r="G2110" s="2"/>
      <c r="H2110" s="2"/>
      <c r="I2110" s="2"/>
      <c r="J2110" s="2"/>
      <c r="L2110" s="20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  <c r="AA2110" s="20"/>
      <c r="AB2110" s="20"/>
      <c r="AC2110" s="20"/>
      <c r="AD2110" s="20"/>
      <c r="AE2110" s="20"/>
    </row>
    <row r="2111" spans="2:31" x14ac:dyDescent="0.25">
      <c r="B2111" s="2"/>
      <c r="C2111" s="19"/>
      <c r="D2111" s="2"/>
      <c r="E2111" s="2"/>
      <c r="F2111" s="19"/>
      <c r="G2111" s="2"/>
      <c r="H2111" s="2"/>
      <c r="I2111" s="2"/>
      <c r="J2111" s="2"/>
      <c r="L2111" s="20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  <c r="AA2111" s="20"/>
      <c r="AB2111" s="20"/>
      <c r="AC2111" s="20"/>
      <c r="AD2111" s="20"/>
      <c r="AE2111" s="20"/>
    </row>
    <row r="2112" spans="2:31" x14ac:dyDescent="0.25">
      <c r="B2112" s="2"/>
      <c r="C2112" s="19"/>
      <c r="D2112" s="2"/>
      <c r="E2112" s="2"/>
      <c r="F2112" s="19"/>
      <c r="G2112" s="2"/>
      <c r="H2112" s="2"/>
      <c r="I2112" s="2"/>
      <c r="J2112" s="2"/>
      <c r="L2112" s="20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  <c r="AA2112" s="20"/>
      <c r="AB2112" s="20"/>
      <c r="AC2112" s="20"/>
      <c r="AD2112" s="20"/>
      <c r="AE2112" s="20"/>
    </row>
    <row r="2113" spans="2:31" x14ac:dyDescent="0.25">
      <c r="B2113" s="2"/>
      <c r="C2113" s="19"/>
      <c r="D2113" s="2"/>
      <c r="E2113" s="2"/>
      <c r="F2113" s="19"/>
      <c r="G2113" s="2"/>
      <c r="H2113" s="2"/>
      <c r="I2113" s="2"/>
      <c r="J2113" s="2"/>
      <c r="L2113" s="20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  <c r="AA2113" s="20"/>
      <c r="AB2113" s="20"/>
      <c r="AC2113" s="20"/>
      <c r="AD2113" s="20"/>
      <c r="AE2113" s="20"/>
    </row>
    <row r="2114" spans="2:31" x14ac:dyDescent="0.25">
      <c r="B2114" s="2"/>
      <c r="C2114" s="19"/>
      <c r="D2114" s="2"/>
      <c r="E2114" s="2"/>
      <c r="F2114" s="19"/>
      <c r="G2114" s="2"/>
      <c r="H2114" s="2"/>
      <c r="I2114" s="2"/>
      <c r="J2114" s="2"/>
      <c r="L2114" s="20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  <c r="AA2114" s="20"/>
      <c r="AB2114" s="20"/>
      <c r="AC2114" s="20"/>
      <c r="AD2114" s="20"/>
      <c r="AE2114" s="20"/>
    </row>
    <row r="2115" spans="2:31" x14ac:dyDescent="0.25">
      <c r="B2115" s="2"/>
      <c r="C2115" s="19"/>
      <c r="D2115" s="2"/>
      <c r="E2115" s="2"/>
      <c r="F2115" s="19"/>
      <c r="G2115" s="2"/>
      <c r="H2115" s="2"/>
      <c r="I2115" s="2"/>
      <c r="J2115" s="2"/>
      <c r="L2115" s="20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  <c r="AA2115" s="20"/>
      <c r="AB2115" s="20"/>
      <c r="AC2115" s="20"/>
      <c r="AD2115" s="20"/>
      <c r="AE2115" s="20"/>
    </row>
    <row r="2116" spans="2:31" x14ac:dyDescent="0.25">
      <c r="B2116" s="2"/>
      <c r="C2116" s="19"/>
      <c r="D2116" s="2"/>
      <c r="E2116" s="2"/>
      <c r="F2116" s="19"/>
      <c r="G2116" s="2"/>
      <c r="H2116" s="2"/>
      <c r="I2116" s="2"/>
      <c r="J2116" s="2"/>
      <c r="L2116" s="20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  <c r="AA2116" s="20"/>
      <c r="AB2116" s="20"/>
      <c r="AC2116" s="20"/>
      <c r="AD2116" s="20"/>
      <c r="AE2116" s="20"/>
    </row>
    <row r="2117" spans="2:31" x14ac:dyDescent="0.25">
      <c r="B2117" s="2"/>
      <c r="C2117" s="19"/>
      <c r="D2117" s="2"/>
      <c r="E2117" s="2"/>
      <c r="F2117" s="19"/>
      <c r="G2117" s="2"/>
      <c r="H2117" s="2"/>
      <c r="I2117" s="2"/>
      <c r="J2117" s="2"/>
      <c r="L2117" s="20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  <c r="AA2117" s="20"/>
      <c r="AB2117" s="20"/>
      <c r="AC2117" s="20"/>
      <c r="AD2117" s="20"/>
      <c r="AE2117" s="20"/>
    </row>
    <row r="2118" spans="2:31" x14ac:dyDescent="0.25">
      <c r="B2118" s="2"/>
      <c r="C2118" s="19"/>
      <c r="D2118" s="2"/>
      <c r="E2118" s="2"/>
      <c r="F2118" s="19"/>
      <c r="G2118" s="2"/>
      <c r="H2118" s="2"/>
      <c r="I2118" s="2"/>
      <c r="J2118" s="2"/>
      <c r="L2118" s="20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  <c r="AA2118" s="20"/>
      <c r="AB2118" s="20"/>
      <c r="AC2118" s="20"/>
      <c r="AD2118" s="20"/>
      <c r="AE2118" s="20"/>
    </row>
    <row r="2119" spans="2:31" x14ac:dyDescent="0.25">
      <c r="B2119" s="2"/>
      <c r="C2119" s="19"/>
      <c r="D2119" s="2"/>
      <c r="E2119" s="2"/>
      <c r="F2119" s="19"/>
      <c r="G2119" s="2"/>
      <c r="H2119" s="2"/>
      <c r="I2119" s="2"/>
      <c r="J2119" s="2"/>
      <c r="L2119" s="20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  <c r="AA2119" s="20"/>
      <c r="AB2119" s="20"/>
      <c r="AC2119" s="20"/>
      <c r="AD2119" s="20"/>
      <c r="AE2119" s="20"/>
    </row>
    <row r="2120" spans="2:31" x14ac:dyDescent="0.25">
      <c r="B2120" s="2"/>
      <c r="C2120" s="19"/>
      <c r="D2120" s="2"/>
      <c r="E2120" s="2"/>
      <c r="F2120" s="19"/>
      <c r="G2120" s="2"/>
      <c r="H2120" s="2"/>
      <c r="I2120" s="2"/>
      <c r="J2120" s="2"/>
      <c r="L2120" s="20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  <c r="AA2120" s="20"/>
      <c r="AB2120" s="20"/>
      <c r="AC2120" s="20"/>
      <c r="AD2120" s="20"/>
      <c r="AE2120" s="20"/>
    </row>
    <row r="2121" spans="2:31" x14ac:dyDescent="0.25">
      <c r="B2121" s="2"/>
      <c r="C2121" s="19"/>
      <c r="D2121" s="2"/>
      <c r="E2121" s="2"/>
      <c r="F2121" s="19"/>
      <c r="G2121" s="2"/>
      <c r="H2121" s="2"/>
      <c r="I2121" s="2"/>
      <c r="J2121" s="2"/>
      <c r="L2121" s="20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  <c r="AA2121" s="20"/>
      <c r="AB2121" s="20"/>
      <c r="AC2121" s="20"/>
      <c r="AD2121" s="20"/>
      <c r="AE2121" s="20"/>
    </row>
    <row r="2122" spans="2:31" x14ac:dyDescent="0.25">
      <c r="B2122" s="2"/>
      <c r="C2122" s="19"/>
      <c r="D2122" s="2"/>
      <c r="E2122" s="2"/>
      <c r="F2122" s="19"/>
      <c r="G2122" s="2"/>
      <c r="H2122" s="2"/>
      <c r="I2122" s="2"/>
      <c r="J2122" s="2"/>
      <c r="L2122" s="20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  <c r="AA2122" s="20"/>
      <c r="AB2122" s="20"/>
      <c r="AC2122" s="20"/>
      <c r="AD2122" s="20"/>
      <c r="AE2122" s="20"/>
    </row>
    <row r="2123" spans="2:31" x14ac:dyDescent="0.25">
      <c r="B2123" s="2"/>
      <c r="C2123" s="19"/>
      <c r="D2123" s="2"/>
      <c r="E2123" s="2"/>
      <c r="F2123" s="19"/>
      <c r="G2123" s="2"/>
      <c r="H2123" s="2"/>
      <c r="I2123" s="2"/>
      <c r="J2123" s="2"/>
      <c r="L2123" s="20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  <c r="AA2123" s="20"/>
      <c r="AB2123" s="20"/>
      <c r="AC2123" s="20"/>
      <c r="AD2123" s="20"/>
      <c r="AE2123" s="20"/>
    </row>
    <row r="2124" spans="2:31" x14ac:dyDescent="0.25">
      <c r="B2124" s="2"/>
      <c r="C2124" s="19"/>
      <c r="D2124" s="2"/>
      <c r="E2124" s="2"/>
      <c r="F2124" s="19"/>
      <c r="G2124" s="2"/>
      <c r="H2124" s="2"/>
      <c r="I2124" s="2"/>
      <c r="J2124" s="2"/>
      <c r="L2124" s="20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  <c r="AA2124" s="20"/>
      <c r="AB2124" s="20"/>
      <c r="AC2124" s="20"/>
      <c r="AD2124" s="20"/>
      <c r="AE2124" s="20"/>
    </row>
    <row r="2125" spans="2:31" x14ac:dyDescent="0.25">
      <c r="B2125" s="2"/>
      <c r="C2125" s="19"/>
      <c r="D2125" s="2"/>
      <c r="E2125" s="2"/>
      <c r="F2125" s="19"/>
      <c r="G2125" s="2"/>
      <c r="H2125" s="2"/>
      <c r="I2125" s="2"/>
      <c r="J2125" s="2"/>
      <c r="L2125" s="20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  <c r="AA2125" s="20"/>
      <c r="AB2125" s="20"/>
      <c r="AC2125" s="20"/>
      <c r="AD2125" s="20"/>
      <c r="AE2125" s="20"/>
    </row>
    <row r="2126" spans="2:31" x14ac:dyDescent="0.25">
      <c r="B2126" s="2"/>
      <c r="C2126" s="19"/>
      <c r="D2126" s="2"/>
      <c r="E2126" s="2"/>
      <c r="F2126" s="19"/>
      <c r="G2126" s="2"/>
      <c r="H2126" s="2"/>
      <c r="I2126" s="2"/>
      <c r="J2126" s="2"/>
      <c r="L2126" s="20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  <c r="AA2126" s="20"/>
      <c r="AB2126" s="20"/>
      <c r="AC2126" s="20"/>
      <c r="AD2126" s="20"/>
      <c r="AE2126" s="20"/>
    </row>
    <row r="2127" spans="2:31" x14ac:dyDescent="0.25">
      <c r="B2127" s="2"/>
      <c r="C2127" s="19"/>
      <c r="D2127" s="2"/>
      <c r="E2127" s="2"/>
      <c r="F2127" s="19"/>
      <c r="G2127" s="2"/>
      <c r="H2127" s="2"/>
      <c r="I2127" s="2"/>
      <c r="J2127" s="2"/>
      <c r="L2127" s="20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  <c r="AA2127" s="20"/>
      <c r="AB2127" s="20"/>
      <c r="AC2127" s="20"/>
      <c r="AD2127" s="20"/>
      <c r="AE2127" s="20"/>
    </row>
    <row r="2128" spans="2:31" x14ac:dyDescent="0.25">
      <c r="B2128" s="2"/>
      <c r="C2128" s="19"/>
      <c r="D2128" s="2"/>
      <c r="E2128" s="2"/>
      <c r="F2128" s="19"/>
      <c r="G2128" s="2"/>
      <c r="H2128" s="2"/>
      <c r="I2128" s="2"/>
      <c r="J2128" s="2"/>
      <c r="L2128" s="20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  <c r="AA2128" s="20"/>
      <c r="AB2128" s="20"/>
      <c r="AC2128" s="20"/>
      <c r="AD2128" s="20"/>
      <c r="AE2128" s="20"/>
    </row>
    <row r="2129" spans="2:31" x14ac:dyDescent="0.25">
      <c r="B2129" s="2"/>
      <c r="C2129" s="19"/>
      <c r="D2129" s="2"/>
      <c r="E2129" s="2"/>
      <c r="F2129" s="19"/>
      <c r="G2129" s="2"/>
      <c r="H2129" s="2"/>
      <c r="I2129" s="2"/>
      <c r="J2129" s="2"/>
      <c r="L2129" s="20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  <c r="AA2129" s="20"/>
      <c r="AB2129" s="20"/>
      <c r="AC2129" s="20"/>
      <c r="AD2129" s="20"/>
      <c r="AE2129" s="20"/>
    </row>
    <row r="2130" spans="2:31" x14ac:dyDescent="0.25">
      <c r="B2130" s="2"/>
      <c r="C2130" s="19"/>
      <c r="D2130" s="2"/>
      <c r="E2130" s="2"/>
      <c r="F2130" s="19"/>
      <c r="G2130" s="2"/>
      <c r="H2130" s="2"/>
      <c r="I2130" s="2"/>
      <c r="J2130" s="2"/>
      <c r="L2130" s="20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  <c r="AA2130" s="20"/>
      <c r="AB2130" s="20"/>
      <c r="AC2130" s="20"/>
      <c r="AD2130" s="20"/>
      <c r="AE2130" s="20"/>
    </row>
    <row r="2131" spans="2:31" x14ac:dyDescent="0.25">
      <c r="B2131" s="2"/>
      <c r="C2131" s="19"/>
      <c r="D2131" s="2"/>
      <c r="E2131" s="2"/>
      <c r="F2131" s="19"/>
      <c r="G2131" s="2"/>
      <c r="H2131" s="2"/>
      <c r="I2131" s="2"/>
      <c r="J2131" s="2"/>
      <c r="L2131" s="20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  <c r="AA2131" s="20"/>
      <c r="AB2131" s="20"/>
      <c r="AC2131" s="20"/>
      <c r="AD2131" s="20"/>
      <c r="AE2131" s="20"/>
    </row>
    <row r="2132" spans="2:31" x14ac:dyDescent="0.25">
      <c r="B2132" s="2"/>
      <c r="C2132" s="19"/>
      <c r="D2132" s="2"/>
      <c r="E2132" s="2"/>
      <c r="F2132" s="19"/>
      <c r="G2132" s="2"/>
      <c r="H2132" s="2"/>
      <c r="I2132" s="2"/>
      <c r="J2132" s="2"/>
      <c r="L2132" s="20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  <c r="AA2132" s="20"/>
      <c r="AB2132" s="20"/>
      <c r="AC2132" s="20"/>
      <c r="AD2132" s="20"/>
      <c r="AE2132" s="20"/>
    </row>
    <row r="2133" spans="2:31" x14ac:dyDescent="0.25">
      <c r="B2133" s="2"/>
      <c r="C2133" s="19"/>
      <c r="D2133" s="2"/>
      <c r="E2133" s="2"/>
      <c r="F2133" s="19"/>
      <c r="G2133" s="2"/>
      <c r="H2133" s="2"/>
      <c r="I2133" s="2"/>
      <c r="J2133" s="2"/>
      <c r="L2133" s="20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  <c r="AA2133" s="20"/>
      <c r="AB2133" s="20"/>
      <c r="AC2133" s="20"/>
      <c r="AD2133" s="20"/>
      <c r="AE2133" s="20"/>
    </row>
    <row r="2134" spans="2:31" x14ac:dyDescent="0.25">
      <c r="B2134" s="2"/>
      <c r="C2134" s="19"/>
      <c r="D2134" s="2"/>
      <c r="E2134" s="2"/>
      <c r="F2134" s="19"/>
      <c r="G2134" s="2"/>
      <c r="H2134" s="2"/>
      <c r="I2134" s="2"/>
      <c r="J2134" s="2"/>
      <c r="L2134" s="20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  <c r="AA2134" s="20"/>
      <c r="AB2134" s="20"/>
      <c r="AC2134" s="20"/>
      <c r="AD2134" s="20"/>
      <c r="AE2134" s="20"/>
    </row>
    <row r="2135" spans="2:31" x14ac:dyDescent="0.25">
      <c r="B2135" s="2"/>
      <c r="C2135" s="19"/>
      <c r="D2135" s="2"/>
      <c r="E2135" s="2"/>
      <c r="F2135" s="19"/>
      <c r="G2135" s="2"/>
      <c r="H2135" s="2"/>
      <c r="I2135" s="2"/>
      <c r="J2135" s="2"/>
      <c r="L2135" s="20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  <c r="AA2135" s="20"/>
      <c r="AB2135" s="20"/>
      <c r="AC2135" s="20"/>
      <c r="AD2135" s="20"/>
      <c r="AE2135" s="20"/>
    </row>
    <row r="2136" spans="2:31" x14ac:dyDescent="0.25">
      <c r="B2136" s="2"/>
      <c r="C2136" s="19"/>
      <c r="D2136" s="2"/>
      <c r="E2136" s="2"/>
      <c r="F2136" s="19"/>
      <c r="G2136" s="2"/>
      <c r="H2136" s="2"/>
      <c r="I2136" s="2"/>
      <c r="J2136" s="2"/>
      <c r="L2136" s="20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  <c r="AA2136" s="20"/>
      <c r="AB2136" s="20"/>
      <c r="AC2136" s="20"/>
      <c r="AD2136" s="20"/>
      <c r="AE2136" s="20"/>
    </row>
    <row r="2137" spans="2:31" x14ac:dyDescent="0.25">
      <c r="B2137" s="2"/>
      <c r="C2137" s="19"/>
      <c r="D2137" s="2"/>
      <c r="E2137" s="2"/>
      <c r="F2137" s="19"/>
      <c r="G2137" s="2"/>
      <c r="H2137" s="2"/>
      <c r="I2137" s="2"/>
      <c r="J2137" s="2"/>
      <c r="L2137" s="20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  <c r="AA2137" s="20"/>
      <c r="AB2137" s="20"/>
      <c r="AC2137" s="20"/>
      <c r="AD2137" s="20"/>
      <c r="AE2137" s="20"/>
    </row>
    <row r="2138" spans="2:31" x14ac:dyDescent="0.25">
      <c r="B2138" s="2"/>
      <c r="C2138" s="19"/>
      <c r="D2138" s="2"/>
      <c r="E2138" s="2"/>
      <c r="F2138" s="19"/>
      <c r="G2138" s="2"/>
      <c r="H2138" s="2"/>
      <c r="I2138" s="2"/>
      <c r="J2138" s="2"/>
      <c r="L2138" s="20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  <c r="AA2138" s="20"/>
      <c r="AB2138" s="20"/>
      <c r="AC2138" s="20"/>
      <c r="AD2138" s="20"/>
      <c r="AE2138" s="20"/>
    </row>
    <row r="2139" spans="2:31" x14ac:dyDescent="0.25">
      <c r="B2139" s="2"/>
      <c r="C2139" s="19"/>
      <c r="D2139" s="2"/>
      <c r="E2139" s="2"/>
      <c r="F2139" s="19"/>
      <c r="G2139" s="2"/>
      <c r="H2139" s="2"/>
      <c r="I2139" s="2"/>
      <c r="J2139" s="2"/>
      <c r="L2139" s="20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  <c r="AA2139" s="20"/>
      <c r="AB2139" s="20"/>
      <c r="AC2139" s="20"/>
      <c r="AD2139" s="20"/>
      <c r="AE2139" s="20"/>
    </row>
    <row r="2140" spans="2:31" x14ac:dyDescent="0.25">
      <c r="B2140" s="2"/>
      <c r="C2140" s="19"/>
      <c r="D2140" s="2"/>
      <c r="E2140" s="2"/>
      <c r="F2140" s="19"/>
      <c r="G2140" s="2"/>
      <c r="H2140" s="2"/>
      <c r="I2140" s="2"/>
      <c r="J2140" s="2"/>
      <c r="L2140" s="20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  <c r="AA2140" s="20"/>
      <c r="AB2140" s="20"/>
      <c r="AC2140" s="20"/>
      <c r="AD2140" s="20"/>
      <c r="AE2140" s="20"/>
    </row>
    <row r="2141" spans="2:31" x14ac:dyDescent="0.25">
      <c r="B2141" s="2"/>
      <c r="C2141" s="19"/>
      <c r="D2141" s="2"/>
      <c r="E2141" s="2"/>
      <c r="F2141" s="19"/>
      <c r="G2141" s="2"/>
      <c r="H2141" s="2"/>
      <c r="I2141" s="2"/>
      <c r="J2141" s="2"/>
      <c r="L2141" s="20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  <c r="AA2141" s="20"/>
      <c r="AB2141" s="20"/>
      <c r="AC2141" s="20"/>
      <c r="AD2141" s="20"/>
      <c r="AE2141" s="20"/>
    </row>
    <row r="2142" spans="2:31" x14ac:dyDescent="0.25">
      <c r="B2142" s="2"/>
      <c r="C2142" s="19"/>
      <c r="D2142" s="2"/>
      <c r="E2142" s="2"/>
      <c r="F2142" s="19"/>
      <c r="G2142" s="2"/>
      <c r="H2142" s="2"/>
      <c r="I2142" s="2"/>
      <c r="J2142" s="2"/>
      <c r="L2142" s="20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  <c r="AA2142" s="20"/>
      <c r="AB2142" s="20"/>
      <c r="AC2142" s="20"/>
      <c r="AD2142" s="20"/>
      <c r="AE2142" s="20"/>
    </row>
    <row r="2143" spans="2:31" x14ac:dyDescent="0.25">
      <c r="B2143" s="2"/>
      <c r="C2143" s="19"/>
      <c r="D2143" s="2"/>
      <c r="E2143" s="2"/>
      <c r="F2143" s="19"/>
      <c r="G2143" s="2"/>
      <c r="H2143" s="2"/>
      <c r="I2143" s="2"/>
      <c r="J2143" s="2"/>
      <c r="L2143" s="20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  <c r="AA2143" s="20"/>
      <c r="AB2143" s="20"/>
      <c r="AC2143" s="20"/>
      <c r="AD2143" s="20"/>
      <c r="AE2143" s="20"/>
    </row>
    <row r="2144" spans="2:31" x14ac:dyDescent="0.25">
      <c r="B2144" s="2"/>
      <c r="C2144" s="19"/>
      <c r="D2144" s="2"/>
      <c r="E2144" s="2"/>
      <c r="F2144" s="19"/>
      <c r="G2144" s="2"/>
      <c r="H2144" s="2"/>
      <c r="I2144" s="2"/>
      <c r="J2144" s="2"/>
      <c r="L2144" s="20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  <c r="AA2144" s="20"/>
      <c r="AB2144" s="20"/>
      <c r="AC2144" s="20"/>
      <c r="AD2144" s="20"/>
      <c r="AE2144" s="20"/>
    </row>
    <row r="2145" spans="2:31" x14ac:dyDescent="0.25">
      <c r="B2145" s="2"/>
      <c r="C2145" s="19"/>
      <c r="D2145" s="2"/>
      <c r="E2145" s="2"/>
      <c r="F2145" s="19"/>
      <c r="G2145" s="2"/>
      <c r="H2145" s="2"/>
      <c r="I2145" s="2"/>
      <c r="J2145" s="2"/>
      <c r="L2145" s="20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  <c r="AA2145" s="20"/>
      <c r="AB2145" s="20"/>
      <c r="AC2145" s="20"/>
      <c r="AD2145" s="20"/>
      <c r="AE2145" s="20"/>
    </row>
    <row r="2146" spans="2:31" x14ac:dyDescent="0.25">
      <c r="B2146" s="2"/>
      <c r="C2146" s="19"/>
      <c r="D2146" s="2"/>
      <c r="E2146" s="2"/>
      <c r="F2146" s="19"/>
      <c r="G2146" s="2"/>
      <c r="H2146" s="2"/>
      <c r="I2146" s="2"/>
      <c r="J2146" s="2"/>
      <c r="L2146" s="20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  <c r="AA2146" s="20"/>
      <c r="AB2146" s="20"/>
      <c r="AC2146" s="20"/>
      <c r="AD2146" s="20"/>
      <c r="AE2146" s="20"/>
    </row>
    <row r="2147" spans="2:31" x14ac:dyDescent="0.25">
      <c r="B2147" s="2"/>
      <c r="C2147" s="19"/>
      <c r="D2147" s="2"/>
      <c r="E2147" s="2"/>
      <c r="F2147" s="19"/>
      <c r="G2147" s="2"/>
      <c r="H2147" s="2"/>
      <c r="I2147" s="2"/>
      <c r="J2147" s="2"/>
      <c r="L2147" s="20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  <c r="AA2147" s="20"/>
      <c r="AB2147" s="20"/>
      <c r="AC2147" s="20"/>
      <c r="AD2147" s="20"/>
      <c r="AE2147" s="20"/>
    </row>
    <row r="2148" spans="2:31" x14ac:dyDescent="0.25">
      <c r="B2148" s="2"/>
      <c r="C2148" s="19"/>
      <c r="D2148" s="2"/>
      <c r="E2148" s="2"/>
      <c r="F2148" s="19"/>
      <c r="G2148" s="2"/>
      <c r="H2148" s="2"/>
      <c r="I2148" s="2"/>
      <c r="J2148" s="2"/>
      <c r="L2148" s="20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  <c r="AA2148" s="20"/>
      <c r="AB2148" s="20"/>
      <c r="AC2148" s="20"/>
      <c r="AD2148" s="20"/>
      <c r="AE2148" s="20"/>
    </row>
    <row r="2149" spans="2:31" x14ac:dyDescent="0.25">
      <c r="B2149" s="2"/>
      <c r="C2149" s="19"/>
      <c r="D2149" s="2"/>
      <c r="E2149" s="2"/>
      <c r="F2149" s="19"/>
      <c r="G2149" s="2"/>
      <c r="H2149" s="2"/>
      <c r="I2149" s="2"/>
      <c r="J2149" s="2"/>
      <c r="L2149" s="20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  <c r="AA2149" s="20"/>
      <c r="AB2149" s="20"/>
      <c r="AC2149" s="20"/>
      <c r="AD2149" s="20"/>
      <c r="AE2149" s="20"/>
    </row>
    <row r="2150" spans="2:31" x14ac:dyDescent="0.25">
      <c r="B2150" s="2"/>
      <c r="C2150" s="19"/>
      <c r="D2150" s="2"/>
      <c r="E2150" s="2"/>
      <c r="F2150" s="19"/>
      <c r="G2150" s="2"/>
      <c r="H2150" s="2"/>
      <c r="I2150" s="2"/>
      <c r="J2150" s="2"/>
      <c r="L2150" s="20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  <c r="AA2150" s="20"/>
      <c r="AB2150" s="20"/>
      <c r="AC2150" s="20"/>
      <c r="AD2150" s="20"/>
      <c r="AE2150" s="20"/>
    </row>
    <row r="2151" spans="2:31" x14ac:dyDescent="0.25">
      <c r="B2151" s="2"/>
      <c r="C2151" s="19"/>
      <c r="D2151" s="2"/>
      <c r="E2151" s="2"/>
      <c r="F2151" s="19"/>
      <c r="G2151" s="2"/>
      <c r="H2151" s="2"/>
      <c r="I2151" s="2"/>
      <c r="J2151" s="2"/>
      <c r="L2151" s="20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  <c r="AA2151" s="20"/>
      <c r="AB2151" s="20"/>
      <c r="AC2151" s="20"/>
      <c r="AD2151" s="20"/>
      <c r="AE2151" s="20"/>
    </row>
    <row r="2152" spans="2:31" x14ac:dyDescent="0.25">
      <c r="B2152" s="2"/>
      <c r="C2152" s="19"/>
      <c r="D2152" s="2"/>
      <c r="E2152" s="2"/>
      <c r="F2152" s="19"/>
      <c r="G2152" s="2"/>
      <c r="H2152" s="2"/>
      <c r="I2152" s="2"/>
      <c r="J2152" s="2"/>
      <c r="L2152" s="20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  <c r="AA2152" s="20"/>
      <c r="AB2152" s="20"/>
      <c r="AC2152" s="20"/>
      <c r="AD2152" s="20"/>
      <c r="AE2152" s="20"/>
    </row>
    <row r="2153" spans="2:31" x14ac:dyDescent="0.25">
      <c r="B2153" s="2"/>
      <c r="C2153" s="19"/>
      <c r="D2153" s="2"/>
      <c r="E2153" s="2"/>
      <c r="F2153" s="19"/>
      <c r="G2153" s="2"/>
      <c r="H2153" s="2"/>
      <c r="I2153" s="2"/>
      <c r="J2153" s="2"/>
      <c r="L2153" s="20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  <c r="AA2153" s="20"/>
      <c r="AB2153" s="20"/>
      <c r="AC2153" s="20"/>
      <c r="AD2153" s="20"/>
      <c r="AE2153" s="20"/>
    </row>
    <row r="2154" spans="2:31" x14ac:dyDescent="0.25">
      <c r="B2154" s="2"/>
      <c r="C2154" s="19"/>
      <c r="D2154" s="2"/>
      <c r="E2154" s="2"/>
      <c r="F2154" s="19"/>
      <c r="G2154" s="2"/>
      <c r="H2154" s="2"/>
      <c r="I2154" s="2"/>
      <c r="J2154" s="2"/>
      <c r="L2154" s="20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  <c r="AA2154" s="20"/>
      <c r="AB2154" s="20"/>
      <c r="AC2154" s="20"/>
      <c r="AD2154" s="20"/>
      <c r="AE2154" s="20"/>
    </row>
    <row r="2155" spans="2:31" x14ac:dyDescent="0.25">
      <c r="B2155" s="2"/>
      <c r="C2155" s="19"/>
      <c r="D2155" s="2"/>
      <c r="E2155" s="2"/>
      <c r="F2155" s="19"/>
      <c r="G2155" s="2"/>
      <c r="H2155" s="2"/>
      <c r="I2155" s="2"/>
      <c r="J2155" s="2"/>
      <c r="L2155" s="20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  <c r="AA2155" s="20"/>
      <c r="AB2155" s="20"/>
      <c r="AC2155" s="20"/>
      <c r="AD2155" s="20"/>
      <c r="AE2155" s="20"/>
    </row>
    <row r="2156" spans="2:31" x14ac:dyDescent="0.25">
      <c r="B2156" s="2"/>
      <c r="C2156" s="19"/>
      <c r="D2156" s="2"/>
      <c r="E2156" s="2"/>
      <c r="F2156" s="19"/>
      <c r="G2156" s="2"/>
      <c r="H2156" s="2"/>
      <c r="I2156" s="2"/>
      <c r="J2156" s="2"/>
      <c r="L2156" s="20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  <c r="AA2156" s="20"/>
      <c r="AB2156" s="20"/>
      <c r="AC2156" s="20"/>
      <c r="AD2156" s="20"/>
      <c r="AE2156" s="20"/>
    </row>
    <row r="2157" spans="2:31" x14ac:dyDescent="0.25">
      <c r="B2157" s="2"/>
      <c r="C2157" s="19"/>
      <c r="D2157" s="2"/>
      <c r="E2157" s="2"/>
      <c r="F2157" s="19"/>
      <c r="G2157" s="2"/>
      <c r="H2157" s="2"/>
      <c r="I2157" s="2"/>
      <c r="J2157" s="2"/>
      <c r="L2157" s="20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  <c r="AA2157" s="20"/>
      <c r="AB2157" s="20"/>
      <c r="AC2157" s="20"/>
      <c r="AD2157" s="20"/>
      <c r="AE2157" s="20"/>
    </row>
    <row r="2158" spans="2:31" x14ac:dyDescent="0.25">
      <c r="B2158" s="2"/>
      <c r="C2158" s="19"/>
      <c r="D2158" s="2"/>
      <c r="E2158" s="2"/>
      <c r="F2158" s="19"/>
      <c r="G2158" s="2"/>
      <c r="H2158" s="2"/>
      <c r="I2158" s="2"/>
      <c r="J2158" s="2"/>
      <c r="L2158" s="20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  <c r="AA2158" s="20"/>
      <c r="AB2158" s="20"/>
      <c r="AC2158" s="20"/>
      <c r="AD2158" s="20"/>
      <c r="AE2158" s="20"/>
    </row>
    <row r="2159" spans="2:31" x14ac:dyDescent="0.25">
      <c r="B2159" s="2"/>
      <c r="C2159" s="19"/>
      <c r="D2159" s="2"/>
      <c r="E2159" s="2"/>
      <c r="F2159" s="19"/>
      <c r="G2159" s="2"/>
      <c r="H2159" s="2"/>
      <c r="I2159" s="2"/>
      <c r="J2159" s="2"/>
      <c r="L2159" s="20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  <c r="AA2159" s="20"/>
      <c r="AB2159" s="20"/>
      <c r="AC2159" s="20"/>
      <c r="AD2159" s="20"/>
      <c r="AE2159" s="20"/>
    </row>
    <row r="2160" spans="2:31" x14ac:dyDescent="0.25">
      <c r="B2160" s="2"/>
      <c r="C2160" s="19"/>
      <c r="D2160" s="2"/>
      <c r="E2160" s="2"/>
      <c r="F2160" s="19"/>
      <c r="G2160" s="2"/>
      <c r="H2160" s="2"/>
      <c r="I2160" s="2"/>
      <c r="J2160" s="2"/>
      <c r="L2160" s="20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  <c r="AA2160" s="20"/>
      <c r="AB2160" s="20"/>
      <c r="AC2160" s="20"/>
      <c r="AD2160" s="20"/>
      <c r="AE2160" s="20"/>
    </row>
    <row r="2161" spans="2:31" x14ac:dyDescent="0.25">
      <c r="B2161" s="2"/>
      <c r="C2161" s="19"/>
      <c r="D2161" s="2"/>
      <c r="E2161" s="2"/>
      <c r="F2161" s="19"/>
      <c r="G2161" s="2"/>
      <c r="H2161" s="2"/>
      <c r="I2161" s="2"/>
      <c r="J2161" s="2"/>
      <c r="L2161" s="20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  <c r="AA2161" s="20"/>
      <c r="AB2161" s="20"/>
      <c r="AC2161" s="20"/>
      <c r="AD2161" s="20"/>
      <c r="AE2161" s="20"/>
    </row>
    <row r="2162" spans="2:31" x14ac:dyDescent="0.25">
      <c r="B2162" s="2"/>
      <c r="C2162" s="19"/>
      <c r="D2162" s="2"/>
      <c r="E2162" s="2"/>
      <c r="F2162" s="19"/>
      <c r="G2162" s="2"/>
      <c r="H2162" s="2"/>
      <c r="I2162" s="2"/>
      <c r="J2162" s="2"/>
      <c r="L2162" s="20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  <c r="AA2162" s="20"/>
      <c r="AB2162" s="20"/>
      <c r="AC2162" s="20"/>
      <c r="AD2162" s="20"/>
      <c r="AE2162" s="20"/>
    </row>
    <row r="2163" spans="2:31" x14ac:dyDescent="0.25">
      <c r="B2163" s="2"/>
      <c r="C2163" s="19"/>
      <c r="D2163" s="2"/>
      <c r="E2163" s="2"/>
      <c r="F2163" s="19"/>
      <c r="G2163" s="2"/>
      <c r="H2163" s="2"/>
      <c r="I2163" s="2"/>
      <c r="J2163" s="2"/>
      <c r="L2163" s="20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  <c r="AA2163" s="20"/>
      <c r="AB2163" s="20"/>
      <c r="AC2163" s="20"/>
      <c r="AD2163" s="20"/>
      <c r="AE2163" s="20"/>
    </row>
    <row r="2164" spans="2:31" x14ac:dyDescent="0.25">
      <c r="B2164" s="2"/>
      <c r="C2164" s="19"/>
      <c r="D2164" s="2"/>
      <c r="E2164" s="2"/>
      <c r="F2164" s="19"/>
      <c r="G2164" s="2"/>
      <c r="H2164" s="2"/>
      <c r="I2164" s="2"/>
      <c r="J2164" s="2"/>
      <c r="L2164" s="20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  <c r="AA2164" s="20"/>
      <c r="AB2164" s="20"/>
      <c r="AC2164" s="20"/>
      <c r="AD2164" s="20"/>
      <c r="AE2164" s="20"/>
    </row>
    <row r="2165" spans="2:31" x14ac:dyDescent="0.25">
      <c r="B2165" s="2"/>
      <c r="C2165" s="19"/>
      <c r="D2165" s="2"/>
      <c r="E2165" s="2"/>
      <c r="F2165" s="19"/>
      <c r="G2165" s="2"/>
      <c r="H2165" s="2"/>
      <c r="I2165" s="2"/>
      <c r="J2165" s="2"/>
      <c r="L2165" s="20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  <c r="AA2165" s="20"/>
      <c r="AB2165" s="20"/>
      <c r="AC2165" s="20"/>
      <c r="AD2165" s="20"/>
      <c r="AE2165" s="20"/>
    </row>
    <row r="2166" spans="2:31" x14ac:dyDescent="0.25">
      <c r="B2166" s="2"/>
      <c r="C2166" s="19"/>
      <c r="D2166" s="2"/>
      <c r="E2166" s="2"/>
      <c r="F2166" s="19"/>
      <c r="G2166" s="2"/>
      <c r="H2166" s="2"/>
      <c r="I2166" s="2"/>
      <c r="J2166" s="2"/>
      <c r="L2166" s="20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  <c r="AA2166" s="20"/>
      <c r="AB2166" s="20"/>
      <c r="AC2166" s="20"/>
      <c r="AD2166" s="20"/>
      <c r="AE2166" s="20"/>
    </row>
    <row r="2167" spans="2:31" x14ac:dyDescent="0.25">
      <c r="B2167" s="2"/>
      <c r="C2167" s="19"/>
      <c r="D2167" s="2"/>
      <c r="E2167" s="2"/>
      <c r="F2167" s="19"/>
      <c r="G2167" s="2"/>
      <c r="H2167" s="2"/>
      <c r="I2167" s="2"/>
      <c r="J2167" s="2"/>
      <c r="L2167" s="20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  <c r="AA2167" s="20"/>
      <c r="AB2167" s="20"/>
      <c r="AC2167" s="20"/>
      <c r="AD2167" s="20"/>
      <c r="AE2167" s="20"/>
    </row>
    <row r="2168" spans="2:31" x14ac:dyDescent="0.25">
      <c r="B2168" s="2"/>
      <c r="C2168" s="19"/>
      <c r="D2168" s="2"/>
      <c r="E2168" s="2"/>
      <c r="F2168" s="19"/>
      <c r="G2168" s="2"/>
      <c r="H2168" s="2"/>
      <c r="I2168" s="2"/>
      <c r="J2168" s="2"/>
      <c r="L2168" s="20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  <c r="AA2168" s="20"/>
      <c r="AB2168" s="20"/>
      <c r="AC2168" s="20"/>
      <c r="AD2168" s="20"/>
      <c r="AE2168" s="20"/>
    </row>
    <row r="2169" spans="2:31" x14ac:dyDescent="0.25">
      <c r="B2169" s="2"/>
      <c r="C2169" s="19"/>
      <c r="D2169" s="2"/>
      <c r="E2169" s="2"/>
      <c r="F2169" s="19"/>
      <c r="G2169" s="2"/>
      <c r="H2169" s="2"/>
      <c r="I2169" s="2"/>
      <c r="J2169" s="2"/>
      <c r="L2169" s="20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  <c r="AA2169" s="20"/>
      <c r="AB2169" s="20"/>
      <c r="AC2169" s="20"/>
      <c r="AD2169" s="20"/>
      <c r="AE2169" s="20"/>
    </row>
    <row r="2170" spans="2:31" x14ac:dyDescent="0.25">
      <c r="B2170" s="2"/>
      <c r="C2170" s="19"/>
      <c r="D2170" s="2"/>
      <c r="E2170" s="2"/>
      <c r="F2170" s="19"/>
      <c r="G2170" s="2"/>
      <c r="H2170" s="2"/>
      <c r="I2170" s="2"/>
      <c r="J2170" s="2"/>
      <c r="L2170" s="20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  <c r="AA2170" s="20"/>
      <c r="AB2170" s="20"/>
      <c r="AC2170" s="20"/>
      <c r="AD2170" s="20"/>
      <c r="AE2170" s="20"/>
    </row>
    <row r="2171" spans="2:31" x14ac:dyDescent="0.25">
      <c r="B2171" s="2"/>
      <c r="C2171" s="19"/>
      <c r="D2171" s="2"/>
      <c r="E2171" s="2"/>
      <c r="F2171" s="19"/>
      <c r="G2171" s="2"/>
      <c r="H2171" s="2"/>
      <c r="I2171" s="2"/>
      <c r="J2171" s="2"/>
      <c r="L2171" s="20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  <c r="AA2171" s="20"/>
      <c r="AB2171" s="20"/>
      <c r="AC2171" s="20"/>
      <c r="AD2171" s="20"/>
      <c r="AE2171" s="20"/>
    </row>
    <row r="2172" spans="2:31" x14ac:dyDescent="0.25">
      <c r="B2172" s="2"/>
      <c r="C2172" s="19"/>
      <c r="D2172" s="2"/>
      <c r="E2172" s="2"/>
      <c r="F2172" s="19"/>
      <c r="G2172" s="2"/>
      <c r="H2172" s="2"/>
      <c r="I2172" s="2"/>
      <c r="J2172" s="2"/>
      <c r="L2172" s="20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  <c r="AA2172" s="20"/>
      <c r="AB2172" s="20"/>
      <c r="AC2172" s="20"/>
      <c r="AD2172" s="20"/>
      <c r="AE2172" s="20"/>
    </row>
    <row r="2173" spans="2:31" x14ac:dyDescent="0.25">
      <c r="B2173" s="2"/>
      <c r="C2173" s="19"/>
      <c r="D2173" s="2"/>
      <c r="E2173" s="2"/>
      <c r="F2173" s="19"/>
      <c r="G2173" s="2"/>
      <c r="H2173" s="2"/>
      <c r="I2173" s="2"/>
      <c r="J2173" s="2"/>
      <c r="L2173" s="20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  <c r="AA2173" s="20"/>
      <c r="AB2173" s="20"/>
      <c r="AC2173" s="20"/>
      <c r="AD2173" s="20"/>
      <c r="AE2173" s="20"/>
    </row>
    <row r="2174" spans="2:31" x14ac:dyDescent="0.25">
      <c r="B2174" s="2"/>
      <c r="C2174" s="19"/>
      <c r="D2174" s="2"/>
      <c r="E2174" s="2"/>
      <c r="F2174" s="19"/>
      <c r="G2174" s="2"/>
      <c r="H2174" s="2"/>
      <c r="I2174" s="2"/>
      <c r="J2174" s="2"/>
      <c r="L2174" s="20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  <c r="AA2174" s="20"/>
      <c r="AB2174" s="20"/>
      <c r="AC2174" s="20"/>
      <c r="AD2174" s="20"/>
      <c r="AE2174" s="20"/>
    </row>
    <row r="2175" spans="2:31" x14ac:dyDescent="0.25">
      <c r="B2175" s="2"/>
      <c r="C2175" s="19"/>
      <c r="D2175" s="2"/>
      <c r="E2175" s="2"/>
      <c r="F2175" s="19"/>
      <c r="G2175" s="2"/>
      <c r="H2175" s="2"/>
      <c r="I2175" s="2"/>
      <c r="J2175" s="2"/>
      <c r="L2175" s="20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  <c r="AA2175" s="20"/>
      <c r="AB2175" s="20"/>
      <c r="AC2175" s="20"/>
      <c r="AD2175" s="20"/>
      <c r="AE2175" s="20"/>
    </row>
    <row r="2176" spans="2:31" x14ac:dyDescent="0.25">
      <c r="B2176" s="2"/>
      <c r="C2176" s="19"/>
      <c r="D2176" s="2"/>
      <c r="E2176" s="2"/>
      <c r="F2176" s="19"/>
      <c r="G2176" s="2"/>
      <c r="H2176" s="2"/>
      <c r="I2176" s="2"/>
      <c r="J2176" s="2"/>
      <c r="L2176" s="20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  <c r="AA2176" s="20"/>
      <c r="AB2176" s="20"/>
      <c r="AC2176" s="20"/>
      <c r="AD2176" s="20"/>
      <c r="AE2176" s="20"/>
    </row>
    <row r="2177" spans="2:31" x14ac:dyDescent="0.25">
      <c r="B2177" s="2"/>
      <c r="C2177" s="19"/>
      <c r="D2177" s="2"/>
      <c r="E2177" s="2"/>
      <c r="F2177" s="19"/>
      <c r="G2177" s="2"/>
      <c r="H2177" s="2"/>
      <c r="I2177" s="2"/>
      <c r="J2177" s="2"/>
      <c r="L2177" s="20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  <c r="AA2177" s="20"/>
      <c r="AB2177" s="20"/>
      <c r="AC2177" s="20"/>
      <c r="AD2177" s="20"/>
      <c r="AE2177" s="20"/>
    </row>
    <row r="2178" spans="2:31" x14ac:dyDescent="0.25">
      <c r="B2178" s="2"/>
      <c r="C2178" s="19"/>
      <c r="D2178" s="2"/>
      <c r="E2178" s="2"/>
      <c r="F2178" s="19"/>
      <c r="G2178" s="2"/>
      <c r="H2178" s="2"/>
      <c r="I2178" s="2"/>
      <c r="J2178" s="2"/>
      <c r="L2178" s="20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  <c r="AA2178" s="20"/>
      <c r="AB2178" s="20"/>
      <c r="AC2178" s="20"/>
      <c r="AD2178" s="20"/>
      <c r="AE2178" s="20"/>
    </row>
    <row r="2179" spans="2:31" x14ac:dyDescent="0.25">
      <c r="B2179" s="2"/>
      <c r="C2179" s="19"/>
      <c r="D2179" s="2"/>
      <c r="E2179" s="2"/>
      <c r="F2179" s="19"/>
      <c r="G2179" s="2"/>
      <c r="H2179" s="2"/>
      <c r="I2179" s="2"/>
      <c r="J2179" s="2"/>
      <c r="L2179" s="20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  <c r="AA2179" s="20"/>
      <c r="AB2179" s="20"/>
      <c r="AC2179" s="20"/>
      <c r="AD2179" s="20"/>
      <c r="AE2179" s="20"/>
    </row>
    <row r="2180" spans="2:31" x14ac:dyDescent="0.25">
      <c r="B2180" s="2"/>
      <c r="C2180" s="19"/>
      <c r="D2180" s="2"/>
      <c r="E2180" s="2"/>
      <c r="F2180" s="19"/>
      <c r="G2180" s="2"/>
      <c r="H2180" s="2"/>
      <c r="I2180" s="2"/>
      <c r="J2180" s="2"/>
      <c r="L2180" s="20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  <c r="AA2180" s="20"/>
      <c r="AB2180" s="20"/>
      <c r="AC2180" s="20"/>
      <c r="AD2180" s="20"/>
      <c r="AE2180" s="20"/>
    </row>
    <row r="2181" spans="2:31" x14ac:dyDescent="0.25">
      <c r="B2181" s="2"/>
      <c r="C2181" s="19"/>
      <c r="D2181" s="2"/>
      <c r="E2181" s="2"/>
      <c r="F2181" s="19"/>
      <c r="G2181" s="2"/>
      <c r="H2181" s="2"/>
      <c r="I2181" s="2"/>
      <c r="J2181" s="2"/>
      <c r="L2181" s="20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  <c r="AA2181" s="20"/>
      <c r="AB2181" s="20"/>
      <c r="AC2181" s="20"/>
      <c r="AD2181" s="20"/>
      <c r="AE2181" s="20"/>
    </row>
    <row r="2182" spans="2:31" x14ac:dyDescent="0.25">
      <c r="B2182" s="2"/>
      <c r="C2182" s="19"/>
      <c r="D2182" s="2"/>
      <c r="E2182" s="2"/>
      <c r="F2182" s="19"/>
      <c r="G2182" s="2"/>
      <c r="H2182" s="2"/>
      <c r="I2182" s="2"/>
      <c r="J2182" s="2"/>
      <c r="L2182" s="20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  <c r="AA2182" s="20"/>
      <c r="AB2182" s="20"/>
      <c r="AC2182" s="20"/>
      <c r="AD2182" s="20"/>
      <c r="AE2182" s="20"/>
    </row>
    <row r="2183" spans="2:31" x14ac:dyDescent="0.25">
      <c r="B2183" s="2"/>
      <c r="C2183" s="19"/>
      <c r="D2183" s="2"/>
      <c r="E2183" s="2"/>
      <c r="F2183" s="19"/>
      <c r="G2183" s="2"/>
      <c r="H2183" s="2"/>
      <c r="I2183" s="2"/>
      <c r="J2183" s="2"/>
      <c r="L2183" s="20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  <c r="AA2183" s="20"/>
      <c r="AB2183" s="20"/>
      <c r="AC2183" s="20"/>
      <c r="AD2183" s="20"/>
      <c r="AE2183" s="20"/>
    </row>
    <row r="2184" spans="2:31" x14ac:dyDescent="0.25">
      <c r="B2184" s="2"/>
      <c r="C2184" s="19"/>
      <c r="D2184" s="2"/>
      <c r="E2184" s="2"/>
      <c r="F2184" s="19"/>
      <c r="G2184" s="2"/>
      <c r="H2184" s="2"/>
      <c r="I2184" s="2"/>
      <c r="J2184" s="2"/>
      <c r="L2184" s="20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  <c r="AA2184" s="20"/>
      <c r="AB2184" s="20"/>
      <c r="AC2184" s="20"/>
      <c r="AD2184" s="20"/>
      <c r="AE2184" s="20"/>
    </row>
    <row r="2185" spans="2:31" x14ac:dyDescent="0.25">
      <c r="B2185" s="2"/>
      <c r="C2185" s="19"/>
      <c r="D2185" s="2"/>
      <c r="E2185" s="2"/>
      <c r="F2185" s="19"/>
      <c r="G2185" s="2"/>
      <c r="H2185" s="2"/>
      <c r="I2185" s="2"/>
      <c r="J2185" s="2"/>
      <c r="L2185" s="20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  <c r="AA2185" s="20"/>
      <c r="AB2185" s="20"/>
      <c r="AC2185" s="20"/>
      <c r="AD2185" s="20"/>
      <c r="AE2185" s="20"/>
    </row>
    <row r="2186" spans="2:31" x14ac:dyDescent="0.25">
      <c r="B2186" s="2"/>
      <c r="C2186" s="19"/>
      <c r="D2186" s="2"/>
      <c r="E2186" s="2"/>
      <c r="F2186" s="19"/>
      <c r="G2186" s="2"/>
      <c r="H2186" s="2"/>
      <c r="I2186" s="2"/>
      <c r="J2186" s="2"/>
      <c r="L2186" s="20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  <c r="AA2186" s="20"/>
      <c r="AB2186" s="20"/>
      <c r="AC2186" s="20"/>
      <c r="AD2186" s="20"/>
      <c r="AE2186" s="20"/>
    </row>
    <row r="2187" spans="2:31" x14ac:dyDescent="0.25">
      <c r="B2187" s="2"/>
      <c r="C2187" s="19"/>
      <c r="D2187" s="2"/>
      <c r="E2187" s="2"/>
      <c r="F2187" s="19"/>
      <c r="G2187" s="2"/>
      <c r="H2187" s="2"/>
      <c r="I2187" s="2"/>
      <c r="J2187" s="2"/>
      <c r="L2187" s="20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  <c r="AA2187" s="20"/>
      <c r="AB2187" s="20"/>
      <c r="AC2187" s="20"/>
      <c r="AD2187" s="20"/>
      <c r="AE2187" s="20"/>
    </row>
    <row r="2188" spans="2:31" x14ac:dyDescent="0.25">
      <c r="B2188" s="2"/>
      <c r="C2188" s="19"/>
      <c r="D2188" s="2"/>
      <c r="E2188" s="2"/>
      <c r="F2188" s="19"/>
      <c r="G2188" s="2"/>
      <c r="H2188" s="2"/>
      <c r="I2188" s="2"/>
      <c r="J2188" s="2"/>
      <c r="L2188" s="20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  <c r="AA2188" s="20"/>
      <c r="AB2188" s="20"/>
      <c r="AC2188" s="20"/>
      <c r="AD2188" s="20"/>
      <c r="AE2188" s="20"/>
    </row>
    <row r="2189" spans="2:31" x14ac:dyDescent="0.25">
      <c r="B2189" s="2"/>
      <c r="C2189" s="19"/>
      <c r="D2189" s="2"/>
      <c r="E2189" s="2"/>
      <c r="F2189" s="19"/>
      <c r="G2189" s="2"/>
      <c r="H2189" s="2"/>
      <c r="I2189" s="2"/>
      <c r="J2189" s="2"/>
      <c r="L2189" s="20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  <c r="AA2189" s="20"/>
      <c r="AB2189" s="20"/>
      <c r="AC2189" s="20"/>
      <c r="AD2189" s="20"/>
      <c r="AE2189" s="20"/>
    </row>
    <row r="2190" spans="2:31" x14ac:dyDescent="0.25">
      <c r="B2190" s="2"/>
      <c r="C2190" s="19"/>
      <c r="D2190" s="2"/>
      <c r="E2190" s="2"/>
      <c r="F2190" s="19"/>
      <c r="G2190" s="2"/>
      <c r="H2190" s="2"/>
      <c r="I2190" s="2"/>
      <c r="J2190" s="2"/>
      <c r="L2190" s="20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  <c r="AA2190" s="20"/>
      <c r="AB2190" s="20"/>
      <c r="AC2190" s="20"/>
      <c r="AD2190" s="20"/>
      <c r="AE2190" s="20"/>
    </row>
    <row r="2191" spans="2:31" x14ac:dyDescent="0.25">
      <c r="B2191" s="2"/>
      <c r="C2191" s="19"/>
      <c r="D2191" s="2"/>
      <c r="E2191" s="2"/>
      <c r="F2191" s="19"/>
      <c r="G2191" s="2"/>
      <c r="H2191" s="2"/>
      <c r="I2191" s="2"/>
      <c r="J2191" s="2"/>
      <c r="L2191" s="20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  <c r="AA2191" s="20"/>
      <c r="AB2191" s="20"/>
      <c r="AC2191" s="20"/>
      <c r="AD2191" s="20"/>
      <c r="AE2191" s="20"/>
    </row>
    <row r="2192" spans="2:31" x14ac:dyDescent="0.25">
      <c r="B2192" s="2"/>
      <c r="C2192" s="19"/>
      <c r="D2192" s="2"/>
      <c r="E2192" s="2"/>
      <c r="F2192" s="19"/>
      <c r="G2192" s="2"/>
      <c r="H2192" s="2"/>
      <c r="I2192" s="2"/>
      <c r="J2192" s="2"/>
      <c r="L2192" s="20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  <c r="AA2192" s="20"/>
      <c r="AB2192" s="20"/>
      <c r="AC2192" s="20"/>
      <c r="AD2192" s="20"/>
      <c r="AE2192" s="20"/>
    </row>
    <row r="2193" spans="2:31" x14ac:dyDescent="0.25">
      <c r="B2193" s="2"/>
      <c r="C2193" s="19"/>
      <c r="D2193" s="2"/>
      <c r="E2193" s="2"/>
      <c r="F2193" s="19"/>
      <c r="G2193" s="2"/>
      <c r="H2193" s="2"/>
      <c r="I2193" s="2"/>
      <c r="J2193" s="2"/>
      <c r="L2193" s="20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  <c r="AA2193" s="20"/>
      <c r="AB2193" s="20"/>
      <c r="AC2193" s="20"/>
      <c r="AD2193" s="20"/>
      <c r="AE2193" s="20"/>
    </row>
    <row r="2194" spans="2:31" x14ac:dyDescent="0.25">
      <c r="B2194" s="2"/>
      <c r="C2194" s="19"/>
      <c r="D2194" s="2"/>
      <c r="E2194" s="2"/>
      <c r="F2194" s="19"/>
      <c r="G2194" s="2"/>
      <c r="H2194" s="2"/>
      <c r="I2194" s="2"/>
      <c r="J2194" s="2"/>
      <c r="L2194" s="20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  <c r="AA2194" s="20"/>
      <c r="AB2194" s="20"/>
      <c r="AC2194" s="20"/>
      <c r="AD2194" s="20"/>
      <c r="AE2194" s="20"/>
    </row>
    <row r="2195" spans="2:31" x14ac:dyDescent="0.25">
      <c r="B2195" s="2"/>
      <c r="C2195" s="19"/>
      <c r="D2195" s="2"/>
      <c r="E2195" s="2"/>
      <c r="F2195" s="19"/>
      <c r="G2195" s="2"/>
      <c r="H2195" s="2"/>
      <c r="I2195" s="2"/>
      <c r="J2195" s="2"/>
      <c r="L2195" s="20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  <c r="AA2195" s="20"/>
      <c r="AB2195" s="20"/>
      <c r="AC2195" s="20"/>
      <c r="AD2195" s="20"/>
      <c r="AE2195" s="20"/>
    </row>
    <row r="2196" spans="2:31" x14ac:dyDescent="0.25">
      <c r="B2196" s="2"/>
      <c r="C2196" s="19"/>
      <c r="D2196" s="2"/>
      <c r="E2196" s="2"/>
      <c r="F2196" s="19"/>
      <c r="G2196" s="2"/>
      <c r="H2196" s="2"/>
      <c r="I2196" s="2"/>
      <c r="J2196" s="2"/>
      <c r="L2196" s="20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  <c r="AA2196" s="20"/>
      <c r="AB2196" s="20"/>
      <c r="AC2196" s="20"/>
      <c r="AD2196" s="20"/>
      <c r="AE2196" s="20"/>
    </row>
    <row r="2197" spans="2:31" x14ac:dyDescent="0.25">
      <c r="B2197" s="2"/>
      <c r="C2197" s="19"/>
      <c r="D2197" s="2"/>
      <c r="E2197" s="2"/>
      <c r="F2197" s="19"/>
      <c r="G2197" s="2"/>
      <c r="H2197" s="2"/>
      <c r="I2197" s="2"/>
      <c r="J2197" s="2"/>
      <c r="L2197" s="20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  <c r="AA2197" s="20"/>
      <c r="AB2197" s="20"/>
      <c r="AC2197" s="20"/>
      <c r="AD2197" s="20"/>
      <c r="AE2197" s="20"/>
    </row>
    <row r="2198" spans="2:31" x14ac:dyDescent="0.25">
      <c r="B2198" s="2"/>
      <c r="C2198" s="19"/>
      <c r="D2198" s="2"/>
      <c r="E2198" s="2"/>
      <c r="F2198" s="19"/>
      <c r="G2198" s="2"/>
      <c r="H2198" s="2"/>
      <c r="I2198" s="2"/>
      <c r="J2198" s="2"/>
      <c r="L2198" s="20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  <c r="AA2198" s="20"/>
      <c r="AB2198" s="20"/>
      <c r="AC2198" s="20"/>
      <c r="AD2198" s="20"/>
      <c r="AE2198" s="20"/>
    </row>
    <row r="2199" spans="2:31" x14ac:dyDescent="0.25">
      <c r="B2199" s="2"/>
      <c r="C2199" s="19"/>
      <c r="D2199" s="2"/>
      <c r="E2199" s="2"/>
      <c r="F2199" s="19"/>
      <c r="G2199" s="2"/>
      <c r="H2199" s="2"/>
      <c r="I2199" s="2"/>
      <c r="J2199" s="2"/>
      <c r="L2199" s="20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  <c r="AA2199" s="20"/>
      <c r="AB2199" s="20"/>
      <c r="AC2199" s="20"/>
      <c r="AD2199" s="20"/>
      <c r="AE2199" s="20"/>
    </row>
    <row r="2200" spans="2:31" x14ac:dyDescent="0.25">
      <c r="B2200" s="2"/>
      <c r="C2200" s="19"/>
      <c r="D2200" s="2"/>
      <c r="E2200" s="2"/>
      <c r="F2200" s="19"/>
      <c r="G2200" s="2"/>
      <c r="H2200" s="2"/>
      <c r="I2200" s="2"/>
      <c r="J2200" s="2"/>
      <c r="L2200" s="20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  <c r="AA2200" s="20"/>
      <c r="AB2200" s="20"/>
      <c r="AC2200" s="20"/>
      <c r="AD2200" s="20"/>
      <c r="AE2200" s="20"/>
    </row>
    <row r="2201" spans="2:31" x14ac:dyDescent="0.25">
      <c r="B2201" s="2"/>
      <c r="C2201" s="19"/>
      <c r="D2201" s="2"/>
      <c r="E2201" s="2"/>
      <c r="F2201" s="19"/>
      <c r="G2201" s="2"/>
      <c r="H2201" s="2"/>
      <c r="I2201" s="2"/>
      <c r="J2201" s="2"/>
      <c r="L2201" s="20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  <c r="AA2201" s="20"/>
      <c r="AB2201" s="20"/>
      <c r="AC2201" s="20"/>
      <c r="AD2201" s="20"/>
      <c r="AE2201" s="20"/>
    </row>
    <row r="2202" spans="2:31" x14ac:dyDescent="0.25">
      <c r="B2202" s="2"/>
      <c r="C2202" s="19"/>
      <c r="D2202" s="2"/>
      <c r="E2202" s="2"/>
      <c r="F2202" s="19"/>
      <c r="G2202" s="2"/>
      <c r="H2202" s="2"/>
      <c r="I2202" s="2"/>
      <c r="J2202" s="2"/>
      <c r="L2202" s="20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  <c r="AA2202" s="20"/>
      <c r="AB2202" s="20"/>
      <c r="AC2202" s="20"/>
      <c r="AD2202" s="20"/>
      <c r="AE2202" s="20"/>
    </row>
    <row r="2203" spans="2:31" x14ac:dyDescent="0.25">
      <c r="B2203" s="2"/>
      <c r="C2203" s="19"/>
      <c r="D2203" s="2"/>
      <c r="E2203" s="2"/>
      <c r="F2203" s="19"/>
      <c r="G2203" s="2"/>
      <c r="H2203" s="2"/>
      <c r="I2203" s="2"/>
      <c r="J2203" s="2"/>
      <c r="L2203" s="20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  <c r="AA2203" s="20"/>
      <c r="AB2203" s="20"/>
      <c r="AC2203" s="20"/>
      <c r="AD2203" s="20"/>
      <c r="AE2203" s="20"/>
    </row>
    <row r="2204" spans="2:31" x14ac:dyDescent="0.25">
      <c r="B2204" s="2"/>
      <c r="C2204" s="19"/>
      <c r="D2204" s="2"/>
      <c r="E2204" s="2"/>
      <c r="F2204" s="19"/>
      <c r="G2204" s="2"/>
      <c r="H2204" s="2"/>
      <c r="I2204" s="2"/>
      <c r="J2204" s="2"/>
      <c r="L2204" s="20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  <c r="AA2204" s="20"/>
      <c r="AB2204" s="20"/>
      <c r="AC2204" s="20"/>
      <c r="AD2204" s="20"/>
      <c r="AE2204" s="20"/>
    </row>
    <row r="2205" spans="2:31" x14ac:dyDescent="0.25">
      <c r="B2205" s="2"/>
      <c r="C2205" s="19"/>
      <c r="D2205" s="2"/>
      <c r="E2205" s="2"/>
      <c r="F2205" s="19"/>
      <c r="G2205" s="2"/>
      <c r="H2205" s="2"/>
      <c r="I2205" s="2"/>
      <c r="J2205" s="2"/>
      <c r="L2205" s="20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  <c r="AA2205" s="20"/>
      <c r="AB2205" s="20"/>
      <c r="AC2205" s="20"/>
      <c r="AD2205" s="20"/>
      <c r="AE2205" s="20"/>
    </row>
    <row r="2206" spans="2:31" x14ac:dyDescent="0.25">
      <c r="B2206" s="2"/>
      <c r="C2206" s="19"/>
      <c r="D2206" s="2"/>
      <c r="E2206" s="2"/>
      <c r="F2206" s="19"/>
      <c r="G2206" s="2"/>
      <c r="H2206" s="2"/>
      <c r="I2206" s="2"/>
      <c r="J2206" s="2"/>
      <c r="L2206" s="20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  <c r="AA2206" s="20"/>
      <c r="AB2206" s="20"/>
      <c r="AC2206" s="20"/>
      <c r="AD2206" s="20"/>
      <c r="AE2206" s="20"/>
    </row>
    <row r="2207" spans="2:31" x14ac:dyDescent="0.25">
      <c r="B2207" s="2"/>
      <c r="C2207" s="19"/>
      <c r="D2207" s="2"/>
      <c r="E2207" s="2"/>
      <c r="F2207" s="19"/>
      <c r="G2207" s="2"/>
      <c r="H2207" s="2"/>
      <c r="I2207" s="2"/>
      <c r="J2207" s="2"/>
      <c r="L2207" s="20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  <c r="AA2207" s="20"/>
      <c r="AB2207" s="20"/>
      <c r="AC2207" s="20"/>
      <c r="AD2207" s="20"/>
      <c r="AE2207" s="20"/>
    </row>
    <row r="2208" spans="2:31" x14ac:dyDescent="0.25">
      <c r="B2208" s="2"/>
      <c r="C2208" s="19"/>
      <c r="D2208" s="2"/>
      <c r="E2208" s="2"/>
      <c r="F2208" s="19"/>
      <c r="G2208" s="2"/>
      <c r="H2208" s="2"/>
      <c r="I2208" s="2"/>
      <c r="J2208" s="2"/>
      <c r="L2208" s="20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  <c r="AA2208" s="20"/>
      <c r="AB2208" s="20"/>
      <c r="AC2208" s="20"/>
      <c r="AD2208" s="20"/>
      <c r="AE2208" s="20"/>
    </row>
    <row r="2209" spans="2:31" x14ac:dyDescent="0.25">
      <c r="B2209" s="2"/>
      <c r="C2209" s="19"/>
      <c r="D2209" s="2"/>
      <c r="E2209" s="2"/>
      <c r="F2209" s="19"/>
      <c r="G2209" s="2"/>
      <c r="H2209" s="2"/>
      <c r="I2209" s="2"/>
      <c r="J2209" s="2"/>
      <c r="L2209" s="20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  <c r="AA2209" s="20"/>
      <c r="AB2209" s="20"/>
      <c r="AC2209" s="20"/>
      <c r="AD2209" s="20"/>
      <c r="AE2209" s="20"/>
    </row>
    <row r="2210" spans="2:31" x14ac:dyDescent="0.25">
      <c r="B2210" s="2"/>
      <c r="C2210" s="19"/>
      <c r="D2210" s="2"/>
      <c r="E2210" s="2"/>
      <c r="F2210" s="19"/>
      <c r="G2210" s="2"/>
      <c r="H2210" s="2"/>
      <c r="I2210" s="2"/>
      <c r="J2210" s="2"/>
      <c r="L2210" s="20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  <c r="AA2210" s="20"/>
      <c r="AB2210" s="20"/>
      <c r="AC2210" s="20"/>
      <c r="AD2210" s="20"/>
      <c r="AE2210" s="20"/>
    </row>
    <row r="2211" spans="2:31" x14ac:dyDescent="0.25">
      <c r="B2211" s="2"/>
      <c r="C2211" s="19"/>
      <c r="D2211" s="2"/>
      <c r="E2211" s="2"/>
      <c r="F2211" s="19"/>
      <c r="G2211" s="2"/>
      <c r="H2211" s="2"/>
      <c r="I2211" s="2"/>
      <c r="J2211" s="2"/>
      <c r="L2211" s="20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  <c r="AA2211" s="20"/>
      <c r="AB2211" s="20"/>
      <c r="AC2211" s="20"/>
      <c r="AD2211" s="20"/>
      <c r="AE2211" s="20"/>
    </row>
    <row r="2212" spans="2:31" x14ac:dyDescent="0.25">
      <c r="B2212" s="2"/>
      <c r="C2212" s="19"/>
      <c r="D2212" s="2"/>
      <c r="E2212" s="2"/>
      <c r="F2212" s="19"/>
      <c r="G2212" s="2"/>
      <c r="H2212" s="2"/>
      <c r="I2212" s="2"/>
      <c r="J2212" s="2"/>
      <c r="L2212" s="20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  <c r="AA2212" s="20"/>
      <c r="AB2212" s="20"/>
      <c r="AC2212" s="20"/>
      <c r="AD2212" s="20"/>
      <c r="AE2212" s="20"/>
    </row>
    <row r="2213" spans="2:31" x14ac:dyDescent="0.25">
      <c r="B2213" s="2"/>
      <c r="C2213" s="19"/>
      <c r="D2213" s="2"/>
      <c r="E2213" s="2"/>
      <c r="F2213" s="19"/>
      <c r="G2213" s="2"/>
      <c r="H2213" s="2"/>
      <c r="I2213" s="2"/>
      <c r="J2213" s="2"/>
      <c r="L2213" s="20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  <c r="AA2213" s="20"/>
      <c r="AB2213" s="20"/>
      <c r="AC2213" s="20"/>
      <c r="AD2213" s="20"/>
      <c r="AE2213" s="20"/>
    </row>
    <row r="2214" spans="2:31" x14ac:dyDescent="0.25">
      <c r="B2214" s="2"/>
      <c r="C2214" s="19"/>
      <c r="D2214" s="2"/>
      <c r="E2214" s="2"/>
      <c r="F2214" s="19"/>
      <c r="G2214" s="2"/>
      <c r="H2214" s="2"/>
      <c r="I2214" s="2"/>
      <c r="J2214" s="2"/>
      <c r="L2214" s="20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  <c r="AA2214" s="20"/>
      <c r="AB2214" s="20"/>
      <c r="AC2214" s="20"/>
      <c r="AD2214" s="20"/>
      <c r="AE2214" s="20"/>
    </row>
    <row r="2215" spans="2:31" x14ac:dyDescent="0.25">
      <c r="B2215" s="2"/>
      <c r="C2215" s="19"/>
      <c r="D2215" s="2"/>
      <c r="E2215" s="2"/>
      <c r="F2215" s="19"/>
      <c r="G2215" s="2"/>
      <c r="H2215" s="2"/>
      <c r="I2215" s="2"/>
      <c r="J2215" s="2"/>
      <c r="L2215" s="20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  <c r="AA2215" s="20"/>
      <c r="AB2215" s="20"/>
      <c r="AC2215" s="20"/>
      <c r="AD2215" s="20"/>
      <c r="AE2215" s="20"/>
    </row>
    <row r="2216" spans="2:31" x14ac:dyDescent="0.25">
      <c r="B2216" s="2"/>
      <c r="C2216" s="19"/>
      <c r="D2216" s="2"/>
      <c r="E2216" s="2"/>
      <c r="F2216" s="19"/>
      <c r="G2216" s="2"/>
      <c r="H2216" s="2"/>
      <c r="I2216" s="2"/>
      <c r="J2216" s="2"/>
      <c r="L2216" s="20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  <c r="AA2216" s="20"/>
      <c r="AB2216" s="20"/>
      <c r="AC2216" s="20"/>
      <c r="AD2216" s="20"/>
      <c r="AE2216" s="20"/>
    </row>
    <row r="2217" spans="2:31" x14ac:dyDescent="0.25">
      <c r="B2217" s="2"/>
      <c r="C2217" s="19"/>
      <c r="D2217" s="2"/>
      <c r="E2217" s="2"/>
      <c r="F2217" s="19"/>
      <c r="G2217" s="2"/>
      <c r="H2217" s="2"/>
      <c r="I2217" s="2"/>
      <c r="J2217" s="2"/>
      <c r="L2217" s="20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  <c r="AA2217" s="20"/>
      <c r="AB2217" s="20"/>
      <c r="AC2217" s="20"/>
      <c r="AD2217" s="20"/>
      <c r="AE2217" s="20"/>
    </row>
    <row r="2218" spans="2:31" x14ac:dyDescent="0.25">
      <c r="B2218" s="2"/>
      <c r="C2218" s="19"/>
      <c r="D2218" s="2"/>
      <c r="E2218" s="2"/>
      <c r="F2218" s="19"/>
      <c r="G2218" s="2"/>
      <c r="H2218" s="2"/>
      <c r="I2218" s="2"/>
      <c r="J2218" s="2"/>
      <c r="L2218" s="20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  <c r="AA2218" s="20"/>
      <c r="AB2218" s="20"/>
      <c r="AC2218" s="20"/>
      <c r="AD2218" s="20"/>
      <c r="AE2218" s="20"/>
    </row>
    <row r="2219" spans="2:31" x14ac:dyDescent="0.25">
      <c r="B2219" s="2"/>
      <c r="C2219" s="19"/>
      <c r="D2219" s="2"/>
      <c r="E2219" s="2"/>
      <c r="F2219" s="19"/>
      <c r="G2219" s="2"/>
      <c r="H2219" s="2"/>
      <c r="I2219" s="2"/>
      <c r="J2219" s="2"/>
      <c r="L2219" s="20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  <c r="AA2219" s="20"/>
      <c r="AB2219" s="20"/>
      <c r="AC2219" s="20"/>
      <c r="AD2219" s="20"/>
      <c r="AE2219" s="20"/>
    </row>
    <row r="2220" spans="2:31" x14ac:dyDescent="0.25">
      <c r="B2220" s="2"/>
      <c r="C2220" s="19"/>
      <c r="D2220" s="2"/>
      <c r="E2220" s="2"/>
      <c r="F2220" s="19"/>
      <c r="G2220" s="2"/>
      <c r="H2220" s="2"/>
      <c r="I2220" s="2"/>
      <c r="J2220" s="2"/>
      <c r="L2220" s="20"/>
      <c r="M2220" s="20"/>
      <c r="N2220" s="20"/>
      <c r="O2220" s="20"/>
      <c r="P2220" s="20"/>
      <c r="Q2220" s="20"/>
      <c r="R2220" s="20"/>
      <c r="S2220" s="20"/>
      <c r="T2220" s="20"/>
      <c r="U2220" s="20"/>
      <c r="V2220" s="20"/>
      <c r="W2220" s="20"/>
      <c r="X2220" s="20"/>
      <c r="Y2220" s="20"/>
      <c r="Z2220" s="20"/>
      <c r="AA2220" s="20"/>
      <c r="AB2220" s="20"/>
      <c r="AC2220" s="20"/>
      <c r="AD2220" s="20"/>
      <c r="AE2220" s="20"/>
    </row>
    <row r="2221" spans="2:31" x14ac:dyDescent="0.25">
      <c r="B2221" s="2"/>
      <c r="C2221" s="19"/>
      <c r="D2221" s="2"/>
      <c r="E2221" s="2"/>
      <c r="F2221" s="19"/>
      <c r="G2221" s="2"/>
      <c r="H2221" s="2"/>
      <c r="I2221" s="2"/>
      <c r="J2221" s="2"/>
      <c r="L2221" s="20"/>
      <c r="M2221" s="20"/>
      <c r="N2221" s="20"/>
      <c r="O2221" s="20"/>
      <c r="P2221" s="20"/>
      <c r="Q2221" s="20"/>
      <c r="R2221" s="20"/>
      <c r="S2221" s="20"/>
      <c r="T2221" s="20"/>
      <c r="U2221" s="20"/>
      <c r="V2221" s="20"/>
      <c r="W2221" s="20"/>
      <c r="X2221" s="20"/>
      <c r="Y2221" s="20"/>
      <c r="Z2221" s="20"/>
      <c r="AA2221" s="20"/>
      <c r="AB2221" s="20"/>
      <c r="AC2221" s="20"/>
      <c r="AD2221" s="20"/>
      <c r="AE2221" s="20"/>
    </row>
    <row r="2222" spans="2:31" x14ac:dyDescent="0.25">
      <c r="B2222" s="2"/>
      <c r="C2222" s="19"/>
      <c r="D2222" s="2"/>
      <c r="E2222" s="2"/>
      <c r="F2222" s="19"/>
      <c r="G2222" s="2"/>
      <c r="H2222" s="2"/>
      <c r="I2222" s="2"/>
      <c r="J2222" s="2"/>
      <c r="L2222" s="20"/>
      <c r="M2222" s="20"/>
      <c r="N2222" s="20"/>
      <c r="O2222" s="20"/>
      <c r="P2222" s="20"/>
      <c r="Q2222" s="20"/>
      <c r="R2222" s="20"/>
      <c r="S2222" s="20"/>
      <c r="T2222" s="20"/>
      <c r="U2222" s="20"/>
      <c r="V2222" s="20"/>
      <c r="W2222" s="20"/>
      <c r="X2222" s="20"/>
      <c r="Y2222" s="20"/>
      <c r="Z2222" s="20"/>
      <c r="AA2222" s="20"/>
      <c r="AB2222" s="20"/>
      <c r="AC2222" s="20"/>
      <c r="AD2222" s="20"/>
      <c r="AE2222" s="20"/>
    </row>
    <row r="2223" spans="2:31" x14ac:dyDescent="0.25">
      <c r="B2223" s="2"/>
      <c r="C2223" s="19"/>
      <c r="D2223" s="2"/>
      <c r="E2223" s="2"/>
      <c r="F2223" s="19"/>
      <c r="G2223" s="2"/>
      <c r="H2223" s="2"/>
      <c r="I2223" s="2"/>
      <c r="J2223" s="2"/>
      <c r="L2223" s="20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  <c r="AA2223" s="20"/>
      <c r="AB2223" s="20"/>
      <c r="AC2223" s="20"/>
      <c r="AD2223" s="20"/>
      <c r="AE2223" s="20"/>
    </row>
    <row r="2224" spans="2:31" x14ac:dyDescent="0.25">
      <c r="B2224" s="2"/>
      <c r="C2224" s="19"/>
      <c r="D2224" s="2"/>
      <c r="E2224" s="2"/>
      <c r="F2224" s="19"/>
      <c r="G2224" s="2"/>
      <c r="H2224" s="2"/>
      <c r="I2224" s="2"/>
      <c r="J2224" s="2"/>
      <c r="L2224" s="20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  <c r="AA2224" s="20"/>
      <c r="AB2224" s="20"/>
      <c r="AC2224" s="20"/>
      <c r="AD2224" s="20"/>
      <c r="AE2224" s="20"/>
    </row>
    <row r="2225" spans="2:31" x14ac:dyDescent="0.25">
      <c r="B2225" s="2"/>
      <c r="C2225" s="19"/>
      <c r="D2225" s="2"/>
      <c r="E2225" s="2"/>
      <c r="F2225" s="19"/>
      <c r="G2225" s="2"/>
      <c r="H2225" s="2"/>
      <c r="I2225" s="2"/>
      <c r="J2225" s="2"/>
      <c r="L2225" s="20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  <c r="AA2225" s="20"/>
      <c r="AB2225" s="20"/>
      <c r="AC2225" s="20"/>
      <c r="AD2225" s="20"/>
      <c r="AE2225" s="20"/>
    </row>
    <row r="2226" spans="2:31" x14ac:dyDescent="0.25">
      <c r="B2226" s="2"/>
      <c r="C2226" s="19"/>
      <c r="D2226" s="2"/>
      <c r="E2226" s="2"/>
      <c r="F2226" s="19"/>
      <c r="G2226" s="2"/>
      <c r="H2226" s="2"/>
      <c r="I2226" s="2"/>
      <c r="J2226" s="2"/>
      <c r="L2226" s="20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  <c r="AA2226" s="20"/>
      <c r="AB2226" s="20"/>
      <c r="AC2226" s="20"/>
      <c r="AD2226" s="20"/>
      <c r="AE2226" s="20"/>
    </row>
    <row r="2227" spans="2:31" x14ac:dyDescent="0.25">
      <c r="B2227" s="2"/>
      <c r="C2227" s="19"/>
      <c r="D2227" s="2"/>
      <c r="E2227" s="2"/>
      <c r="F2227" s="19"/>
      <c r="G2227" s="2"/>
      <c r="H2227" s="2"/>
      <c r="I2227" s="2"/>
      <c r="J2227" s="2"/>
      <c r="L2227" s="20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  <c r="AA2227" s="20"/>
      <c r="AB2227" s="20"/>
      <c r="AC2227" s="20"/>
      <c r="AD2227" s="20"/>
      <c r="AE2227" s="20"/>
    </row>
    <row r="2228" spans="2:31" x14ac:dyDescent="0.25">
      <c r="B2228" s="2"/>
      <c r="C2228" s="19"/>
      <c r="D2228" s="2"/>
      <c r="E2228" s="2"/>
      <c r="F2228" s="19"/>
      <c r="G2228" s="2"/>
      <c r="H2228" s="2"/>
      <c r="I2228" s="2"/>
      <c r="J2228" s="2"/>
      <c r="L2228" s="20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  <c r="AA2228" s="20"/>
      <c r="AB2228" s="20"/>
      <c r="AC2228" s="20"/>
      <c r="AD2228" s="20"/>
      <c r="AE2228" s="20"/>
    </row>
    <row r="2229" spans="2:31" x14ac:dyDescent="0.25">
      <c r="B2229" s="2"/>
      <c r="C2229" s="19"/>
      <c r="D2229" s="2"/>
      <c r="E2229" s="2"/>
      <c r="F2229" s="19"/>
      <c r="G2229" s="2"/>
      <c r="H2229" s="2"/>
      <c r="I2229" s="2"/>
      <c r="J2229" s="2"/>
      <c r="L2229" s="20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  <c r="AA2229" s="20"/>
      <c r="AB2229" s="20"/>
      <c r="AC2229" s="20"/>
      <c r="AD2229" s="20"/>
      <c r="AE2229" s="20"/>
    </row>
    <row r="2230" spans="2:31" x14ac:dyDescent="0.25">
      <c r="B2230" s="2"/>
      <c r="C2230" s="19"/>
      <c r="D2230" s="2"/>
      <c r="E2230" s="2"/>
      <c r="F2230" s="19"/>
      <c r="G2230" s="2"/>
      <c r="H2230" s="2"/>
      <c r="I2230" s="2"/>
      <c r="J2230" s="2"/>
      <c r="L2230" s="20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  <c r="AA2230" s="20"/>
      <c r="AB2230" s="20"/>
      <c r="AC2230" s="20"/>
      <c r="AD2230" s="20"/>
      <c r="AE2230" s="20"/>
    </row>
    <row r="2231" spans="2:31" x14ac:dyDescent="0.25">
      <c r="B2231" s="2"/>
      <c r="C2231" s="19"/>
      <c r="D2231" s="2"/>
      <c r="E2231" s="2"/>
      <c r="F2231" s="19"/>
      <c r="G2231" s="2"/>
      <c r="H2231" s="2"/>
      <c r="I2231" s="2"/>
      <c r="J2231" s="2"/>
      <c r="L2231" s="20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  <c r="AA2231" s="20"/>
      <c r="AB2231" s="20"/>
      <c r="AC2231" s="20"/>
      <c r="AD2231" s="20"/>
      <c r="AE2231" s="20"/>
    </row>
    <row r="2232" spans="2:31" x14ac:dyDescent="0.25">
      <c r="B2232" s="2"/>
      <c r="C2232" s="19"/>
      <c r="D2232" s="2"/>
      <c r="E2232" s="2"/>
      <c r="F2232" s="19"/>
      <c r="G2232" s="2"/>
      <c r="H2232" s="2"/>
      <c r="I2232" s="2"/>
      <c r="J2232" s="2"/>
      <c r="L2232" s="20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  <c r="AA2232" s="20"/>
      <c r="AB2232" s="20"/>
      <c r="AC2232" s="20"/>
      <c r="AD2232" s="20"/>
      <c r="AE2232" s="20"/>
    </row>
    <row r="2233" spans="2:31" x14ac:dyDescent="0.25">
      <c r="B2233" s="2"/>
      <c r="C2233" s="19"/>
      <c r="D2233" s="2"/>
      <c r="E2233" s="2"/>
      <c r="F2233" s="19"/>
      <c r="G2233" s="2"/>
      <c r="H2233" s="2"/>
      <c r="I2233" s="2"/>
      <c r="J2233" s="2"/>
      <c r="L2233" s="20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  <c r="AA2233" s="20"/>
      <c r="AB2233" s="20"/>
      <c r="AC2233" s="20"/>
      <c r="AD2233" s="20"/>
      <c r="AE2233" s="20"/>
    </row>
    <row r="2234" spans="2:31" x14ac:dyDescent="0.25">
      <c r="B2234" s="2"/>
      <c r="C2234" s="19"/>
      <c r="D2234" s="2"/>
      <c r="E2234" s="2"/>
      <c r="F2234" s="19"/>
      <c r="G2234" s="2"/>
      <c r="H2234" s="2"/>
      <c r="I2234" s="2"/>
      <c r="J2234" s="2"/>
      <c r="L2234" s="20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  <c r="AA2234" s="20"/>
      <c r="AB2234" s="20"/>
      <c r="AC2234" s="20"/>
      <c r="AD2234" s="20"/>
      <c r="AE2234" s="20"/>
    </row>
    <row r="2235" spans="2:31" x14ac:dyDescent="0.25">
      <c r="B2235" s="2"/>
      <c r="C2235" s="19"/>
      <c r="D2235" s="2"/>
      <c r="E2235" s="2"/>
      <c r="F2235" s="19"/>
      <c r="G2235" s="2"/>
      <c r="H2235" s="2"/>
      <c r="I2235" s="2"/>
      <c r="J2235" s="2"/>
      <c r="L2235" s="20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  <c r="AA2235" s="20"/>
      <c r="AB2235" s="20"/>
      <c r="AC2235" s="20"/>
      <c r="AD2235" s="20"/>
      <c r="AE2235" s="20"/>
    </row>
    <row r="2236" spans="2:31" x14ac:dyDescent="0.25">
      <c r="B2236" s="2"/>
      <c r="C2236" s="19"/>
      <c r="D2236" s="2"/>
      <c r="E2236" s="2"/>
      <c r="F2236" s="19"/>
      <c r="G2236" s="2"/>
      <c r="H2236" s="2"/>
      <c r="I2236" s="2"/>
      <c r="J2236" s="2"/>
      <c r="L2236" s="20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  <c r="AA2236" s="20"/>
      <c r="AB2236" s="20"/>
      <c r="AC2236" s="20"/>
      <c r="AD2236" s="20"/>
      <c r="AE2236" s="20"/>
    </row>
    <row r="2237" spans="2:31" x14ac:dyDescent="0.25">
      <c r="B2237" s="2"/>
      <c r="C2237" s="19"/>
      <c r="D2237" s="2"/>
      <c r="E2237" s="2"/>
      <c r="F2237" s="19"/>
      <c r="G2237" s="2"/>
      <c r="H2237" s="2"/>
      <c r="I2237" s="2"/>
      <c r="J2237" s="2"/>
      <c r="L2237" s="20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  <c r="AA2237" s="20"/>
      <c r="AB2237" s="20"/>
      <c r="AC2237" s="20"/>
      <c r="AD2237" s="20"/>
      <c r="AE2237" s="20"/>
    </row>
    <row r="2238" spans="2:31" x14ac:dyDescent="0.25">
      <c r="B2238" s="2"/>
      <c r="C2238" s="19"/>
      <c r="D2238" s="2"/>
      <c r="E2238" s="2"/>
      <c r="F2238" s="19"/>
      <c r="G2238" s="2"/>
      <c r="H2238" s="2"/>
      <c r="I2238" s="2"/>
      <c r="J2238" s="2"/>
      <c r="L2238" s="20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  <c r="AA2238" s="20"/>
      <c r="AB2238" s="20"/>
      <c r="AC2238" s="20"/>
      <c r="AD2238" s="20"/>
      <c r="AE2238" s="20"/>
    </row>
    <row r="2239" spans="2:31" x14ac:dyDescent="0.25">
      <c r="B2239" s="2"/>
      <c r="C2239" s="19"/>
      <c r="D2239" s="2"/>
      <c r="E2239" s="2"/>
      <c r="F2239" s="19"/>
      <c r="G2239" s="2"/>
      <c r="H2239" s="2"/>
      <c r="I2239" s="2"/>
      <c r="J2239" s="2"/>
      <c r="L2239" s="20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  <c r="AA2239" s="20"/>
      <c r="AB2239" s="20"/>
      <c r="AC2239" s="20"/>
      <c r="AD2239" s="20"/>
      <c r="AE2239" s="20"/>
    </row>
    <row r="2240" spans="2:31" x14ac:dyDescent="0.25">
      <c r="B2240" s="2"/>
      <c r="C2240" s="19"/>
      <c r="D2240" s="2"/>
      <c r="E2240" s="2"/>
      <c r="F2240" s="19"/>
      <c r="G2240" s="2"/>
      <c r="H2240" s="2"/>
      <c r="I2240" s="2"/>
      <c r="J2240" s="2"/>
      <c r="L2240" s="20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  <c r="AA2240" s="20"/>
      <c r="AB2240" s="20"/>
      <c r="AC2240" s="20"/>
      <c r="AD2240" s="20"/>
      <c r="AE2240" s="20"/>
    </row>
    <row r="2241" spans="2:31" x14ac:dyDescent="0.25">
      <c r="B2241" s="2"/>
      <c r="C2241" s="19"/>
      <c r="D2241" s="2"/>
      <c r="E2241" s="2"/>
      <c r="F2241" s="19"/>
      <c r="G2241" s="2"/>
      <c r="H2241" s="2"/>
      <c r="I2241" s="2"/>
      <c r="J2241" s="2"/>
      <c r="L2241" s="20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  <c r="AA2241" s="20"/>
      <c r="AB2241" s="20"/>
      <c r="AC2241" s="20"/>
      <c r="AD2241" s="20"/>
      <c r="AE2241" s="20"/>
    </row>
    <row r="2242" spans="2:31" x14ac:dyDescent="0.25">
      <c r="B2242" s="2"/>
      <c r="C2242" s="19"/>
      <c r="D2242" s="2"/>
      <c r="E2242" s="2"/>
      <c r="F2242" s="19"/>
      <c r="G2242" s="2"/>
      <c r="H2242" s="2"/>
      <c r="I2242" s="2"/>
      <c r="J2242" s="2"/>
      <c r="L2242" s="20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  <c r="AA2242" s="20"/>
      <c r="AB2242" s="20"/>
      <c r="AC2242" s="20"/>
      <c r="AD2242" s="20"/>
      <c r="AE2242" s="20"/>
    </row>
    <row r="2243" spans="2:31" x14ac:dyDescent="0.25">
      <c r="B2243" s="2"/>
      <c r="C2243" s="19"/>
      <c r="D2243" s="2"/>
      <c r="E2243" s="2"/>
      <c r="F2243" s="19"/>
      <c r="G2243" s="2"/>
      <c r="H2243" s="2"/>
      <c r="I2243" s="2"/>
      <c r="J2243" s="2"/>
      <c r="L2243" s="20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  <c r="AA2243" s="20"/>
      <c r="AB2243" s="20"/>
      <c r="AC2243" s="20"/>
      <c r="AD2243" s="20"/>
      <c r="AE2243" s="20"/>
    </row>
    <row r="2244" spans="2:31" x14ac:dyDescent="0.25">
      <c r="B2244" s="2"/>
      <c r="C2244" s="19"/>
      <c r="D2244" s="2"/>
      <c r="E2244" s="2"/>
      <c r="F2244" s="19"/>
      <c r="G2244" s="2"/>
      <c r="H2244" s="2"/>
      <c r="I2244" s="2"/>
      <c r="J2244" s="2"/>
      <c r="L2244" s="20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  <c r="AA2244" s="20"/>
      <c r="AB2244" s="20"/>
      <c r="AC2244" s="20"/>
      <c r="AD2244" s="20"/>
      <c r="AE2244" s="20"/>
    </row>
    <row r="2245" spans="2:31" x14ac:dyDescent="0.25">
      <c r="B2245" s="2"/>
      <c r="C2245" s="19"/>
      <c r="D2245" s="2"/>
      <c r="E2245" s="2"/>
      <c r="F2245" s="19"/>
      <c r="G2245" s="2"/>
      <c r="H2245" s="2"/>
      <c r="I2245" s="2"/>
      <c r="J2245" s="2"/>
      <c r="L2245" s="20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  <c r="AA2245" s="20"/>
      <c r="AB2245" s="20"/>
      <c r="AC2245" s="20"/>
      <c r="AD2245" s="20"/>
      <c r="AE2245" s="20"/>
    </row>
    <row r="2246" spans="2:31" x14ac:dyDescent="0.25">
      <c r="B2246" s="2"/>
      <c r="C2246" s="19"/>
      <c r="D2246" s="2"/>
      <c r="E2246" s="2"/>
      <c r="F2246" s="19"/>
      <c r="G2246" s="2"/>
      <c r="H2246" s="2"/>
      <c r="I2246" s="2"/>
      <c r="J2246" s="2"/>
      <c r="L2246" s="20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  <c r="AA2246" s="20"/>
      <c r="AB2246" s="20"/>
      <c r="AC2246" s="20"/>
      <c r="AD2246" s="20"/>
      <c r="AE2246" s="20"/>
    </row>
    <row r="2247" spans="2:31" x14ac:dyDescent="0.25">
      <c r="B2247" s="2"/>
      <c r="C2247" s="19"/>
      <c r="D2247" s="2"/>
      <c r="E2247" s="2"/>
      <c r="F2247" s="19"/>
      <c r="G2247" s="2"/>
      <c r="H2247" s="2"/>
      <c r="I2247" s="2"/>
      <c r="J2247" s="2"/>
      <c r="L2247" s="20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  <c r="AA2247" s="20"/>
      <c r="AB2247" s="20"/>
      <c r="AC2247" s="20"/>
      <c r="AD2247" s="20"/>
      <c r="AE2247" s="20"/>
    </row>
    <row r="2248" spans="2:31" x14ac:dyDescent="0.25">
      <c r="B2248" s="2"/>
      <c r="C2248" s="19"/>
      <c r="D2248" s="2"/>
      <c r="E2248" s="2"/>
      <c r="F2248" s="19"/>
      <c r="G2248" s="2"/>
      <c r="H2248" s="2"/>
      <c r="I2248" s="2"/>
      <c r="J2248" s="2"/>
      <c r="L2248" s="20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  <c r="AA2248" s="20"/>
      <c r="AB2248" s="20"/>
      <c r="AC2248" s="20"/>
      <c r="AD2248" s="20"/>
      <c r="AE2248" s="20"/>
    </row>
    <row r="2249" spans="2:31" x14ac:dyDescent="0.25">
      <c r="B2249" s="2"/>
      <c r="C2249" s="19"/>
      <c r="D2249" s="2"/>
      <c r="E2249" s="2"/>
      <c r="F2249" s="19"/>
      <c r="G2249" s="2"/>
      <c r="H2249" s="2"/>
      <c r="I2249" s="2"/>
      <c r="J2249" s="2"/>
      <c r="L2249" s="20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  <c r="AA2249" s="20"/>
      <c r="AB2249" s="20"/>
      <c r="AC2249" s="20"/>
      <c r="AD2249" s="20"/>
      <c r="AE2249" s="20"/>
    </row>
    <row r="2250" spans="2:31" x14ac:dyDescent="0.25">
      <c r="B2250" s="2"/>
      <c r="C2250" s="19"/>
      <c r="D2250" s="2"/>
      <c r="E2250" s="2"/>
      <c r="F2250" s="19"/>
      <c r="G2250" s="2"/>
      <c r="H2250" s="2"/>
      <c r="I2250" s="2"/>
      <c r="J2250" s="2"/>
      <c r="L2250" s="20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  <c r="AA2250" s="20"/>
      <c r="AB2250" s="20"/>
      <c r="AC2250" s="20"/>
      <c r="AD2250" s="20"/>
      <c r="AE2250" s="20"/>
    </row>
    <row r="2251" spans="2:31" x14ac:dyDescent="0.25">
      <c r="B2251" s="2"/>
      <c r="C2251" s="19"/>
      <c r="D2251" s="2"/>
      <c r="E2251" s="2"/>
      <c r="F2251" s="19"/>
      <c r="G2251" s="2"/>
      <c r="H2251" s="2"/>
      <c r="I2251" s="2"/>
      <c r="J2251" s="2"/>
      <c r="L2251" s="20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  <c r="AA2251" s="20"/>
      <c r="AB2251" s="20"/>
      <c r="AC2251" s="20"/>
      <c r="AD2251" s="20"/>
      <c r="AE2251" s="20"/>
    </row>
    <row r="2252" spans="2:31" x14ac:dyDescent="0.25">
      <c r="B2252" s="2"/>
      <c r="C2252" s="19"/>
      <c r="D2252" s="2"/>
      <c r="E2252" s="2"/>
      <c r="F2252" s="19"/>
      <c r="G2252" s="2"/>
      <c r="H2252" s="2"/>
      <c r="I2252" s="2"/>
      <c r="J2252" s="2"/>
      <c r="L2252" s="20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  <c r="AA2252" s="20"/>
      <c r="AB2252" s="20"/>
      <c r="AC2252" s="20"/>
      <c r="AD2252" s="20"/>
      <c r="AE2252" s="20"/>
    </row>
    <row r="2253" spans="2:31" x14ac:dyDescent="0.25">
      <c r="B2253" s="2"/>
      <c r="C2253" s="19"/>
      <c r="D2253" s="2"/>
      <c r="E2253" s="2"/>
      <c r="F2253" s="19"/>
      <c r="G2253" s="2"/>
      <c r="H2253" s="2"/>
      <c r="I2253" s="2"/>
      <c r="J2253" s="2"/>
      <c r="L2253" s="20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  <c r="AA2253" s="20"/>
      <c r="AB2253" s="20"/>
      <c r="AC2253" s="20"/>
      <c r="AD2253" s="20"/>
      <c r="AE2253" s="20"/>
    </row>
    <row r="2254" spans="2:31" x14ac:dyDescent="0.25">
      <c r="B2254" s="2"/>
      <c r="C2254" s="19"/>
      <c r="D2254" s="2"/>
      <c r="E2254" s="2"/>
      <c r="F2254" s="19"/>
      <c r="G2254" s="2"/>
      <c r="H2254" s="2"/>
      <c r="I2254" s="2"/>
      <c r="J2254" s="2"/>
      <c r="L2254" s="20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  <c r="AA2254" s="20"/>
      <c r="AB2254" s="20"/>
      <c r="AC2254" s="20"/>
      <c r="AD2254" s="20"/>
      <c r="AE2254" s="20"/>
    </row>
    <row r="2255" spans="2:31" x14ac:dyDescent="0.25">
      <c r="B2255" s="2"/>
      <c r="C2255" s="19"/>
      <c r="D2255" s="2"/>
      <c r="E2255" s="2"/>
      <c r="F2255" s="19"/>
      <c r="G2255" s="2"/>
      <c r="H2255" s="2"/>
      <c r="I2255" s="2"/>
      <c r="J2255" s="2"/>
      <c r="L2255" s="20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  <c r="AA2255" s="20"/>
      <c r="AB2255" s="20"/>
      <c r="AC2255" s="20"/>
      <c r="AD2255" s="20"/>
      <c r="AE2255" s="20"/>
    </row>
    <row r="2256" spans="2:31" x14ac:dyDescent="0.25">
      <c r="B2256" s="2"/>
      <c r="C2256" s="19"/>
      <c r="D2256" s="2"/>
      <c r="E2256" s="2"/>
      <c r="F2256" s="19"/>
      <c r="G2256" s="2"/>
      <c r="H2256" s="2"/>
      <c r="I2256" s="2"/>
      <c r="J2256" s="2"/>
      <c r="L2256" s="20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  <c r="AA2256" s="20"/>
      <c r="AB2256" s="20"/>
      <c r="AC2256" s="20"/>
      <c r="AD2256" s="20"/>
      <c r="AE2256" s="20"/>
    </row>
    <row r="2257" spans="2:31" x14ac:dyDescent="0.25">
      <c r="B2257" s="2"/>
      <c r="C2257" s="19"/>
      <c r="D2257" s="2"/>
      <c r="E2257" s="2"/>
      <c r="F2257" s="19"/>
      <c r="G2257" s="2"/>
      <c r="H2257" s="2"/>
      <c r="I2257" s="2"/>
      <c r="J2257" s="2"/>
      <c r="L2257" s="20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  <c r="AA2257" s="20"/>
      <c r="AB2257" s="20"/>
      <c r="AC2257" s="20"/>
      <c r="AD2257" s="20"/>
      <c r="AE2257" s="20"/>
    </row>
    <row r="2258" spans="2:31" x14ac:dyDescent="0.25">
      <c r="B2258" s="2"/>
      <c r="C2258" s="19"/>
      <c r="D2258" s="2"/>
      <c r="E2258" s="2"/>
      <c r="F2258" s="19"/>
      <c r="G2258" s="2"/>
      <c r="H2258" s="2"/>
      <c r="I2258" s="2"/>
      <c r="J2258" s="2"/>
      <c r="L2258" s="20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  <c r="AA2258" s="20"/>
      <c r="AB2258" s="20"/>
      <c r="AC2258" s="20"/>
      <c r="AD2258" s="20"/>
      <c r="AE2258" s="20"/>
    </row>
    <row r="2259" spans="2:31" x14ac:dyDescent="0.25">
      <c r="B2259" s="2"/>
      <c r="C2259" s="19"/>
      <c r="D2259" s="2"/>
      <c r="E2259" s="2"/>
      <c r="F2259" s="19"/>
      <c r="G2259" s="2"/>
      <c r="H2259" s="2"/>
      <c r="I2259" s="2"/>
      <c r="J2259" s="2"/>
      <c r="L2259" s="20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  <c r="AA2259" s="20"/>
      <c r="AB2259" s="20"/>
      <c r="AC2259" s="20"/>
      <c r="AD2259" s="20"/>
      <c r="AE2259" s="20"/>
    </row>
    <row r="2260" spans="2:31" x14ac:dyDescent="0.25">
      <c r="B2260" s="2"/>
      <c r="C2260" s="19"/>
      <c r="D2260" s="2"/>
      <c r="E2260" s="2"/>
      <c r="F2260" s="19"/>
      <c r="G2260" s="2"/>
      <c r="H2260" s="2"/>
      <c r="I2260" s="2"/>
      <c r="J2260" s="2"/>
      <c r="L2260" s="20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  <c r="AA2260" s="20"/>
      <c r="AB2260" s="20"/>
      <c r="AC2260" s="20"/>
      <c r="AD2260" s="20"/>
      <c r="AE2260" s="20"/>
    </row>
    <row r="2261" spans="2:31" x14ac:dyDescent="0.25">
      <c r="B2261" s="2"/>
      <c r="C2261" s="19"/>
      <c r="D2261" s="2"/>
      <c r="E2261" s="2"/>
      <c r="F2261" s="19"/>
      <c r="G2261" s="2"/>
      <c r="H2261" s="2"/>
      <c r="I2261" s="2"/>
      <c r="J2261" s="2"/>
      <c r="L2261" s="20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  <c r="AA2261" s="20"/>
      <c r="AB2261" s="20"/>
      <c r="AC2261" s="20"/>
      <c r="AD2261" s="20"/>
      <c r="AE2261" s="20"/>
    </row>
    <row r="2262" spans="2:31" x14ac:dyDescent="0.25">
      <c r="B2262" s="2"/>
      <c r="C2262" s="19"/>
      <c r="D2262" s="2"/>
      <c r="E2262" s="2"/>
      <c r="F2262" s="19"/>
      <c r="G2262" s="2"/>
      <c r="H2262" s="2"/>
      <c r="I2262" s="2"/>
      <c r="J2262" s="2"/>
      <c r="L2262" s="20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  <c r="AA2262" s="20"/>
      <c r="AB2262" s="20"/>
      <c r="AC2262" s="20"/>
      <c r="AD2262" s="20"/>
      <c r="AE2262" s="20"/>
    </row>
    <row r="2263" spans="2:31" x14ac:dyDescent="0.25">
      <c r="B2263" s="2"/>
      <c r="C2263" s="19"/>
      <c r="D2263" s="2"/>
      <c r="E2263" s="2"/>
      <c r="F2263" s="19"/>
      <c r="G2263" s="2"/>
      <c r="H2263" s="2"/>
      <c r="I2263" s="2"/>
      <c r="J2263" s="2"/>
      <c r="L2263" s="20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  <c r="AA2263" s="20"/>
      <c r="AB2263" s="20"/>
      <c r="AC2263" s="20"/>
      <c r="AD2263" s="20"/>
      <c r="AE2263" s="20"/>
    </row>
    <row r="2264" spans="2:31" x14ac:dyDescent="0.25">
      <c r="B2264" s="2"/>
      <c r="C2264" s="19"/>
      <c r="D2264" s="2"/>
      <c r="E2264" s="2"/>
      <c r="F2264" s="19"/>
      <c r="G2264" s="2"/>
      <c r="H2264" s="2"/>
      <c r="I2264" s="2"/>
      <c r="J2264" s="2"/>
      <c r="L2264" s="20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  <c r="AA2264" s="20"/>
      <c r="AB2264" s="20"/>
      <c r="AC2264" s="20"/>
      <c r="AD2264" s="20"/>
      <c r="AE2264" s="20"/>
    </row>
    <row r="2265" spans="2:31" x14ac:dyDescent="0.25">
      <c r="B2265" s="2"/>
      <c r="C2265" s="19"/>
      <c r="D2265" s="2"/>
      <c r="E2265" s="2"/>
      <c r="F2265" s="19"/>
      <c r="G2265" s="2"/>
      <c r="H2265" s="2"/>
      <c r="I2265" s="2"/>
      <c r="J2265" s="2"/>
      <c r="L2265" s="20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  <c r="AA2265" s="20"/>
      <c r="AB2265" s="20"/>
      <c r="AC2265" s="20"/>
      <c r="AD2265" s="20"/>
      <c r="AE2265" s="20"/>
    </row>
    <row r="2266" spans="2:31" x14ac:dyDescent="0.25">
      <c r="B2266" s="2"/>
      <c r="C2266" s="19"/>
      <c r="D2266" s="2"/>
      <c r="E2266" s="2"/>
      <c r="F2266" s="19"/>
      <c r="G2266" s="2"/>
      <c r="H2266" s="2"/>
      <c r="I2266" s="2"/>
      <c r="J2266" s="2"/>
      <c r="L2266" s="20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  <c r="AA2266" s="20"/>
      <c r="AB2266" s="20"/>
      <c r="AC2266" s="20"/>
      <c r="AD2266" s="20"/>
      <c r="AE2266" s="20"/>
    </row>
    <row r="2267" spans="2:31" x14ac:dyDescent="0.25">
      <c r="B2267" s="2"/>
      <c r="C2267" s="19"/>
      <c r="D2267" s="2"/>
      <c r="E2267" s="2"/>
      <c r="F2267" s="19"/>
      <c r="G2267" s="2"/>
      <c r="H2267" s="2"/>
      <c r="I2267" s="2"/>
      <c r="J2267" s="2"/>
      <c r="L2267" s="20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  <c r="AA2267" s="20"/>
      <c r="AB2267" s="20"/>
      <c r="AC2267" s="20"/>
      <c r="AD2267" s="20"/>
      <c r="AE2267" s="20"/>
    </row>
    <row r="2268" spans="2:31" x14ac:dyDescent="0.25">
      <c r="B2268" s="2"/>
      <c r="C2268" s="19"/>
      <c r="D2268" s="2"/>
      <c r="E2268" s="2"/>
      <c r="F2268" s="19"/>
      <c r="G2268" s="2"/>
      <c r="H2268" s="2"/>
      <c r="I2268" s="2"/>
      <c r="J2268" s="2"/>
      <c r="L2268" s="20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  <c r="AA2268" s="20"/>
      <c r="AB2268" s="20"/>
      <c r="AC2268" s="20"/>
      <c r="AD2268" s="20"/>
      <c r="AE2268" s="20"/>
    </row>
    <row r="2269" spans="2:31" x14ac:dyDescent="0.25">
      <c r="B2269" s="2"/>
      <c r="C2269" s="19"/>
      <c r="D2269" s="2"/>
      <c r="E2269" s="2"/>
      <c r="F2269" s="19"/>
      <c r="G2269" s="2"/>
      <c r="H2269" s="2"/>
      <c r="I2269" s="2"/>
      <c r="J2269" s="2"/>
      <c r="L2269" s="20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  <c r="AA2269" s="20"/>
      <c r="AB2269" s="20"/>
      <c r="AC2269" s="20"/>
      <c r="AD2269" s="20"/>
      <c r="AE2269" s="20"/>
    </row>
    <row r="2270" spans="2:31" x14ac:dyDescent="0.25">
      <c r="B2270" s="2"/>
      <c r="C2270" s="19"/>
      <c r="D2270" s="2"/>
      <c r="E2270" s="2"/>
      <c r="F2270" s="19"/>
      <c r="G2270" s="2"/>
      <c r="H2270" s="2"/>
      <c r="I2270" s="2"/>
      <c r="J2270" s="2"/>
      <c r="L2270" s="20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  <c r="AA2270" s="20"/>
      <c r="AB2270" s="20"/>
      <c r="AC2270" s="20"/>
      <c r="AD2270" s="20"/>
      <c r="AE2270" s="20"/>
    </row>
    <row r="2271" spans="2:31" x14ac:dyDescent="0.25">
      <c r="B2271" s="2"/>
      <c r="C2271" s="19"/>
      <c r="D2271" s="2"/>
      <c r="E2271" s="2"/>
      <c r="F2271" s="19"/>
      <c r="G2271" s="2"/>
      <c r="H2271" s="2"/>
      <c r="I2271" s="2"/>
      <c r="J2271" s="2"/>
      <c r="L2271" s="20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  <c r="AA2271" s="20"/>
      <c r="AB2271" s="20"/>
      <c r="AC2271" s="20"/>
      <c r="AD2271" s="20"/>
      <c r="AE2271" s="20"/>
    </row>
    <row r="2272" spans="2:31" x14ac:dyDescent="0.25">
      <c r="B2272" s="2"/>
      <c r="C2272" s="19"/>
      <c r="D2272" s="2"/>
      <c r="E2272" s="2"/>
      <c r="F2272" s="19"/>
      <c r="G2272" s="2"/>
      <c r="H2272" s="2"/>
      <c r="I2272" s="2"/>
      <c r="J2272" s="2"/>
      <c r="L2272" s="20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  <c r="AA2272" s="20"/>
      <c r="AB2272" s="20"/>
      <c r="AC2272" s="20"/>
      <c r="AD2272" s="20"/>
      <c r="AE2272" s="20"/>
    </row>
    <row r="2273" spans="2:31" x14ac:dyDescent="0.25">
      <c r="B2273" s="2"/>
      <c r="C2273" s="19"/>
      <c r="D2273" s="2"/>
      <c r="E2273" s="2"/>
      <c r="F2273" s="19"/>
      <c r="G2273" s="2"/>
      <c r="H2273" s="2"/>
      <c r="I2273" s="2"/>
      <c r="J2273" s="2"/>
      <c r="L2273" s="20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  <c r="AA2273" s="20"/>
      <c r="AB2273" s="20"/>
      <c r="AC2273" s="20"/>
      <c r="AD2273" s="20"/>
      <c r="AE2273" s="20"/>
    </row>
    <row r="2274" spans="2:31" x14ac:dyDescent="0.25">
      <c r="B2274" s="2"/>
      <c r="C2274" s="19"/>
      <c r="D2274" s="2"/>
      <c r="E2274" s="2"/>
      <c r="F2274" s="19"/>
      <c r="G2274" s="2"/>
      <c r="H2274" s="2"/>
      <c r="I2274" s="2"/>
      <c r="J2274" s="2"/>
      <c r="L2274" s="20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  <c r="AA2274" s="20"/>
      <c r="AB2274" s="20"/>
      <c r="AC2274" s="20"/>
      <c r="AD2274" s="20"/>
      <c r="AE2274" s="20"/>
    </row>
    <row r="2275" spans="2:31" x14ac:dyDescent="0.25">
      <c r="B2275" s="2"/>
      <c r="C2275" s="19"/>
      <c r="D2275" s="2"/>
      <c r="E2275" s="2"/>
      <c r="F2275" s="19"/>
      <c r="G2275" s="2"/>
      <c r="H2275" s="2"/>
      <c r="I2275" s="2"/>
      <c r="J2275" s="2"/>
      <c r="L2275" s="20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  <c r="AA2275" s="20"/>
      <c r="AB2275" s="20"/>
      <c r="AC2275" s="20"/>
      <c r="AD2275" s="20"/>
      <c r="AE2275" s="20"/>
    </row>
    <row r="2276" spans="2:31" x14ac:dyDescent="0.25">
      <c r="B2276" s="2"/>
      <c r="C2276" s="19"/>
      <c r="D2276" s="2"/>
      <c r="E2276" s="2"/>
      <c r="F2276" s="19"/>
      <c r="G2276" s="2"/>
      <c r="H2276" s="2"/>
      <c r="I2276" s="2"/>
      <c r="J2276" s="2"/>
      <c r="L2276" s="20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  <c r="AA2276" s="20"/>
      <c r="AB2276" s="20"/>
      <c r="AC2276" s="20"/>
      <c r="AD2276" s="20"/>
      <c r="AE2276" s="20"/>
    </row>
    <row r="2277" spans="2:31" x14ac:dyDescent="0.25">
      <c r="B2277" s="2"/>
      <c r="C2277" s="19"/>
      <c r="D2277" s="2"/>
      <c r="E2277" s="2"/>
      <c r="F2277" s="19"/>
      <c r="G2277" s="2"/>
      <c r="H2277" s="2"/>
      <c r="I2277" s="2"/>
      <c r="J2277" s="2"/>
      <c r="L2277" s="20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  <c r="AA2277" s="20"/>
      <c r="AB2277" s="20"/>
      <c r="AC2277" s="20"/>
      <c r="AD2277" s="20"/>
      <c r="AE2277" s="20"/>
    </row>
    <row r="2278" spans="2:31" x14ac:dyDescent="0.25">
      <c r="B2278" s="2"/>
      <c r="C2278" s="19"/>
      <c r="D2278" s="2"/>
      <c r="E2278" s="2"/>
      <c r="F2278" s="19"/>
      <c r="G2278" s="2"/>
      <c r="H2278" s="2"/>
      <c r="I2278" s="2"/>
      <c r="J2278" s="2"/>
      <c r="L2278" s="20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  <c r="AA2278" s="20"/>
      <c r="AB2278" s="20"/>
      <c r="AC2278" s="20"/>
      <c r="AD2278" s="20"/>
      <c r="AE2278" s="20"/>
    </row>
    <row r="2279" spans="2:31" x14ac:dyDescent="0.25">
      <c r="B2279" s="2"/>
      <c r="C2279" s="19"/>
      <c r="D2279" s="2"/>
      <c r="E2279" s="2"/>
      <c r="F2279" s="19"/>
      <c r="G2279" s="2"/>
      <c r="H2279" s="2"/>
      <c r="I2279" s="2"/>
      <c r="J2279" s="2"/>
      <c r="L2279" s="20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  <c r="AA2279" s="20"/>
      <c r="AB2279" s="20"/>
      <c r="AC2279" s="20"/>
      <c r="AD2279" s="20"/>
      <c r="AE2279" s="20"/>
    </row>
    <row r="2280" spans="2:31" x14ac:dyDescent="0.25">
      <c r="B2280" s="2"/>
      <c r="C2280" s="19"/>
      <c r="D2280" s="2"/>
      <c r="E2280" s="2"/>
      <c r="F2280" s="19"/>
      <c r="G2280" s="2"/>
      <c r="H2280" s="2"/>
      <c r="I2280" s="2"/>
      <c r="J2280" s="2"/>
      <c r="L2280" s="20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  <c r="AA2280" s="20"/>
      <c r="AB2280" s="20"/>
      <c r="AC2280" s="20"/>
      <c r="AD2280" s="20"/>
      <c r="AE2280" s="20"/>
    </row>
    <row r="2281" spans="2:31" x14ac:dyDescent="0.25">
      <c r="B2281" s="2"/>
      <c r="C2281" s="19"/>
      <c r="D2281" s="2"/>
      <c r="E2281" s="2"/>
      <c r="F2281" s="19"/>
      <c r="G2281" s="2"/>
      <c r="H2281" s="2"/>
      <c r="I2281" s="2"/>
      <c r="J2281" s="2"/>
      <c r="L2281" s="20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  <c r="AA2281" s="20"/>
      <c r="AB2281" s="20"/>
      <c r="AC2281" s="20"/>
      <c r="AD2281" s="20"/>
      <c r="AE2281" s="20"/>
    </row>
    <row r="2282" spans="2:31" x14ac:dyDescent="0.25">
      <c r="B2282" s="2"/>
      <c r="C2282" s="19"/>
      <c r="D2282" s="2"/>
      <c r="E2282" s="2"/>
      <c r="F2282" s="19"/>
      <c r="G2282" s="2"/>
      <c r="H2282" s="2"/>
      <c r="I2282" s="2"/>
      <c r="J2282" s="2"/>
      <c r="L2282" s="20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  <c r="AA2282" s="20"/>
      <c r="AB2282" s="20"/>
      <c r="AC2282" s="20"/>
      <c r="AD2282" s="20"/>
      <c r="AE2282" s="20"/>
    </row>
    <row r="2283" spans="2:31" x14ac:dyDescent="0.25">
      <c r="B2283" s="2"/>
      <c r="C2283" s="19"/>
      <c r="D2283" s="2"/>
      <c r="E2283" s="2"/>
      <c r="F2283" s="19"/>
      <c r="G2283" s="2"/>
      <c r="H2283" s="2"/>
      <c r="I2283" s="2"/>
      <c r="J2283" s="2"/>
      <c r="L2283" s="20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  <c r="AA2283" s="20"/>
      <c r="AB2283" s="20"/>
      <c r="AC2283" s="20"/>
      <c r="AD2283" s="20"/>
      <c r="AE2283" s="20"/>
    </row>
    <row r="2284" spans="2:31" x14ac:dyDescent="0.25">
      <c r="B2284" s="2"/>
      <c r="C2284" s="19"/>
      <c r="D2284" s="2"/>
      <c r="E2284" s="2"/>
      <c r="F2284" s="19"/>
      <c r="G2284" s="2"/>
      <c r="H2284" s="2"/>
      <c r="I2284" s="2"/>
      <c r="J2284" s="2"/>
      <c r="L2284" s="20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  <c r="AA2284" s="20"/>
      <c r="AB2284" s="20"/>
      <c r="AC2284" s="20"/>
      <c r="AD2284" s="20"/>
      <c r="AE2284" s="20"/>
    </row>
  </sheetData>
  <mergeCells count="3">
    <mergeCell ref="D11:F11"/>
    <mergeCell ref="G11:J11"/>
    <mergeCell ref="N11:AA11"/>
  </mergeCells>
  <pageMargins left="0.7" right="0.7" top="0.75" bottom="0.75" header="0.3" footer="0.3"/>
  <pageSetup paperSize="9" orientation="portrait" horizontalDpi="90" verticalDpi="90" r:id="rId1"/>
  <drawing r:id="rId2"/>
  <legacyDrawing r:id="rId3"/>
  <oleObjects>
    <mc:AlternateContent xmlns:mc="http://schemas.openxmlformats.org/markup-compatibility/2006">
      <mc:Choice Requires="x14">
        <oleObject progId="Packager Shell Object" shapeId="2049" r:id="rId4">
          <objectPr defaultSize="0" r:id="rId5">
            <anchor moveWithCells="1">
              <from>
                <xdr:col>1</xdr:col>
                <xdr:colOff>0</xdr:colOff>
                <xdr:row>99</xdr:row>
                <xdr:rowOff>0</xdr:rowOff>
              </from>
              <to>
                <xdr:col>1</xdr:col>
                <xdr:colOff>1200150</xdr:colOff>
                <xdr:row>101</xdr:row>
                <xdr:rowOff>133350</xdr:rowOff>
              </to>
            </anchor>
          </objectPr>
        </oleObject>
      </mc:Choice>
      <mc:Fallback>
        <oleObject progId="Packager Shell Object" shapeId="2049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SWAN">
                <anchor moveWithCells="1" sizeWithCells="1">
                  <from>
                    <xdr:col>0</xdr:col>
                    <xdr:colOff>600075</xdr:colOff>
                    <xdr:row>8</xdr:row>
                    <xdr:rowOff>114300</xdr:rowOff>
                  </from>
                  <to>
                    <xdr:col>1</xdr:col>
                    <xdr:colOff>1600200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kExec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161925</xdr:rowOff>
                  </from>
                  <to>
                    <xdr:col>3</xdr:col>
                    <xdr:colOff>57150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731F8-47FB-4DA9-89AB-E28482E87B93}">
  <sheetPr codeName="Sheet7"/>
  <dimension ref="A1:C25"/>
  <sheetViews>
    <sheetView workbookViewId="0">
      <selection activeCell="G24" sqref="G24"/>
    </sheetView>
  </sheetViews>
  <sheetFormatPr defaultRowHeight="15" x14ac:dyDescent="0.25"/>
  <cols>
    <col min="1" max="1" width="28.5703125" bestFit="1" customWidth="1"/>
    <col min="2" max="2" width="26.28515625" customWidth="1"/>
    <col min="3" max="3" width="40.28515625" customWidth="1"/>
  </cols>
  <sheetData>
    <row r="1" spans="1:3" x14ac:dyDescent="0.25">
      <c r="A1" t="s">
        <v>87</v>
      </c>
      <c r="B1" t="s">
        <v>88</v>
      </c>
      <c r="C1" t="s">
        <v>2068</v>
      </c>
    </row>
    <row r="2" spans="1:3" x14ac:dyDescent="0.25">
      <c r="A2" t="s">
        <v>64</v>
      </c>
      <c r="B2" t="str">
        <f>LEFT(A2,20)</f>
        <v>Cereals, spring</v>
      </c>
      <c r="C2" t="s">
        <v>167</v>
      </c>
    </row>
    <row r="3" spans="1:3" x14ac:dyDescent="0.25">
      <c r="A3" t="s">
        <v>65</v>
      </c>
      <c r="B3" t="str">
        <f t="shared" ref="B3:B25" si="0">LEFT(A3,20)</f>
        <v>Cereals, winter</v>
      </c>
      <c r="C3" t="s">
        <v>167</v>
      </c>
    </row>
    <row r="4" spans="1:3" x14ac:dyDescent="0.25">
      <c r="A4" t="s">
        <v>66</v>
      </c>
      <c r="B4" t="str">
        <f t="shared" si="0"/>
        <v>Citrus</v>
      </c>
      <c r="C4" t="s">
        <v>171</v>
      </c>
    </row>
    <row r="5" spans="1:3" x14ac:dyDescent="0.25">
      <c r="A5" t="s">
        <v>67</v>
      </c>
      <c r="B5" t="str">
        <f t="shared" si="0"/>
        <v>Cotton</v>
      </c>
      <c r="C5" t="s">
        <v>167</v>
      </c>
    </row>
    <row r="6" spans="1:3" x14ac:dyDescent="0.25">
      <c r="A6" t="s">
        <v>68</v>
      </c>
      <c r="B6" t="str">
        <f t="shared" si="0"/>
        <v>Field beans</v>
      </c>
      <c r="C6" t="s">
        <v>167</v>
      </c>
    </row>
    <row r="7" spans="1:3" x14ac:dyDescent="0.25">
      <c r="A7" t="s">
        <v>69</v>
      </c>
      <c r="B7" t="str">
        <f t="shared" si="0"/>
        <v>Grass/alfalfa</v>
      </c>
      <c r="C7" t="s">
        <v>167</v>
      </c>
    </row>
    <row r="8" spans="1:3" x14ac:dyDescent="0.25">
      <c r="A8" t="s">
        <v>70</v>
      </c>
      <c r="B8" t="str">
        <f t="shared" si="0"/>
        <v>Hops</v>
      </c>
      <c r="C8" t="s">
        <v>173</v>
      </c>
    </row>
    <row r="9" spans="1:3" x14ac:dyDescent="0.25">
      <c r="A9" t="s">
        <v>71</v>
      </c>
      <c r="B9" t="str">
        <f t="shared" si="0"/>
        <v>Legumes</v>
      </c>
      <c r="C9" t="s">
        <v>167</v>
      </c>
    </row>
    <row r="10" spans="1:3" x14ac:dyDescent="0.25">
      <c r="A10" t="s">
        <v>72</v>
      </c>
      <c r="B10" t="str">
        <f t="shared" si="0"/>
        <v>Maize</v>
      </c>
      <c r="C10" t="s">
        <v>167</v>
      </c>
    </row>
    <row r="11" spans="1:3" x14ac:dyDescent="0.25">
      <c r="A11" t="s">
        <v>73</v>
      </c>
      <c r="B11" t="str">
        <f t="shared" si="0"/>
        <v>Oil seed rape, sprin</v>
      </c>
      <c r="C11" t="s">
        <v>167</v>
      </c>
    </row>
    <row r="12" spans="1:3" x14ac:dyDescent="0.25">
      <c r="A12" t="s">
        <v>74</v>
      </c>
      <c r="B12" t="str">
        <f t="shared" si="0"/>
        <v>Oil seed rape, winte</v>
      </c>
      <c r="C12" t="s">
        <v>167</v>
      </c>
    </row>
    <row r="13" spans="1:3" x14ac:dyDescent="0.25">
      <c r="A13" t="s">
        <v>75</v>
      </c>
      <c r="B13" t="str">
        <f t="shared" si="0"/>
        <v>Olives</v>
      </c>
      <c r="C13" t="s">
        <v>171</v>
      </c>
    </row>
    <row r="14" spans="1:3" x14ac:dyDescent="0.25">
      <c r="A14" t="s">
        <v>76</v>
      </c>
      <c r="B14" t="str">
        <f t="shared" si="0"/>
        <v>Pome/stone fruit, ea</v>
      </c>
      <c r="C14" t="s">
        <v>171</v>
      </c>
    </row>
    <row r="15" spans="1:3" x14ac:dyDescent="0.25">
      <c r="A15" t="s">
        <v>77</v>
      </c>
      <c r="B15" t="str">
        <f t="shared" si="0"/>
        <v>Pome/stone fruit, la</v>
      </c>
      <c r="C15" t="s">
        <v>172</v>
      </c>
    </row>
    <row r="16" spans="1:3" x14ac:dyDescent="0.25">
      <c r="A16" t="s">
        <v>40</v>
      </c>
      <c r="B16" t="str">
        <f t="shared" si="0"/>
        <v>Potatoes</v>
      </c>
      <c r="C16" t="s">
        <v>167</v>
      </c>
    </row>
    <row r="17" spans="1:3" x14ac:dyDescent="0.25">
      <c r="A17" t="s">
        <v>78</v>
      </c>
      <c r="B17" t="str">
        <f t="shared" si="0"/>
        <v>Soybeans</v>
      </c>
      <c r="C17" t="s">
        <v>167</v>
      </c>
    </row>
    <row r="18" spans="1:3" x14ac:dyDescent="0.25">
      <c r="A18" t="s">
        <v>79</v>
      </c>
      <c r="B18" t="str">
        <f t="shared" si="0"/>
        <v>Sunflowers</v>
      </c>
      <c r="C18" t="s">
        <v>167</v>
      </c>
    </row>
    <row r="19" spans="1:3" x14ac:dyDescent="0.25">
      <c r="A19" t="s">
        <v>80</v>
      </c>
      <c r="B19" t="str">
        <f t="shared" si="0"/>
        <v>Tobacco</v>
      </c>
      <c r="C19" t="s">
        <v>167</v>
      </c>
    </row>
    <row r="20" spans="1:3" x14ac:dyDescent="0.25">
      <c r="A20" t="s">
        <v>81</v>
      </c>
      <c r="B20" t="str">
        <f t="shared" si="0"/>
        <v>Vegetables, bulb</v>
      </c>
      <c r="C20" t="s">
        <v>167</v>
      </c>
    </row>
    <row r="21" spans="1:3" x14ac:dyDescent="0.25">
      <c r="A21" t="s">
        <v>82</v>
      </c>
      <c r="B21" t="str">
        <f t="shared" si="0"/>
        <v>Vegetables, fruiting</v>
      </c>
      <c r="C21" t="s">
        <v>167</v>
      </c>
    </row>
    <row r="22" spans="1:3" x14ac:dyDescent="0.25">
      <c r="A22" t="s">
        <v>83</v>
      </c>
      <c r="B22" t="str">
        <f t="shared" si="0"/>
        <v>Vegetables, leafy</v>
      </c>
      <c r="C22" t="s">
        <v>167</v>
      </c>
    </row>
    <row r="23" spans="1:3" x14ac:dyDescent="0.25">
      <c r="A23" t="s">
        <v>84</v>
      </c>
      <c r="B23" t="str">
        <f t="shared" si="0"/>
        <v>Vegetables, root</v>
      </c>
      <c r="C23" t="s">
        <v>167</v>
      </c>
    </row>
    <row r="24" spans="1:3" x14ac:dyDescent="0.25">
      <c r="A24" t="s">
        <v>85</v>
      </c>
      <c r="B24" t="str">
        <f t="shared" si="0"/>
        <v>Vines, early applns</v>
      </c>
      <c r="C24" t="s">
        <v>170</v>
      </c>
    </row>
    <row r="25" spans="1:3" x14ac:dyDescent="0.25">
      <c r="A25" t="s">
        <v>86</v>
      </c>
      <c r="B25" t="str">
        <f t="shared" si="0"/>
        <v>Vines, late applns</v>
      </c>
      <c r="C25" t="s">
        <v>170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D4950-FC54-4E04-9227-749B52388FF0}">
  <sheetPr codeName="Sheet5"/>
  <dimension ref="A1:C100"/>
  <sheetViews>
    <sheetView workbookViewId="0">
      <selection activeCell="H40" sqref="H40"/>
    </sheetView>
  </sheetViews>
  <sheetFormatPr defaultRowHeight="15" x14ac:dyDescent="0.25"/>
  <cols>
    <col min="1" max="1" width="69" bestFit="1" customWidth="1"/>
    <col min="3" max="3" width="69" bestFit="1" customWidth="1"/>
  </cols>
  <sheetData>
    <row r="1" spans="1:3" x14ac:dyDescent="0.25">
      <c r="A1" s="3" t="s">
        <v>17</v>
      </c>
      <c r="C1" s="3" t="s">
        <v>17</v>
      </c>
    </row>
    <row r="2" spans="1:3" x14ac:dyDescent="0.25">
      <c r="A2" s="3" t="s">
        <v>18</v>
      </c>
      <c r="C2" s="3" t="s">
        <v>18</v>
      </c>
    </row>
    <row r="3" spans="1:3" x14ac:dyDescent="0.25">
      <c r="A3" s="3" t="s">
        <v>19</v>
      </c>
      <c r="C3" s="3" t="s">
        <v>19</v>
      </c>
    </row>
    <row r="4" spans="1:3" x14ac:dyDescent="0.25">
      <c r="A4" s="3" t="s">
        <v>20</v>
      </c>
      <c r="C4" s="3" t="s">
        <v>20</v>
      </c>
    </row>
    <row r="5" spans="1:3" x14ac:dyDescent="0.25">
      <c r="A5" s="3" t="s">
        <v>21</v>
      </c>
      <c r="C5" s="3" t="s">
        <v>21</v>
      </c>
    </row>
    <row r="6" spans="1:3" x14ac:dyDescent="0.25">
      <c r="A6" s="3" t="s">
        <v>19</v>
      </c>
      <c r="C6" s="3" t="s">
        <v>19</v>
      </c>
    </row>
    <row r="7" spans="1:3" x14ac:dyDescent="0.25">
      <c r="A7" s="3" t="s">
        <v>41</v>
      </c>
      <c r="C7" s="3" t="s">
        <v>41</v>
      </c>
    </row>
    <row r="8" spans="1:3" x14ac:dyDescent="0.25">
      <c r="A8" s="3" t="s">
        <v>22</v>
      </c>
      <c r="C8" s="3" t="s">
        <v>22</v>
      </c>
    </row>
    <row r="9" spans="1:3" x14ac:dyDescent="0.25">
      <c r="A9" s="3" t="s">
        <v>19</v>
      </c>
      <c r="C9" s="3" t="s">
        <v>19</v>
      </c>
    </row>
    <row r="10" spans="1:3" x14ac:dyDescent="0.25">
      <c r="A10" s="3" t="s">
        <v>18</v>
      </c>
      <c r="C10" s="3" t="s">
        <v>18</v>
      </c>
    </row>
    <row r="11" spans="1:3" x14ac:dyDescent="0.25">
      <c r="A11" s="3" t="s">
        <v>23</v>
      </c>
      <c r="C11" s="3" t="s">
        <v>23</v>
      </c>
    </row>
    <row r="12" spans="1:3" x14ac:dyDescent="0.25">
      <c r="A12" s="3" t="s">
        <v>18</v>
      </c>
      <c r="C12" s="3" t="s">
        <v>18</v>
      </c>
    </row>
    <row r="13" spans="1:3" x14ac:dyDescent="0.25">
      <c r="A13" s="3" t="s">
        <v>19</v>
      </c>
      <c r="C13" s="3" t="s">
        <v>19</v>
      </c>
    </row>
    <row r="14" spans="1:3" x14ac:dyDescent="0.25">
      <c r="A14" s="3" t="s">
        <v>42</v>
      </c>
      <c r="C14" s="3" t="s">
        <v>42</v>
      </c>
    </row>
    <row r="15" spans="1:3" x14ac:dyDescent="0.25">
      <c r="A15" s="3" t="s">
        <v>43</v>
      </c>
      <c r="C15" s="3" t="s">
        <v>43</v>
      </c>
    </row>
    <row r="16" spans="1:3" x14ac:dyDescent="0.25">
      <c r="A16" s="3" t="s">
        <v>44</v>
      </c>
      <c r="C16" s="3" t="s">
        <v>44</v>
      </c>
    </row>
    <row r="17" spans="1:3" x14ac:dyDescent="0.25">
      <c r="A17" s="3"/>
      <c r="C17" s="3"/>
    </row>
    <row r="18" spans="1:3" x14ac:dyDescent="0.25">
      <c r="A18" s="3" t="s">
        <v>45</v>
      </c>
      <c r="C18" s="3" t="s">
        <v>45</v>
      </c>
    </row>
    <row r="19" spans="1:3" x14ac:dyDescent="0.25">
      <c r="A19" s="3" t="s">
        <v>46</v>
      </c>
      <c r="C19" s="3" t="s">
        <v>46</v>
      </c>
    </row>
    <row r="20" spans="1:3" x14ac:dyDescent="0.25">
      <c r="A20" s="3" t="s">
        <v>47</v>
      </c>
      <c r="C20" s="3" t="s">
        <v>47</v>
      </c>
    </row>
    <row r="21" spans="1:3" x14ac:dyDescent="0.25">
      <c r="A21" s="3" t="s">
        <v>48</v>
      </c>
      <c r="C21" s="3" t="s">
        <v>48</v>
      </c>
    </row>
    <row r="22" spans="1:3" x14ac:dyDescent="0.25">
      <c r="A22" s="3"/>
      <c r="C22" s="3"/>
    </row>
    <row r="23" spans="1:3" x14ac:dyDescent="0.25">
      <c r="A23" s="3" t="s">
        <v>49</v>
      </c>
      <c r="C23" s="3" t="s">
        <v>49</v>
      </c>
    </row>
    <row r="24" spans="1:3" x14ac:dyDescent="0.25">
      <c r="A24" s="3" t="s">
        <v>50</v>
      </c>
      <c r="C24" s="3" t="s">
        <v>50</v>
      </c>
    </row>
    <row r="25" spans="1:3" x14ac:dyDescent="0.25">
      <c r="A25" s="3" t="s">
        <v>51</v>
      </c>
      <c r="C25" s="3" t="s">
        <v>51</v>
      </c>
    </row>
    <row r="26" spans="1:3" x14ac:dyDescent="0.25">
      <c r="A26" s="3"/>
      <c r="C26" s="3"/>
    </row>
    <row r="27" spans="1:3" x14ac:dyDescent="0.25">
      <c r="A27" s="3" t="s">
        <v>24</v>
      </c>
      <c r="C27" s="3" t="s">
        <v>24</v>
      </c>
    </row>
    <row r="28" spans="1:3" x14ac:dyDescent="0.25">
      <c r="A28" s="3" t="s">
        <v>52</v>
      </c>
      <c r="C28" s="3" t="s">
        <v>52</v>
      </c>
    </row>
    <row r="29" spans="1:3" x14ac:dyDescent="0.25">
      <c r="A29" s="3" t="s">
        <v>19</v>
      </c>
      <c r="C29" s="3" t="s">
        <v>19</v>
      </c>
    </row>
    <row r="30" spans="1:3" x14ac:dyDescent="0.25">
      <c r="A30" s="3" t="s">
        <v>18</v>
      </c>
      <c r="C30" s="3" t="s">
        <v>18</v>
      </c>
    </row>
    <row r="31" spans="1:3" x14ac:dyDescent="0.25">
      <c r="A31" s="3" t="s">
        <v>25</v>
      </c>
      <c r="C31" s="3" t="s">
        <v>25</v>
      </c>
    </row>
    <row r="32" spans="1:3" x14ac:dyDescent="0.25">
      <c r="A32" s="3" t="s">
        <v>18</v>
      </c>
      <c r="C32" s="3" t="s">
        <v>18</v>
      </c>
    </row>
    <row r="33" spans="1:3" x14ac:dyDescent="0.25">
      <c r="A33" s="3" t="s">
        <v>19</v>
      </c>
      <c r="C33" s="3" t="s">
        <v>19</v>
      </c>
    </row>
    <row r="34" spans="1:3" x14ac:dyDescent="0.25">
      <c r="A34" s="3" t="s">
        <v>26</v>
      </c>
      <c r="C34" s="3" t="s">
        <v>2075</v>
      </c>
    </row>
    <row r="35" spans="1:3" x14ac:dyDescent="0.25">
      <c r="A35" s="3" t="s">
        <v>53</v>
      </c>
      <c r="C35" s="3" t="s">
        <v>2076</v>
      </c>
    </row>
    <row r="36" spans="1:3" x14ac:dyDescent="0.25">
      <c r="A36" s="3" t="s">
        <v>54</v>
      </c>
      <c r="C36" s="3" t="s">
        <v>18</v>
      </c>
    </row>
    <row r="37" spans="1:3" x14ac:dyDescent="0.25">
      <c r="A37" s="3" t="s">
        <v>55</v>
      </c>
      <c r="C37" s="3" t="s">
        <v>27</v>
      </c>
    </row>
    <row r="38" spans="1:3" x14ac:dyDescent="0.25">
      <c r="A38" s="3" t="s">
        <v>56</v>
      </c>
      <c r="C38" s="3" t="s">
        <v>18</v>
      </c>
    </row>
    <row r="39" spans="1:3" x14ac:dyDescent="0.25">
      <c r="A39" s="3" t="s">
        <v>19</v>
      </c>
      <c r="C39" s="3" t="s">
        <v>19</v>
      </c>
    </row>
    <row r="40" spans="1:3" x14ac:dyDescent="0.25">
      <c r="A40" s="3" t="s">
        <v>18</v>
      </c>
      <c r="C40" s="3" t="s">
        <v>57</v>
      </c>
    </row>
    <row r="41" spans="1:3" x14ac:dyDescent="0.25">
      <c r="A41" s="3" t="s">
        <v>27</v>
      </c>
      <c r="C41" s="3"/>
    </row>
    <row r="42" spans="1:3" x14ac:dyDescent="0.25">
      <c r="A42" s="3" t="s">
        <v>18</v>
      </c>
      <c r="C42" s="3" t="s">
        <v>98</v>
      </c>
    </row>
    <row r="43" spans="1:3" x14ac:dyDescent="0.25">
      <c r="A43" s="3" t="s">
        <v>19</v>
      </c>
      <c r="C43" s="3"/>
    </row>
    <row r="44" spans="1:3" x14ac:dyDescent="0.25">
      <c r="A44" s="3" t="s">
        <v>57</v>
      </c>
      <c r="C44" s="3" t="s">
        <v>97</v>
      </c>
    </row>
    <row r="45" spans="1:3" x14ac:dyDescent="0.25">
      <c r="A45" s="3"/>
      <c r="C45" s="3" t="s">
        <v>58</v>
      </c>
    </row>
    <row r="46" spans="1:3" x14ac:dyDescent="0.25">
      <c r="A46" s="3" t="s">
        <v>98</v>
      </c>
      <c r="C46" s="3"/>
    </row>
    <row r="47" spans="1:3" x14ac:dyDescent="0.25">
      <c r="A47" s="3"/>
      <c r="C47" s="3" t="s">
        <v>59</v>
      </c>
    </row>
    <row r="48" spans="1:3" x14ac:dyDescent="0.25">
      <c r="A48" s="3" t="s">
        <v>97</v>
      </c>
      <c r="C48" s="3" t="s">
        <v>60</v>
      </c>
    </row>
    <row r="49" spans="1:3" x14ac:dyDescent="0.25">
      <c r="A49" s="3" t="s">
        <v>58</v>
      </c>
      <c r="C49" s="3" t="s">
        <v>61</v>
      </c>
    </row>
    <row r="50" spans="1:3" x14ac:dyDescent="0.25">
      <c r="A50" s="3"/>
      <c r="C50" s="3" t="s">
        <v>62</v>
      </c>
    </row>
    <row r="51" spans="1:3" x14ac:dyDescent="0.25">
      <c r="A51" s="3" t="s">
        <v>59</v>
      </c>
      <c r="C51" s="3" t="s">
        <v>19</v>
      </c>
    </row>
    <row r="52" spans="1:3" x14ac:dyDescent="0.25">
      <c r="A52" s="3" t="s">
        <v>60</v>
      </c>
      <c r="C52" s="3" t="s">
        <v>18</v>
      </c>
    </row>
    <row r="53" spans="1:3" x14ac:dyDescent="0.25">
      <c r="A53" s="3" t="s">
        <v>61</v>
      </c>
      <c r="C53" s="3" t="s">
        <v>28</v>
      </c>
    </row>
    <row r="54" spans="1:3" x14ac:dyDescent="0.25">
      <c r="A54" s="3" t="s">
        <v>62</v>
      </c>
      <c r="C54" s="3" t="s">
        <v>18</v>
      </c>
    </row>
    <row r="55" spans="1:3" x14ac:dyDescent="0.25">
      <c r="A55" s="3" t="s">
        <v>19</v>
      </c>
      <c r="C55" s="3" t="s">
        <v>19</v>
      </c>
    </row>
    <row r="56" spans="1:3" x14ac:dyDescent="0.25">
      <c r="A56" s="3" t="s">
        <v>18</v>
      </c>
      <c r="C56" s="3" t="s">
        <v>29</v>
      </c>
    </row>
    <row r="57" spans="1:3" x14ac:dyDescent="0.25">
      <c r="A57" s="3" t="s">
        <v>28</v>
      </c>
      <c r="C57" s="3" t="s">
        <v>30</v>
      </c>
    </row>
    <row r="58" spans="1:3" x14ac:dyDescent="0.25">
      <c r="A58" s="3" t="s">
        <v>18</v>
      </c>
      <c r="C58" s="3" t="s">
        <v>31</v>
      </c>
    </row>
    <row r="59" spans="1:3" x14ac:dyDescent="0.25">
      <c r="A59" s="3" t="s">
        <v>19</v>
      </c>
      <c r="C59" s="3"/>
    </row>
    <row r="60" spans="1:3" x14ac:dyDescent="0.25">
      <c r="A60" s="3" t="s">
        <v>29</v>
      </c>
      <c r="C60" s="3" t="s">
        <v>32</v>
      </c>
    </row>
    <row r="61" spans="1:3" x14ac:dyDescent="0.25">
      <c r="A61" s="3" t="s">
        <v>30</v>
      </c>
      <c r="C61" s="3" t="s">
        <v>33</v>
      </c>
    </row>
    <row r="62" spans="1:3" x14ac:dyDescent="0.25">
      <c r="A62" s="3" t="s">
        <v>31</v>
      </c>
      <c r="C62" s="3" t="s">
        <v>34</v>
      </c>
    </row>
    <row r="63" spans="1:3" x14ac:dyDescent="0.25">
      <c r="A63" s="3"/>
      <c r="C63" s="3"/>
    </row>
    <row r="64" spans="1:3" x14ac:dyDescent="0.25">
      <c r="A64" s="3" t="s">
        <v>32</v>
      </c>
      <c r="C64" s="3" t="s">
        <v>35</v>
      </c>
    </row>
    <row r="65" spans="1:3" x14ac:dyDescent="0.25">
      <c r="A65" s="3" t="s">
        <v>33</v>
      </c>
      <c r="C65" s="3" t="s">
        <v>36</v>
      </c>
    </row>
    <row r="66" spans="1:3" x14ac:dyDescent="0.25">
      <c r="A66" s="3" t="s">
        <v>34</v>
      </c>
      <c r="C66" s="3" t="s">
        <v>37</v>
      </c>
    </row>
    <row r="67" spans="1:3" x14ac:dyDescent="0.25">
      <c r="A67" s="3"/>
      <c r="C67" s="3"/>
    </row>
    <row r="68" spans="1:3" x14ac:dyDescent="0.25">
      <c r="A68" s="3" t="s">
        <v>35</v>
      </c>
      <c r="C68" s="3" t="s">
        <v>38</v>
      </c>
    </row>
    <row r="69" spans="1:3" x14ac:dyDescent="0.25">
      <c r="A69" s="3" t="s">
        <v>36</v>
      </c>
      <c r="C69" s="3" t="str">
        <f ca="1">vd_24h_FOCUS!Y9</f>
        <v>0-1    0.0000 0 0 0 0 0 0 0</v>
      </c>
    </row>
    <row r="70" spans="1:3" x14ac:dyDescent="0.25">
      <c r="A70" s="3" t="s">
        <v>37</v>
      </c>
      <c r="C70" s="3" t="str">
        <f ca="1">vd_24h_FOCUS!Y10</f>
        <v>1-2    0.0000 0 0 0 0 0 0 0</v>
      </c>
    </row>
    <row r="71" spans="1:3" x14ac:dyDescent="0.25">
      <c r="A71" s="3"/>
      <c r="C71" s="3" t="str">
        <f ca="1">vd_24h_FOCUS!Y11</f>
        <v>2-3    0.0000 0 0 0 0 0 0 0</v>
      </c>
    </row>
    <row r="72" spans="1:3" x14ac:dyDescent="0.25">
      <c r="A72" s="3" t="s">
        <v>38</v>
      </c>
      <c r="C72" s="3" t="str">
        <f ca="1">vd_24h_FOCUS!Y12</f>
        <v>3-4    0.0000 0 0 0 0 0 0 0</v>
      </c>
    </row>
    <row r="73" spans="1:3" x14ac:dyDescent="0.25">
      <c r="A73" s="3" t="str">
        <f ca="1">vd_24h_FOCUS!Y9</f>
        <v>0-1    0.0000 0 0 0 0 0 0 0</v>
      </c>
      <c r="C73" s="3" t="str">
        <f ca="1">vd_24h_FOCUS!Y13</f>
        <v>4-5    0.0000 0 0 0 0 0 0 0</v>
      </c>
    </row>
    <row r="74" spans="1:3" x14ac:dyDescent="0.25">
      <c r="A74" s="3" t="str">
        <f ca="1">vd_24h_FOCUS!Y10</f>
        <v>1-2    0.0000 0 0 0 0 0 0 0</v>
      </c>
      <c r="C74" s="3" t="str">
        <f ca="1">vd_24h_FOCUS!Y14</f>
        <v>5-6    0.0000 0 0 0 0 0 0 0</v>
      </c>
    </row>
    <row r="75" spans="1:3" x14ac:dyDescent="0.25">
      <c r="A75" s="3" t="str">
        <f ca="1">vd_24h_FOCUS!Y11</f>
        <v>2-3    0.0000 0 0 0 0 0 0 0</v>
      </c>
      <c r="C75" s="3" t="str">
        <f ca="1">vd_24h_FOCUS!Y15</f>
        <v>6-7    0.0000 0 0 0 0 0 0 0</v>
      </c>
    </row>
    <row r="76" spans="1:3" x14ac:dyDescent="0.25">
      <c r="A76" s="3" t="str">
        <f ca="1">vd_24h_FOCUS!Y12</f>
        <v>3-4    0.0000 0 0 0 0 0 0 0</v>
      </c>
      <c r="C76" s="3" t="str">
        <f ca="1">vd_24h_FOCUS!Y16</f>
        <v>7-8    0.0000 0 0 0 0 0 0 0</v>
      </c>
    </row>
    <row r="77" spans="1:3" x14ac:dyDescent="0.25">
      <c r="A77" s="3" t="str">
        <f ca="1">vd_24h_FOCUS!Y13</f>
        <v>4-5    0.0000 0 0 0 0 0 0 0</v>
      </c>
      <c r="C77" s="3" t="str">
        <f ca="1">vd_24h_FOCUS!Y17</f>
        <v>8-9    0.0000 0 0 0 0 0 0 0</v>
      </c>
    </row>
    <row r="78" spans="1:3" x14ac:dyDescent="0.25">
      <c r="A78" s="3" t="str">
        <f ca="1">vd_24h_FOCUS!Y14</f>
        <v>5-6    0.0000 0 0 0 0 0 0 0</v>
      </c>
      <c r="C78" s="3" t="str">
        <f ca="1">vd_24h_FOCUS!Y18</f>
        <v>9-10   0.0000 0 0 0 0 0 0 0</v>
      </c>
    </row>
    <row r="79" spans="1:3" x14ac:dyDescent="0.25">
      <c r="A79" s="3" t="str">
        <f ca="1">vd_24h_FOCUS!Y15</f>
        <v>6-7    0.0000 0 0 0 0 0 0 0</v>
      </c>
      <c r="C79" s="3" t="str">
        <f ca="1">vd_24h_FOCUS!Y19</f>
        <v>10-11  0.0000 0 0 0 0 0 0 0</v>
      </c>
    </row>
    <row r="80" spans="1:3" x14ac:dyDescent="0.25">
      <c r="A80" s="3" t="str">
        <f ca="1">vd_24h_FOCUS!Y16</f>
        <v>7-8    0.0000 0 0 0 0 0 0 0</v>
      </c>
      <c r="C80" s="3" t="str">
        <f ca="1">vd_24h_FOCUS!Y20</f>
        <v>11-12  0.0000 0 0 0 0 0 0 0</v>
      </c>
    </row>
    <row r="81" spans="1:3" x14ac:dyDescent="0.25">
      <c r="A81" s="3" t="str">
        <f ca="1">vd_24h_FOCUS!Y17</f>
        <v>8-9    0.0000 0 0 0 0 0 0 0</v>
      </c>
      <c r="C81" s="3" t="str">
        <f ca="1">vd_24h_FOCUS!Y21</f>
        <v>12-13  0.0000 0 0 0 0 0 0 0</v>
      </c>
    </row>
    <row r="82" spans="1:3" x14ac:dyDescent="0.25">
      <c r="A82" s="3" t="str">
        <f ca="1">vd_24h_FOCUS!Y18</f>
        <v>9-10   0.0000 0 0 0 0 0 0 0</v>
      </c>
      <c r="C82" s="3" t="str">
        <f ca="1">vd_24h_FOCUS!Y22</f>
        <v>13-14  0.0000 0 0 0 0 0 0 0</v>
      </c>
    </row>
    <row r="83" spans="1:3" x14ac:dyDescent="0.25">
      <c r="A83" s="3" t="str">
        <f ca="1">vd_24h_FOCUS!Y19</f>
        <v>10-11  0.0000 0 0 0 0 0 0 0</v>
      </c>
      <c r="C83" s="3" t="str">
        <f ca="1">vd_24h_FOCUS!Y23</f>
        <v>14-15  0.0000 0 0 0 0 0 0 0</v>
      </c>
    </row>
    <row r="84" spans="1:3" x14ac:dyDescent="0.25">
      <c r="A84" s="3" t="str">
        <f ca="1">vd_24h_FOCUS!Y20</f>
        <v>11-12  0.0000 0 0 0 0 0 0 0</v>
      </c>
      <c r="C84" s="3" t="str">
        <f ca="1">vd_24h_FOCUS!Y24</f>
        <v>15-16  0.0000 0 0 0 0 0 0 0</v>
      </c>
    </row>
    <row r="85" spans="1:3" x14ac:dyDescent="0.25">
      <c r="A85" s="3" t="str">
        <f ca="1">vd_24h_FOCUS!Y21</f>
        <v>12-13  0.0000 0 0 0 0 0 0 0</v>
      </c>
      <c r="C85" s="3" t="str">
        <f ca="1">vd_24h_FOCUS!Y25</f>
        <v>16-17  0.0000 0 0 0 0 0 0 0</v>
      </c>
    </row>
    <row r="86" spans="1:3" x14ac:dyDescent="0.25">
      <c r="A86" s="3" t="str">
        <f ca="1">vd_24h_FOCUS!Y22</f>
        <v>13-14  0.0000 0 0 0 0 0 0 0</v>
      </c>
      <c r="C86" s="3" t="str">
        <f ca="1">vd_24h_FOCUS!Y26</f>
        <v>17-18  0.0000 0 0 0 0 0 0 0</v>
      </c>
    </row>
    <row r="87" spans="1:3" x14ac:dyDescent="0.25">
      <c r="A87" s="3" t="str">
        <f ca="1">vd_24h_FOCUS!Y23</f>
        <v>14-15  0.0000 0 0 0 0 0 0 0</v>
      </c>
      <c r="C87" s="3" t="str">
        <f ca="1">vd_24h_FOCUS!Y27</f>
        <v>18-19  0.0000 0 0 0 0 0 0 0</v>
      </c>
    </row>
    <row r="88" spans="1:3" x14ac:dyDescent="0.25">
      <c r="A88" s="3" t="str">
        <f ca="1">vd_24h_FOCUS!Y24</f>
        <v>15-16  0.0000 0 0 0 0 0 0 0</v>
      </c>
      <c r="C88" s="3" t="str">
        <f ca="1">vd_24h_FOCUS!Y28</f>
        <v>19-20  0.0000 0 0 0 0 0 0 0</v>
      </c>
    </row>
    <row r="89" spans="1:3" x14ac:dyDescent="0.25">
      <c r="A89" s="3" t="str">
        <f ca="1">vd_24h_FOCUS!Y25</f>
        <v>16-17  0.0000 0 0 0 0 0 0 0</v>
      </c>
      <c r="C89" s="3" t="str">
        <f ca="1">vd_24h_FOCUS!Y29</f>
        <v>20-21  0.0000 0 0 0 0 0 0 0</v>
      </c>
    </row>
    <row r="90" spans="1:3" x14ac:dyDescent="0.25">
      <c r="A90" s="3" t="str">
        <f ca="1">vd_24h_FOCUS!Y26</f>
        <v>17-18  0.0000 0 0 0 0 0 0 0</v>
      </c>
      <c r="C90" s="3" t="str">
        <f ca="1">vd_24h_FOCUS!Y30</f>
        <v>21-22  0.0000 0 0 0 0 0 0 0</v>
      </c>
    </row>
    <row r="91" spans="1:3" x14ac:dyDescent="0.25">
      <c r="A91" s="3" t="str">
        <f ca="1">vd_24h_FOCUS!Y27</f>
        <v>18-19  0.0000 0 0 0 0 0 0 0</v>
      </c>
      <c r="C91" s="3" t="str">
        <f ca="1">vd_24h_FOCUS!Y31</f>
        <v>22-23  0.0000 0 0 0 0 0 0 0</v>
      </c>
    </row>
    <row r="92" spans="1:3" x14ac:dyDescent="0.25">
      <c r="A92" s="3" t="str">
        <f ca="1">vd_24h_FOCUS!Y28</f>
        <v>19-20  0.0000 0 0 0 0 0 0 0</v>
      </c>
      <c r="C92" s="3" t="str">
        <f ca="1">vd_24h_FOCUS!Y32</f>
        <v>23-24  0.0000 0 0 0 0 0 0 0</v>
      </c>
    </row>
    <row r="93" spans="1:3" x14ac:dyDescent="0.25">
      <c r="A93" s="3" t="str">
        <f ca="1">vd_24h_FOCUS!Y29</f>
        <v>20-21  0.0000 0 0 0 0 0 0 0</v>
      </c>
      <c r="C93" s="3" t="s">
        <v>19</v>
      </c>
    </row>
    <row r="94" spans="1:3" x14ac:dyDescent="0.25">
      <c r="A94" s="3" t="str">
        <f ca="1">vd_24h_FOCUS!Y30</f>
        <v>21-22  0.0000 0 0 0 0 0 0 0</v>
      </c>
      <c r="C94" s="3" t="s">
        <v>18</v>
      </c>
    </row>
    <row r="95" spans="1:3" x14ac:dyDescent="0.25">
      <c r="A95" s="3" t="str">
        <f ca="1">vd_24h_FOCUS!Y31</f>
        <v>22-23  0.0000 0 0 0 0 0 0 0</v>
      </c>
      <c r="C95" s="3" t="s">
        <v>39</v>
      </c>
    </row>
    <row r="96" spans="1:3" x14ac:dyDescent="0.25">
      <c r="A96" s="3" t="str">
        <f ca="1">vd_24h_FOCUS!Y32</f>
        <v>23-24  0.0000 0 0 0 0 0 0 0</v>
      </c>
      <c r="C96" s="3" t="s">
        <v>18</v>
      </c>
    </row>
    <row r="97" spans="1:1" x14ac:dyDescent="0.25">
      <c r="A97" s="3" t="s">
        <v>19</v>
      </c>
    </row>
    <row r="98" spans="1:1" x14ac:dyDescent="0.25">
      <c r="A98" s="3" t="s">
        <v>18</v>
      </c>
    </row>
    <row r="99" spans="1:1" x14ac:dyDescent="0.25">
      <c r="A99" s="3" t="s">
        <v>39</v>
      </c>
    </row>
    <row r="100" spans="1:1" x14ac:dyDescent="0.25">
      <c r="A100" s="3" t="s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1073A-5099-4F96-BE72-17FFD880E4F8}">
  <sheetPr codeName="Tabelle11">
    <tabColor rgb="FFFFFF99"/>
  </sheetPr>
  <dimension ref="A1:O98"/>
  <sheetViews>
    <sheetView zoomScaleNormal="100" workbookViewId="0">
      <selection activeCell="S35" sqref="S35"/>
    </sheetView>
  </sheetViews>
  <sheetFormatPr defaultColWidth="11.42578125" defaultRowHeight="12.75" x14ac:dyDescent="0.25"/>
  <cols>
    <col min="1" max="1" width="5.7109375" style="225" customWidth="1"/>
    <col min="2" max="3" width="25.7109375" style="225" customWidth="1"/>
    <col min="4" max="14" width="10.7109375" style="225" customWidth="1"/>
    <col min="15" max="15" width="5.7109375" style="225" customWidth="1"/>
    <col min="16" max="16384" width="11.42578125" style="225"/>
  </cols>
  <sheetData>
    <row r="1" spans="1:15" x14ac:dyDescent="0.25">
      <c r="A1" s="159"/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</row>
    <row r="2" spans="1:15" x14ac:dyDescent="0.25">
      <c r="A2" s="159"/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</row>
    <row r="3" spans="1:15" x14ac:dyDescent="0.25">
      <c r="A3" s="159"/>
      <c r="B3" s="158" t="s">
        <v>227</v>
      </c>
      <c r="C3" s="159"/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</row>
    <row r="4" spans="1:15" ht="12.75" customHeight="1" x14ac:dyDescent="0.25">
      <c r="A4" s="159"/>
      <c r="B4" s="159" t="s">
        <v>228</v>
      </c>
      <c r="C4" s="226" t="s">
        <v>262</v>
      </c>
      <c r="D4" s="159"/>
      <c r="E4" s="159"/>
      <c r="F4" s="159"/>
      <c r="G4" s="159"/>
      <c r="H4" s="227" t="s">
        <v>256</v>
      </c>
      <c r="I4" s="204" t="s">
        <v>263</v>
      </c>
      <c r="J4" s="227" t="str">
        <f>IF(OR(applic_rate_unit="L/ha",applic_rate_unit="mL/m²"),"d (L/kg)","")</f>
        <v/>
      </c>
      <c r="K4" s="228">
        <v>1</v>
      </c>
      <c r="L4" s="159"/>
      <c r="M4" s="159"/>
      <c r="N4" s="159"/>
      <c r="O4" s="159"/>
    </row>
    <row r="5" spans="1:15" ht="12.75" customHeight="1" x14ac:dyDescent="0.25">
      <c r="A5" s="159"/>
      <c r="B5" s="159" t="s">
        <v>229</v>
      </c>
      <c r="C5" s="229" t="s">
        <v>264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1:15" s="231" customFormat="1" x14ac:dyDescent="0.2">
      <c r="A6" s="230"/>
      <c r="B6" s="230"/>
      <c r="C6" s="230"/>
      <c r="D6" s="230"/>
      <c r="E6" s="230"/>
      <c r="F6" s="230"/>
      <c r="G6" s="230"/>
      <c r="H6" s="230"/>
      <c r="I6" s="230"/>
      <c r="J6" s="230"/>
      <c r="K6" s="230"/>
      <c r="L6" s="230"/>
      <c r="M6" s="230"/>
      <c r="N6" s="230"/>
      <c r="O6" s="230"/>
    </row>
    <row r="7" spans="1:15" s="231" customFormat="1" x14ac:dyDescent="0.2">
      <c r="A7" s="230"/>
      <c r="B7" s="230" t="s">
        <v>265</v>
      </c>
      <c r="C7" s="363">
        <f>vd_24h_FOCUS!N5</f>
        <v>1</v>
      </c>
      <c r="D7" s="230"/>
      <c r="E7" s="232" t="s">
        <v>266</v>
      </c>
      <c r="F7" s="203" t="s">
        <v>267</v>
      </c>
      <c r="G7" s="230"/>
      <c r="H7" s="230"/>
      <c r="I7" s="230"/>
      <c r="J7" s="230"/>
      <c r="K7" s="230"/>
      <c r="L7" s="230"/>
      <c r="M7" s="230"/>
      <c r="N7" s="230"/>
      <c r="O7" s="230"/>
    </row>
    <row r="8" spans="1:15" s="231" customFormat="1" x14ac:dyDescent="0.2">
      <c r="A8" s="230"/>
      <c r="B8" s="230"/>
      <c r="C8" s="230"/>
      <c r="D8" s="230"/>
      <c r="E8" s="230"/>
      <c r="F8" s="230"/>
      <c r="G8" s="230"/>
      <c r="H8" s="230"/>
      <c r="I8" s="230"/>
      <c r="J8" s="230"/>
      <c r="K8" s="230"/>
      <c r="L8" s="230"/>
      <c r="M8" s="230"/>
      <c r="N8" s="230"/>
      <c r="O8" s="230"/>
    </row>
    <row r="9" spans="1:15" s="231" customFormat="1" x14ac:dyDescent="0.2">
      <c r="A9" s="230"/>
      <c r="B9" s="230" t="s">
        <v>268</v>
      </c>
      <c r="C9" s="233">
        <f>vd_24h_FOCUS!N6</f>
        <v>15</v>
      </c>
      <c r="D9" s="234"/>
      <c r="E9" s="234"/>
      <c r="F9" s="234"/>
      <c r="G9" s="234"/>
      <c r="H9" s="234"/>
      <c r="I9" s="234"/>
      <c r="J9" s="234"/>
      <c r="K9" s="234"/>
      <c r="L9" s="234"/>
      <c r="M9" s="234"/>
      <c r="N9" s="235"/>
      <c r="O9" s="230"/>
    </row>
    <row r="10" spans="1:15" s="231" customFormat="1" x14ac:dyDescent="0.2">
      <c r="A10" s="230"/>
      <c r="B10" s="236" t="s">
        <v>163</v>
      </c>
      <c r="C10" s="237" t="str">
        <f>vd_24h_FOCUS!N3</f>
        <v>arable crops</v>
      </c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O10" s="230"/>
    </row>
    <row r="11" spans="1:15" s="231" customFormat="1" x14ac:dyDescent="0.2">
      <c r="A11" s="230"/>
      <c r="B11" s="230" t="s">
        <v>269</v>
      </c>
      <c r="C11" s="240">
        <v>7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2"/>
      <c r="N11" s="243"/>
      <c r="O11" s="230"/>
    </row>
    <row r="12" spans="1:15" s="231" customFormat="1" x14ac:dyDescent="0.2">
      <c r="A12" s="230"/>
      <c r="B12" s="230"/>
      <c r="C12" s="244"/>
      <c r="D12" s="244"/>
      <c r="E12" s="244"/>
      <c r="F12" s="244"/>
      <c r="G12" s="244"/>
      <c r="H12" s="244"/>
      <c r="I12" s="244"/>
      <c r="J12" s="244"/>
      <c r="K12" s="244"/>
      <c r="L12" s="244"/>
      <c r="M12" s="245"/>
      <c r="N12" s="244"/>
      <c r="O12" s="230"/>
    </row>
    <row r="13" spans="1:15" x14ac:dyDescent="0.25">
      <c r="A13" s="159"/>
      <c r="B13" s="158" t="s">
        <v>270</v>
      </c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</row>
    <row r="14" spans="1:15" x14ac:dyDescent="0.25">
      <c r="A14" s="159"/>
      <c r="B14" s="246" t="s">
        <v>271</v>
      </c>
      <c r="C14" s="247" t="str">
        <f>IF(AND(LEFT(compartment,4)="aqua",MID(compartment,23,3)="sed"),
"→ enter sediment exposure parameters on worksheet 'sed'",
"")</f>
        <v/>
      </c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</row>
    <row r="15" spans="1:15" x14ac:dyDescent="0.25">
      <c r="A15" s="159"/>
      <c r="B15" s="159"/>
      <c r="C15" s="159"/>
      <c r="D15" s="159"/>
      <c r="E15" s="159"/>
      <c r="F15" s="159"/>
      <c r="G15" s="159"/>
      <c r="H15" s="159"/>
      <c r="I15" s="248"/>
      <c r="J15" s="159"/>
      <c r="K15" s="159"/>
      <c r="L15" s="159"/>
      <c r="M15" s="159"/>
      <c r="N15" s="159"/>
      <c r="O15" s="159"/>
    </row>
    <row r="16" spans="1:15" x14ac:dyDescent="0.25">
      <c r="A16" s="159"/>
      <c r="B16" s="249" t="s">
        <v>272</v>
      </c>
      <c r="C16" s="248"/>
      <c r="D16" s="159"/>
      <c r="E16" s="159"/>
      <c r="F16" s="159"/>
      <c r="G16" s="159"/>
      <c r="H16" s="159"/>
      <c r="I16" s="248"/>
      <c r="J16" s="159"/>
      <c r="K16" s="159"/>
      <c r="L16" s="159"/>
      <c r="M16" s="159"/>
      <c r="N16" s="159"/>
      <c r="O16" s="159"/>
    </row>
    <row r="17" spans="1:15" x14ac:dyDescent="0.25">
      <c r="A17" s="159"/>
      <c r="B17" s="246" t="s">
        <v>273</v>
      </c>
      <c r="C17" s="247" t="str">
        <f>IF(LEFT(mult_applic,3)="eff","currently not applied in regulation","")</f>
        <v/>
      </c>
      <c r="D17" s="248"/>
      <c r="E17" s="159"/>
      <c r="F17" s="159"/>
      <c r="G17" s="159"/>
      <c r="H17" s="159"/>
      <c r="I17" s="248"/>
      <c r="J17" s="159"/>
      <c r="K17" s="159"/>
      <c r="L17" s="159"/>
      <c r="M17" s="159"/>
      <c r="N17" s="159"/>
      <c r="O17" s="159"/>
    </row>
    <row r="18" spans="1:15" x14ac:dyDescent="0.25">
      <c r="A18" s="159"/>
      <c r="B18" s="159"/>
      <c r="C18" s="159"/>
      <c r="D18" s="159"/>
      <c r="E18" s="159"/>
      <c r="F18" s="159"/>
      <c r="G18" s="159"/>
      <c r="H18" s="159"/>
      <c r="I18" s="248"/>
      <c r="J18" s="159"/>
      <c r="K18" s="159"/>
      <c r="L18" s="159"/>
      <c r="M18" s="159"/>
      <c r="N18" s="159"/>
      <c r="O18" s="159"/>
    </row>
    <row r="19" spans="1:15" x14ac:dyDescent="0.2">
      <c r="A19" s="159"/>
      <c r="B19" s="250" t="s">
        <v>274</v>
      </c>
      <c r="C19" s="232"/>
      <c r="D19" s="230"/>
      <c r="E19" s="232" t="str">
        <f>IF(LEFT(compartment,4)="aqua",
IF(MID(compartment,23,3)="wat","DisT50 wat",
IF(MID(compartment,23,3)="sed","DegT50 ws","DT50")),
"DT50")</f>
        <v>DisT50 wat</v>
      </c>
      <c r="F19" s="251" t="str">
        <f>IF(LEFT(compartment,4)="terr","MAFplant","")</f>
        <v/>
      </c>
      <c r="G19" s="251" t="str">
        <f>IF(LEFT(compartment,4)="terr","MAFsoil","")</f>
        <v/>
      </c>
      <c r="H19" s="159"/>
      <c r="I19" s="248"/>
      <c r="J19" s="159"/>
      <c r="K19" s="159"/>
      <c r="L19" s="159"/>
      <c r="M19" s="159"/>
      <c r="N19" s="159"/>
      <c r="O19" s="159"/>
    </row>
    <row r="20" spans="1:15" x14ac:dyDescent="0.2">
      <c r="A20" s="159"/>
      <c r="B20" s="252" t="s">
        <v>275</v>
      </c>
      <c r="C20" s="253">
        <f>E20</f>
        <v>20</v>
      </c>
      <c r="D20" s="232" t="s">
        <v>276</v>
      </c>
      <c r="E20" s="254">
        <v>20</v>
      </c>
      <c r="F20" s="251" t="str">
        <f>IF(LEFT(compartment,4)="terr",
IF(MIN(interval_applic1:INDEX(interval_applic,no_applic-1)),
2.3*(MIN(interval_applic1:INDEX(interval_applic,no_applic-1))),
2.3),
"")</f>
        <v/>
      </c>
      <c r="G20" s="251" t="str">
        <f>IF(LEFT(compartment,4)="terr",
IF(MIN(interval_applic1:INDEX(interval_applic,no_applic-1)),
6*(MIN(interval_applic1:INDEX(interval_applic,no_applic-1))),
6),
"")</f>
        <v/>
      </c>
      <c r="H20" s="159"/>
      <c r="I20" s="255" t="e">
        <f>IF(
OR(AND(no_applic&gt;1,peak_single_crit,NOT(parameter="PECtwa")),AND(no_applic&gt;1,twa_single_crit,parameter="PECtwa")),
"small ratio DT50/applic. int.  →  consider fewer applications around applic. #"&amp;single_applic_crit,
IF(
AND(LEFT(compartment,4)="aqua",MID(compartment,23,3)="sed",f_accu_plat&gt;0),
"accumulation in sediment by f-accu = "&amp;ROUND(f_accu_plat+1,2)&amp;" is considered in PECsed value",
""))</f>
        <v>#REF!</v>
      </c>
      <c r="J20" s="159"/>
      <c r="K20" s="159"/>
      <c r="L20" s="159"/>
      <c r="M20" s="159"/>
      <c r="N20" s="159"/>
      <c r="O20" s="159"/>
    </row>
    <row r="21" spans="1:15" x14ac:dyDescent="0.2">
      <c r="A21" s="159"/>
      <c r="B21" s="230" t="s">
        <v>277</v>
      </c>
      <c r="C21" s="256">
        <f>LN(2)/dt50_value</f>
        <v>3.4657359027997263E-2</v>
      </c>
      <c r="D21" s="232" t="str">
        <f>IF(LEFT(compartment,4)="terr","MAF","")</f>
        <v/>
      </c>
      <c r="E21" s="257" t="str">
        <f>IF(AND(LEFT(compartment,4)="terr",LEFT(dt50_type,3)&lt;&gt;"MAF"),
IF(MIN(interval_applic1:INDEX(interval_applic,no_applic-1)),
ROUND((1-EXP(-no_applic*LN(2)/INDEX(dt50_value_aqua,2)*(MIN(interval_applic1:INDEX(interval_applic,no_applic-1)))))
/(1-EXP(-LN(2)/INDEX(dt50_value_aqua,2)*(MIN(interval_applic1:INDEX(interval_applic,no_applic-1))))),1),
1),
"")</f>
        <v/>
      </c>
      <c r="F21" s="257" t="str">
        <f>IF(LEFT(compartment,4)="terr",ROUND((1-EXP(-no_applic*LN(2)/2.3))/(1-EXP(-LN(2)/2.3)),1),"")</f>
        <v/>
      </c>
      <c r="G21" s="257" t="str">
        <f>IF(LEFT(compartment,4)="terr",ROUND((1-EXP(-no_applic*LN(2)/6))/(1-EXP(-LN(2)/6)),1),"")</f>
        <v/>
      </c>
      <c r="H21" s="159"/>
      <c r="I21" s="258" t="str">
        <f ca="1">IF(SUM(vd_rate_final),
IF(AND(dt50_value&lt;1,LEFT(vd!vd_rate_select,4)="calc"),
"DT50 of "&amp;ROUND(dt50_value*24,1)&amp;" h is &lt; 1 d"
&amp;"  →  v/d reduced to max. 24-h amount of "&amp;TEXT(dt50_act_red,"0 %"),
""),
"")</f>
        <v/>
      </c>
      <c r="J21" s="159"/>
      <c r="K21" s="159"/>
      <c r="L21" s="159"/>
      <c r="M21" s="159"/>
      <c r="N21" s="159"/>
      <c r="O21" s="159"/>
    </row>
    <row r="22" spans="1:15" x14ac:dyDescent="0.2">
      <c r="A22" s="159"/>
      <c r="B22" s="159"/>
      <c r="C22" s="259"/>
      <c r="D22" s="159"/>
      <c r="E22" s="159"/>
      <c r="F22" s="159"/>
      <c r="G22" s="159"/>
      <c r="H22" s="159"/>
      <c r="I22" s="260"/>
      <c r="J22" s="159"/>
      <c r="K22" s="159"/>
      <c r="L22" s="159"/>
      <c r="M22" s="159"/>
      <c r="N22" s="159"/>
      <c r="O22" s="159"/>
    </row>
    <row r="23" spans="1:15" x14ac:dyDescent="0.25">
      <c r="A23" s="159"/>
      <c r="B23" s="249" t="str">
        <f>IF(LEFT(compartment,4)="aqua","exposure type",IF(compartment="terrestrial arthropods","vdf (2D/3D correction)",IF(compartment="terrestrial plants","interception (off-crop)","")))</f>
        <v>exposure type</v>
      </c>
      <c r="C23" s="259"/>
      <c r="D23" s="159"/>
      <c r="E23" s="159"/>
      <c r="F23" s="159"/>
      <c r="G23" s="159"/>
      <c r="H23" s="159"/>
      <c r="I23" s="259"/>
      <c r="J23" s="159"/>
      <c r="K23" s="159"/>
      <c r="L23" s="159"/>
      <c r="M23" s="159"/>
      <c r="N23" s="159"/>
      <c r="O23" s="159"/>
    </row>
    <row r="24" spans="1:15" x14ac:dyDescent="0.25">
      <c r="A24" s="159"/>
      <c r="B24" s="252" t="s">
        <v>278</v>
      </c>
      <c r="C24" s="159"/>
      <c r="D24" s="227" t="str">
        <f>IF(parameter="PECtwa","twa int. (d)","")</f>
        <v/>
      </c>
      <c r="E24" s="228">
        <v>21</v>
      </c>
      <c r="F24" s="159"/>
      <c r="G24" s="159"/>
      <c r="H24" s="227" t="s">
        <v>279</v>
      </c>
      <c r="I24" s="204" t="s">
        <v>280</v>
      </c>
      <c r="J24" s="227" t="s">
        <v>259</v>
      </c>
      <c r="K24" s="205">
        <f ca="1">IF(ISERROR(MATCH(PEC_unit,INDIRECT("select_PEC_"&amp;LEFT(compartment,4)&amp;"_"&amp;MID(compartment,23,3)),0)),
1,
VLOOKUP(applic_rate_unit,INDIRECT("matrix_rate_PEC_"&amp;LEFT(compartment,4)&amp;"_"&amp;MID(compartment,23,3)),
MATCH(PEC_unit,OFFSET(INDIRECT("matrix_rate_PEC_"&amp;LEFT(compartment,4)&amp;"_"&amp;MID(compartment,23,3)),,,1),FALSE),FALSE))
*IF(N(parameter)=0,
1,
IF(LEFT(select_parameter,3)="vdf",1/parameter,1-parameter))</f>
        <v>0.33333333333333331</v>
      </c>
      <c r="L24" s="159"/>
      <c r="M24" s="159"/>
      <c r="N24" s="159"/>
      <c r="O24" s="159"/>
    </row>
    <row r="25" spans="1:15" x14ac:dyDescent="0.25">
      <c r="A25" s="159"/>
      <c r="B25" s="159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</row>
    <row r="26" spans="1:15" x14ac:dyDescent="0.25">
      <c r="A26" s="159"/>
      <c r="B26" s="158" t="s">
        <v>281</v>
      </c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</row>
    <row r="27" spans="1:15" x14ac:dyDescent="0.25">
      <c r="A27" s="159"/>
      <c r="B27" s="159" t="str">
        <f t="shared" ref="B27:B32" si="0">HLOOKUP(compartment,report_table_content,ROW()-MATCH("report data",B:B,0)+1,FALSE)</f>
        <v>active substance/product:</v>
      </c>
      <c r="C27" s="377" t="str">
        <f>IF(active_substance_product&lt;&gt;"",active_substance_product,"")</f>
        <v>examplamine</v>
      </c>
      <c r="D27" s="378"/>
      <c r="E27" s="378"/>
      <c r="F27" s="378"/>
      <c r="G27" s="379"/>
      <c r="H27" s="227" t="s">
        <v>282</v>
      </c>
      <c r="I27" s="159"/>
      <c r="J27" s="159"/>
      <c r="K27" s="159"/>
      <c r="L27" s="159"/>
      <c r="M27" s="159"/>
      <c r="N27" s="159"/>
      <c r="O27" s="159"/>
    </row>
    <row r="28" spans="1:15" x14ac:dyDescent="0.25">
      <c r="A28" s="159"/>
      <c r="B28" s="159" t="str">
        <f t="shared" si="0"/>
        <v>intended use:</v>
      </c>
      <c r="C28" s="380" t="str">
        <f>IF(intended_use&lt;&gt;"",intended_use,"")</f>
        <v>00-001</v>
      </c>
      <c r="D28" s="381"/>
      <c r="E28" s="381"/>
      <c r="F28" s="381"/>
      <c r="G28" s="382"/>
      <c r="H28" s="227" t="s">
        <v>283</v>
      </c>
      <c r="I28" s="204" t="s">
        <v>284</v>
      </c>
      <c r="J28" s="159"/>
      <c r="K28" s="159"/>
      <c r="L28" s="159"/>
      <c r="M28" s="159"/>
      <c r="N28" s="159"/>
      <c r="O28" s="159"/>
    </row>
    <row r="29" spans="1:15" x14ac:dyDescent="0.25">
      <c r="A29" s="159"/>
      <c r="B29" s="159" t="str">
        <f t="shared" si="0"/>
        <v>application parameters:</v>
      </c>
      <c r="C29" s="380" t="str">
        <f ca="1">no_applic&amp;" × "
&amp;IF(MIN(applic_rate1:INDEX(applic_rate,,no_applic))&lt;MAX(applic_rate1:INDEX(applic_rate,,no_applic)),
MIN(applic_rate1:INDEX(applic_rate,,no_applic))&amp;"-"&amp;MAX(applic_rate1:INDEX(applic_rate,,no_applic)),
MIN(applic_rate1:INDEX(applic_rate,,no_applic)))
&amp;" "&amp;applic_rate_unit
&amp;IF(no_applic&gt;1,
", "&amp;"interval "
&amp;IF(MIN(interval_applic1:INDEX(interval_applic,,no_applic))&lt;MAX(interval_applic1:INDEX(interval_applic,,no_applic)),
MIN(interval_applic1:INDEX(interval_applic,,no_applic))&amp;"-"&amp;MAX(interval_applic1:INDEX(interval_applic,,no_applic)),
MIN(interval_applic1:INDEX(interval_applic,,no_applic)))&amp;" d",
"")
&amp;IF(SUM(vd_rate_final),"; v/d considered for applic. #"&amp;vd_applic_crit,"")</f>
        <v>1 × 15 g/ha</v>
      </c>
      <c r="D29" s="381"/>
      <c r="E29" s="381"/>
      <c r="F29" s="381"/>
      <c r="G29" s="382"/>
      <c r="H29" s="159"/>
      <c r="I29" s="159"/>
      <c r="J29" s="159"/>
      <c r="K29" s="159"/>
      <c r="L29" s="159"/>
      <c r="M29" s="159"/>
      <c r="N29" s="159"/>
      <c r="O29" s="159"/>
    </row>
    <row r="30" spans="1:15" x14ac:dyDescent="0.25">
      <c r="A30" s="159"/>
      <c r="B30" s="159" t="str">
        <f t="shared" si="0"/>
        <v>DisT50 water phase (SFO):</v>
      </c>
      <c r="C30" s="380" t="str">
        <f ca="1">IF(LEFT(mult_applic,3)="eff",
"cumulation of effects (based on "&amp;select_fitting_approach&amp;"-fitted dose-response curve)",
IF(ISERROR(MATCH(dt50_type,INDIRECT("dt50_select_"&amp;LEFT(compartment,4)),0)),
"",
HLOOKUP(dt50_type,INDIRECT("dt50_value_"&amp;LEFT(compartment,4)),2+(LEFT(compartment,4)="terr"),FALSE)
&amp;IF(AND(no_applic&gt;1,LEFT(compartment,4)="terr"),
" (PEC calculations actually based on "
&amp;IF(LEFT(dt50_type,3)="MAF",
"assumed DT50 of "&amp;IF(MID(dt50_type,4,5)="plant",2.3,6)&amp;" × "
&amp;IF(MIN(interval_applic1:INDEX(interval_applic,no_applic-1)),(MIN(interval_applic1:INDEX(interval_applic,no_applic-1))),1)&amp;" d = ",
"DT50 of ")
&amp;HLOOKUP(dt50_type,INDIRECT("dt50_value_"&amp;LEFT(compartment,4)),2,FALSE)&amp;" d)",
IF(LEFT(compartment,4)="aqua",
" d",
""))))</f>
        <v>20 d</v>
      </c>
      <c r="D30" s="381"/>
      <c r="E30" s="381"/>
      <c r="F30" s="381"/>
      <c r="G30" s="382"/>
      <c r="H30" s="159"/>
      <c r="I30" s="159"/>
      <c r="J30" s="159"/>
      <c r="K30" s="159"/>
      <c r="L30" s="261"/>
      <c r="M30" s="159"/>
      <c r="N30" s="159"/>
      <c r="O30" s="159"/>
    </row>
    <row r="31" spans="1:15" x14ac:dyDescent="0.25">
      <c r="A31" s="159"/>
      <c r="B31" s="159" t="str">
        <f t="shared" si="0"/>
        <v>scenario, drift percentile:</v>
      </c>
      <c r="C31" s="380" t="e">
        <f>IF(ISTEXT(INDEX(factor,,1))*(no_applic&gt;=1),INDEX(factor,,1),"")
&amp;IF(ISTEXT(INDEX(factor,,2))*(no_applic&gt;=2),", "&amp;INDEX(factor,,2),"")
&amp;IF(ISTEXT(INDEX(factor,,3))*(no_applic&gt;=3),", "&amp;INDEX(factor,,3),"")
&amp;IF(ISTEXT(INDEX(factor,,4))*(no_applic&gt;=4),", "&amp;INDEX(factor,,4),"")
&amp;IF(ISTEXT(INDEX(factor,,5))*(no_applic&gt;=5),", "&amp;INDEX(factor,,5),"")
&amp;IF(ISTEXT(INDEX(factor,,6))*(no_applic&gt;=6),", "&amp;INDEX(factor,,6),"")
&amp;IF(ISTEXT(INDEX(factor,,7))*(no_applic&gt;=7),", "&amp;INDEX(factor,,7),"")
&amp;IF(ISTEXT(INDEX(factor,,8))*(no_applic&gt;=8),", "&amp;INDEX(factor,,8),"")
&amp;IF(ISTEXT(INDEX(factor,,9))*(no_applic&gt;=9),", "&amp;INDEX(factor,,9),"")
&amp;IF(ISTEXT(INDEX(factor,,10))*(no_applic&gt;=10),", "&amp;INDEX(factor,,10),"")
&amp;IF(ISTEXT(INDEX(factor,,11))*(no_applic&gt;=11),", "&amp;INDEX(factor,,11),"")
&amp;IF(ISTEXT(INDEX(factor,,12))*(no_applic&gt;=12),", "&amp;INDEX(factor,,12),"")
&amp;IF(ISNUMBER(FIND("no drift",factor)),"",", "&amp;INDEX(drift_percentile,,IF(select_perc_type="MAF-crit",13,no_applic)))
&amp;IF(select_perc_type="MAF-crit"," (reflecting residue dynamics)","")</f>
        <v>#REF!</v>
      </c>
      <c r="D31" s="381"/>
      <c r="E31" s="381"/>
      <c r="F31" s="381"/>
      <c r="G31" s="382"/>
      <c r="H31" s="159"/>
      <c r="I31" s="159"/>
      <c r="J31" s="159"/>
      <c r="K31" s="159"/>
      <c r="L31" s="159"/>
      <c r="M31" s="159"/>
      <c r="N31" s="159"/>
      <c r="O31" s="159"/>
    </row>
    <row r="32" spans="1:15" x14ac:dyDescent="0.25">
      <c r="A32" s="159"/>
      <c r="B32" s="259" t="str">
        <f t="shared" si="0"/>
        <v>PEC type:</v>
      </c>
      <c r="C32" s="374" t="str">
        <f ca="1">IF(ISERROR(MATCH(parameter,INDIRECT("select_"&amp;LEFT(select_parameter,3)),0)),
"",
IF(parameter="PECtwa",
parameter&amp;", twa interval "&amp;twa_int_value&amp;" d",
parameter))</f>
        <v>PECini/PECact</v>
      </c>
      <c r="D32" s="375"/>
      <c r="E32" s="375"/>
      <c r="F32" s="375"/>
      <c r="G32" s="376"/>
      <c r="H32" s="159"/>
      <c r="I32" s="159"/>
      <c r="J32" s="159"/>
      <c r="K32" s="159"/>
      <c r="L32" s="159"/>
      <c r="M32" s="159"/>
      <c r="N32" s="159"/>
      <c r="O32" s="159"/>
    </row>
    <row r="33" spans="1:15" x14ac:dyDescent="0.25">
      <c r="A33" s="159"/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</row>
    <row r="34" spans="1:15" x14ac:dyDescent="0.25">
      <c r="A34" s="159"/>
      <c r="B34" s="158" t="str">
        <f>"PEC calculation ("&amp;PEC_unit&amp;")"</f>
        <v>PEC calculation (µg/L)</v>
      </c>
      <c r="C34" s="159"/>
      <c r="D34" s="262"/>
      <c r="E34" s="262"/>
      <c r="F34" s="262"/>
      <c r="G34" s="262"/>
      <c r="H34" s="263"/>
      <c r="I34" s="263"/>
      <c r="J34" s="263"/>
      <c r="K34" s="263"/>
      <c r="L34" s="159"/>
      <c r="M34" s="159"/>
      <c r="N34" s="159"/>
      <c r="O34" s="159"/>
    </row>
    <row r="35" spans="1:15" ht="25.5" x14ac:dyDescent="0.2">
      <c r="A35" s="159"/>
      <c r="B35" s="159"/>
      <c r="C35" s="264" t="s">
        <v>165</v>
      </c>
      <c r="D35" s="264" t="s">
        <v>285</v>
      </c>
      <c r="E35" s="264" t="s">
        <v>286</v>
      </c>
      <c r="F35" s="264" t="s">
        <v>287</v>
      </c>
      <c r="G35" s="264" t="s">
        <v>288</v>
      </c>
      <c r="H35" s="264" t="s">
        <v>289</v>
      </c>
      <c r="I35" s="265" t="s">
        <v>290</v>
      </c>
      <c r="J35" s="265" t="s">
        <v>291</v>
      </c>
      <c r="K35" s="265" t="s">
        <v>292</v>
      </c>
      <c r="L35" s="266"/>
      <c r="M35" s="159"/>
      <c r="N35" s="159"/>
      <c r="O35" s="159"/>
    </row>
    <row r="36" spans="1:15" x14ac:dyDescent="0.2">
      <c r="A36" s="159"/>
      <c r="B36" s="159"/>
      <c r="C36" s="267" t="e" cm="1">
        <f t="array" ref="C36">VLOOKUP(INDEX(factor,MAX(((factor1:INDEX(factor,no_applic))&lt;&gt;"")*(COLUMN(factor1:INDEX(factor,no_applic))-2))),drift_percent_01m,COLUMN()-1,FALSE)</f>
        <v>#REF!</v>
      </c>
      <c r="D36" s="268" t="e">
        <f t="array" ref="D36">IF(
VLOOKUP(INDEX(factor,MAX(((factor1:INDEX(factor,no_applic))&lt;&gt;"")*(COLUMN(factor1:INDEX(factor,no_applic))-2))),drift_percent_01m,
IF(select_perc_type="MAF-crit",13,no_applic)+2,FALSE),
VLOOKUP(INDEX(factor,MAX(((factor1:INDEX(factor,no_applic))&lt;&gt;"")*(COLUMN(factor1:INDEX(factor,no_applic))-2))),drift_percent_01m,
IF(select_perc_type="MAF-crit",13,no_applic)+2,FALSE),
"-/-")</f>
        <v>#REF!</v>
      </c>
      <c r="E36" s="269" t="e">
        <f>IF(IF(parameter="PECtwa",[0]!twa_max_01m,[0]!peak_max_01m),
IF(parameter="PECtwa",[0]!twa_max_01m,[0]!peak_max_01m)*scenario_factor,
"-/-")</f>
        <v>#REF!</v>
      </c>
      <c r="F36" s="270" t="str">
        <f ca="1">IF(vd_perc_final_01m&lt;&gt;0,vd_perc_final_01m,"-/-")</f>
        <v>-/-</v>
      </c>
      <c r="G36" s="271" t="str">
        <f ca="1">IF(vd_rate_final_01m&lt;&gt;0,vd_rate_final_01m*scenario_factor,"-/-")</f>
        <v>-/-</v>
      </c>
      <c r="H36" s="272" t="e">
        <f ca="1">IF(LEFT(mult_applic,3)="eff",
[0]!peak_max_00p_01m,
IF(parameter="PECtwa",[0]!twa_max_01m,[0]!peak_max_01m)*scenario_factor)</f>
        <v>#REF!</v>
      </c>
      <c r="I36" s="272" t="e">
        <f t="array" aca="1" ref="I36" ca="1">IF(SUM(ISNUMBER(FIND("knapsack",factor))*1)+SUM(ISNUMBER(FIND("gardening",factor))*1)+SUM(ISNUMBER(FIND("no drift",factor))*1),
"",
IF(LEFT(mult_applic,3)="eff",
[0]!peak_max_50p_01m,
IF(parameter="PECtwa",[0]!twa_max_01m,[0]!peak_max_01m)*scenario_factor))</f>
        <v>#REF!</v>
      </c>
      <c r="J36" s="272" t="e">
        <f t="array" aca="1" ref="J36" ca="1">IF(SUM(ISNUMBER(FIND("knapsack",factor))*1)+SUM(ISNUMBER(FIND("gardening",factor))*1)+SUM(ISNUMBER(FIND("no drift",factor))*1),
"",
IF(LEFT(mult_applic,3)="eff",
[0]!peak_max_75p_01m,
IF(parameter="PECtwa",[0]!twa_max_01m,[0]!peak_max_01m)*scenario_factor))</f>
        <v>#REF!</v>
      </c>
      <c r="K36" s="273" t="e">
        <f t="array" aca="1" ref="K36" ca="1">IF(SUM(ISNUMBER(FIND("knapsack",factor))*1)+SUM(ISNUMBER(FIND("gardening",factor))*1)+SUM(ISNUMBER(FIND("no drift",factor))*1),
"",
IF(LEFT(mult_applic,3)="eff",
[0]!peak_max_90p_01m,
IF(parameter="PECtwa",[0]!twa_max_01m,[0]!peak_max_01m)*scenario_factor))</f>
        <v>#REF!</v>
      </c>
      <c r="L36" s="274" t="str">
        <f t="array" aca="1" ref="L36:L40" ca="1">IF(AND(LEFT(compartment,4)="aqua",water_solubility_20&lt;&gt;""),
IF(LEN(vd_limit_wat_sol),"←  v/d  limited by water solubility!",""),
"")</f>
        <v/>
      </c>
      <c r="M36" s="259"/>
      <c r="N36" s="159"/>
      <c r="O36" s="159"/>
    </row>
    <row r="37" spans="1:15" x14ac:dyDescent="0.2">
      <c r="A37" s="159"/>
      <c r="B37" s="159"/>
      <c r="C37" s="275" t="e">
        <f t="array" ref="C37">VLOOKUP(INDEX(factor,MAX(((factor1:INDEX(factor,no_applic))&lt;&gt;"")*(COLUMN(factor1:INDEX(factor,no_applic))-2))),drift_percent_05m,COLUMN()-1,FALSE)</f>
        <v>#REF!</v>
      </c>
      <c r="D37" s="276" t="e">
        <f t="array" ref="D37">IF(
VLOOKUP(INDEX(factor,MAX(((factor1:INDEX(factor,no_applic))&lt;&gt;"")*(COLUMN(factor1:INDEX(factor,no_applic))-2))),drift_percent_05m,
IF(select_perc_type="MAF-crit",13,no_applic)+2,FALSE),
VLOOKUP(INDEX(factor,MAX(((factor1:INDEX(factor,no_applic))&lt;&gt;"")*(COLUMN(factor1:INDEX(factor,no_applic))-2))),drift_percent_05m,
IF(select_perc_type="MAF-crit",13,no_applic)+2,FALSE),
"-/-")</f>
        <v>#REF!</v>
      </c>
      <c r="E37" s="277" t="e">
        <f>IF(IF(parameter="PECtwa",[0]!twa_max_05m,[0]!peak_max_05m),
IF(parameter="PECtwa",[0]!twa_max_05m,[0]!peak_max_05m)*scenario_factor,
"-/-")</f>
        <v>#REF!</v>
      </c>
      <c r="F37" s="278" t="str">
        <f ca="1">IF(vd_perc_final_05m&lt;&gt;0,vd_perc_final_05m,"-/-")</f>
        <v>-/-</v>
      </c>
      <c r="G37" s="279" t="str">
        <f ca="1">IF(vd_rate_final_05m&lt;&gt;0,vd_rate_final_05m*scenario_factor,"-/-")</f>
        <v>-/-</v>
      </c>
      <c r="H37" s="280" t="e">
        <f ca="1">IF(LEFT(mult_applic,3)="eff",
[0]!peak_max_00p_05m,
IF(parameter="PECtwa",[0]!twa_max_05m,[0]!peak_max_05m)*scenario_factor)</f>
        <v>#REF!</v>
      </c>
      <c r="I37" s="280" t="e">
        <f t="array" aca="1" ref="I37" ca="1">IF(SUM(ISNUMBER(FIND("knapsack",factor))*1)+SUM(ISNUMBER(FIND("gardening",factor))*1)+SUM(ISNUMBER(FIND("no drift",factor))*1),
"",
IF(LEFT(mult_applic,3)="eff",
[0]!peak_max_50p_05m,
IF(parameter="PECtwa",[0]!twa_max_05m,[0]!peak_max_05m)*scenario_factor))</f>
        <v>#REF!</v>
      </c>
      <c r="J37" s="280" t="e">
        <f t="array" aca="1" ref="J37" ca="1">IF(SUM(ISNUMBER(FIND("knapsack",factor))*1)+SUM(ISNUMBER(FIND("gardening",factor))*1)+SUM(ISNUMBER(FIND("no drift",factor))*1),
"",
IF(LEFT(mult_applic,3)="eff",
[0]!peak_max_75p_05m,
IF(parameter="PECtwa",[0]!twa_max_05m,[0]!peak_max_05m)*scenario_factor))</f>
        <v>#REF!</v>
      </c>
      <c r="K37" s="281" t="e">
        <f t="array" aca="1" ref="K37" ca="1">IF(SUM(ISNUMBER(FIND("knapsack",factor))*1)+SUM(ISNUMBER(FIND("gardening",factor))*1)+SUM(ISNUMBER(FIND("no drift",factor))*1),
"",
IF(LEFT(mult_applic,3)="eff",
[0]!peak_max_90p_05m,
IF(parameter="PECtwa",[0]!twa_max_05m,[0]!peak_max_05m)*scenario_factor))</f>
        <v>#REF!</v>
      </c>
      <c r="L37" s="274" t="str">
        <f ca="1"/>
        <v/>
      </c>
      <c r="M37" s="259"/>
      <c r="N37" s="159"/>
      <c r="O37" s="159"/>
    </row>
    <row r="38" spans="1:15" x14ac:dyDescent="0.2">
      <c r="A38" s="159"/>
      <c r="B38" s="159"/>
      <c r="C38" s="275" t="e">
        <f>IF(OR(LEFT(compartment,4)="aqua",report_doc="CA"),
VLOOKUP(INDEX(factor,MAX(((factor1:INDEX(factor,no_applic))&lt;&gt;"")*(COLUMN(factor1:INDEX(factor,no_applic))-2))),drift_percent_10m,COLUMN()-1,FALSE),
"")</f>
        <v>#REF!</v>
      </c>
      <c r="D38" s="276" t="e">
        <f t="array" ref="D38">IF(OR(LEFT(compartment,4)="aqua",report_doc="CA"),
IF(
VLOOKUP(INDEX(factor,MAX(((factor1:INDEX(factor,no_applic))&lt;&gt;"")*(COLUMN(factor1:INDEX(factor,no_applic))-2))),drift_percent_10m,
IF(select_perc_type="MAF-crit",13,no_applic)+2,FALSE),
VLOOKUP(INDEX(factor,MAX(((factor1:INDEX(factor,no_applic))&lt;&gt;"")*(COLUMN(factor1:INDEX(factor,no_applic))-2))),drift_percent_10m,
IF(select_perc_type="MAF-crit",13,no_applic)+2,FALSE),
"-/-"),
"")</f>
        <v>#REF!</v>
      </c>
      <c r="E38" s="277" t="e">
        <f ca="1">IF(OR(LEFT(compartment,4)="aqua",report_doc="CA"),
IF(IF(parameter="PECtwa",[0]!twa_max_10m,[0]!peak_max_10m)*scenario_factor,
IF(parameter="PECtwa",[0]!twa_max_10m,[0]!peak_max_10m)*scenario_factor,
"-/-"),
"")</f>
        <v>#REF!</v>
      </c>
      <c r="F38" s="278" t="str">
        <f ca="1">IF(OR(LEFT(compartment,4)="aqua",report_doc="CA"),
IF(vd_perc_final_10m&lt;&gt;0,vd_perc_final_10m,"-/-"),
"")</f>
        <v>-/-</v>
      </c>
      <c r="G38" s="279" t="str">
        <f ca="1">IF(OR(LEFT(compartment,4)="aqua",report_doc="CA"),
IF(vd_rate_final_10m&lt;&gt;0,vd_rate_final_10m*scenario_factor,"-/-"),
"")</f>
        <v>-/-</v>
      </c>
      <c r="H38" s="280" t="e">
        <f ca="1">IF(OR(LEFT(compartment,4)="aqua",report_doc="CA"),
IF(LEFT(mult_applic,3)="eff",
[0]!peak_max_00p_10m,
IF(parameter="PECtwa",[0]!twa_max_10m,[0]!peak_max_10m)*scenario_factor),
"")</f>
        <v>#REF!</v>
      </c>
      <c r="I38" s="280" t="e">
        <f t="array" aca="1" ref="I38" ca="1">IF(SUM(ISNUMBER(FIND("knapsack",factor))*1)+SUM(ISNUMBER(FIND("gardening",factor))*1)+SUM(ISNUMBER(FIND("no drift",factor))*1),
"",
IF(OR(LEFT(compartment,4)="aqua",report_doc="CA"),
IF(LEFT(mult_applic,3)="eff",
[0]!peak_max_50p_10m,
IF(parameter="PECtwa",[0]!twa_max_10m,[0]!peak_max_10m)*scenario_factor),
""))</f>
        <v>#REF!</v>
      </c>
      <c r="J38" s="280" t="e">
        <f t="array" aca="1" ref="J38" ca="1">IF(SUM(ISNUMBER(FIND("knapsack",factor))*1)+SUM(ISNUMBER(FIND("gardening",factor))*1)+SUM(ISNUMBER(FIND("no drift",factor))*1),
"",
IF(OR(LEFT(compartment,4)="aqua",report_doc="CA"),
IF(LEFT(mult_applic,3)="eff",
[0]!peak_max_75p_10m,
IF(parameter="PECtwa",[0]!twa_max_10m,[0]!peak_max_10m)*scenario_factor),
""))</f>
        <v>#REF!</v>
      </c>
      <c r="K38" s="281" t="e">
        <f t="array" aca="1" ref="K38" ca="1">IF(SUM(ISNUMBER(FIND("knapsack",factor))*1)+SUM(ISNUMBER(FIND("gardening",factor))*1)+SUM(ISNUMBER(FIND("no drift",factor))*1),
"",
IF(OR(LEFT(compartment,4)="aqua",report_doc="CA"),
IF(LEFT(mult_applic,3)="eff",
[0]!peak_max_90p_10m,
IF(parameter="PECtwa",[0]!twa_max_10m,[0]!peak_max_10m)*scenario_factor),
""))</f>
        <v>#REF!</v>
      </c>
      <c r="L38" s="274" t="str">
        <f ca="1"/>
        <v/>
      </c>
      <c r="M38" s="259"/>
      <c r="N38" s="159"/>
      <c r="O38" s="159"/>
    </row>
    <row r="39" spans="1:15" x14ac:dyDescent="0.2">
      <c r="A39" s="159"/>
      <c r="B39" s="159"/>
      <c r="C39" s="275" t="e">
        <f>IF(LEFT(compartment,4)="aqua",
VLOOKUP(INDEX(factor,MAX(((factor1:INDEX(factor,no_applic))&lt;&gt;"")*(COLUMN(factor1:INDEX(factor,no_applic))-2))),drift_percent_15m,COLUMN()-1,FALSE),
"")</f>
        <v>#REF!</v>
      </c>
      <c r="D39" s="276" t="e">
        <f t="array" ref="D39">IF(LEFT(compartment,4)="aqua",
IF(
VLOOKUP(INDEX(factor,MAX(((factor1:INDEX(factor,no_applic))&lt;&gt;"")*(COLUMN(factor1:INDEX(factor,no_applic))-2))),drift_percent_15m,
IF(select_perc_type="MAF-crit",13,no_applic)+2,FALSE),
VLOOKUP(INDEX(factor,MAX(((factor1:INDEX(factor,no_applic))&lt;&gt;"")*(COLUMN(factor1:INDEX(factor,no_applic))-2))),drift_percent_15m,
IF(select_perc_type="MAF-crit",13,no_applic)+2,FALSE),
"-/-"),
"")</f>
        <v>#REF!</v>
      </c>
      <c r="E39" s="277" t="e">
        <f ca="1">IF(LEFT(compartment,4)="aqua",
IF(IF(parameter="PECtwa",[0]!twa_max_15m,[0]!peak_max_15m)*scenario_factor,
IF(parameter="PECtwa",[0]!twa_max_15m,[0]!peak_max_15m)*scenario_factor,
"-/-"),
"")</f>
        <v>#REF!</v>
      </c>
      <c r="F39" s="278" t="str">
        <f ca="1">IF(LEFT(compartment,4)="aqua",
IF(vd_perc_final_15m&lt;&gt;0,vd_perc_final_15m,"-/-"),
"")</f>
        <v>-/-</v>
      </c>
      <c r="G39" s="279" t="str">
        <f ca="1">IF(LEFT(compartment,4)="aqua",
IF(vd_rate_final_15m&lt;&gt;0,vd_rate_final_15m*scenario_factor,"-/-"),
"")</f>
        <v>-/-</v>
      </c>
      <c r="H39" s="280" t="e">
        <f ca="1">IF(LEFT(compartment,4)="aqua",
IF(LEFT(mult_applic,3)="eff",
[0]!peak_max_00p_15m,
IF(parameter="PECtwa",[0]!twa_max_15m,[0]!peak_max_15m)*scenario_factor),
"")</f>
        <v>#REF!</v>
      </c>
      <c r="I39" s="280" t="e">
        <f t="array" aca="1" ref="I39" ca="1">IF(SUM(ISNUMBER(FIND("knapsack",factor))*1)+SUM(ISNUMBER(FIND("gardening",factor))*1)+SUM(ISNUMBER(FIND("no drift",factor))*1),
"",
IF(LEFT(compartment,4)="aqua",
IF(LEFT(mult_applic,3)="eff",
[0]!peak_max_50p_15m,
IF(parameter="PECtwa",[0]!twa_max_15m,[0]!peak_max_15m)*scenario_factor),
""))</f>
        <v>#REF!</v>
      </c>
      <c r="J39" s="280" t="e">
        <f t="array" aca="1" ref="J39" ca="1">IF(SUM(ISNUMBER(FIND("knapsack",factor))*1)+SUM(ISNUMBER(FIND("gardening",factor))*1)+SUM(ISNUMBER(FIND("no drift",factor))*1),
"",
IF(LEFT(compartment,4)="aqua",
IF(LEFT(mult_applic,3)="eff",
[0]!peak_max_75p_15m,
IF(parameter="PECtwa",[0]!twa_max_15m,[0]!peak_max_15m)*scenario_factor),
""))</f>
        <v>#REF!</v>
      </c>
      <c r="K39" s="281" t="e">
        <f t="array" aca="1" ref="K39" ca="1">IF(SUM(ISNUMBER(FIND("knapsack",factor))*1)+SUM(ISNUMBER(FIND("gardening",factor))*1)+SUM(ISNUMBER(FIND("no drift",factor))*1),
"",
IF(LEFT(compartment,4)="aqua",
IF(LEFT(mult_applic,3)="eff",
[0]!peak_max_90p_15m,
IF(parameter="PECtwa",[0]!twa_max_15m,[0]!peak_max_15m)*scenario_factor),
""))</f>
        <v>#REF!</v>
      </c>
      <c r="L39" s="274" t="str">
        <f ca="1"/>
        <v/>
      </c>
      <c r="M39" s="259"/>
      <c r="N39" s="159"/>
      <c r="O39" s="159"/>
    </row>
    <row r="40" spans="1:15" x14ac:dyDescent="0.2">
      <c r="A40" s="159"/>
      <c r="B40" s="159"/>
      <c r="C40" s="282" t="e">
        <f>IF(LEFT(compartment,4)="aqua",
VLOOKUP(INDEX(factor,MAX(((factor1:INDEX(factor,no_applic))&lt;&gt;"")*(COLUMN(factor1:INDEX(factor,no_applic))-2))),drift_percent_20m,COLUMN()-1,FALSE),
"")</f>
        <v>#REF!</v>
      </c>
      <c r="D40" s="283" t="e">
        <f t="array" ref="D40">IF(LEFT(compartment,4)="aqua",
IF(
VLOOKUP(INDEX(factor,MAX(((factor1:INDEX(factor,no_applic))&lt;&gt;"")*(COLUMN(factor1:INDEX(factor,no_applic))-2))),drift_percent_20m,
IF(select_perc_type="MAF-crit",13,no_applic)+2,FALSE),
VLOOKUP(INDEX(factor,MAX(((factor1:INDEX(factor,no_applic))&lt;&gt;"")*(COLUMN(factor1:INDEX(factor,no_applic))-2))),drift_percent_20m,
IF(select_perc_type="MAF-crit",13,no_applic)+2,FALSE),
"-/-"),
"")</f>
        <v>#REF!</v>
      </c>
      <c r="E40" s="284" t="e">
        <f ca="1">IF(LEFT(compartment,4)="aqua",
IF(IF(parameter="PECtwa",[0]!twa_max_20m,[0]!peak_max_20m)*scenario_factor,
IF(parameter="PECtwa",[0]!twa_max_20m,[0]!peak_max_20m)*scenario_factor,
"-/-"),
"")</f>
        <v>#REF!</v>
      </c>
      <c r="F40" s="285" t="str">
        <f ca="1">IF(LEFT(compartment,4)="aqua",
IF(vd_perc_final_20m&lt;&gt;0,vd_perc_final_20m,"-/-"),
"")</f>
        <v>-/-</v>
      </c>
      <c r="G40" s="286" t="str">
        <f ca="1">IF(LEFT(compartment,4)="aqua",
IF(vd_rate_final_20m&lt;&gt;0,vd_rate_final_20m*scenario_factor,"-/-"),
"")</f>
        <v>-/-</v>
      </c>
      <c r="H40" s="287" t="e">
        <f ca="1">IF(LEFT(compartment,4)="aqua",
IF(LEFT(mult_applic,3)="eff",
[0]!peak_max_00p_20m,
IF(parameter="PECtwa",[0]!twa_max_20m,[0]!peak_max_20m)*scenario_factor),
"")</f>
        <v>#REF!</v>
      </c>
      <c r="I40" s="287" t="e">
        <f t="array" aca="1" ref="I40" ca="1">IF(SUM(ISNUMBER(FIND("knapsack",factor))*1)+SUM(ISNUMBER(FIND("gardening",factor))*1)+SUM(ISNUMBER(FIND("no drift",factor))*1),
"",
IF(LEFT(compartment,4)="aqua",
IF(LEFT(mult_applic,3)="eff",
[0]!peak_max_50p_20m,
IF(parameter="PECtwa",[0]!twa_max_20m,[0]!peak_max_20m)*scenario_factor),
""))</f>
        <v>#REF!</v>
      </c>
      <c r="J40" s="287" t="e">
        <f t="array" aca="1" ref="J40" ca="1">IF(SUM(ISNUMBER(FIND("knapsack",factor))*1)+SUM(ISNUMBER(FIND("gardening",factor))*1)+SUM(ISNUMBER(FIND("no drift",factor))*1),
"",
IF(LEFT(compartment,4)="aqua",
IF(LEFT(mult_applic,3)="eff",
[0]!peak_max_75p_20m,
IF(parameter="PECtwa",[0]!twa_max_20m,[0]!peak_max_20m)*scenario_factor),
""))</f>
        <v>#REF!</v>
      </c>
      <c r="K40" s="288" t="e">
        <f t="array" aca="1" ref="K40" ca="1">IF(SUM(ISNUMBER(FIND("knapsack",factor))*1)+SUM(ISNUMBER(FIND("gardening",factor))*1)+SUM(ISNUMBER(FIND("no drift",factor))*1),
"",
IF(LEFT(compartment,4)="aqua",
IF(LEFT(mult_applic,3)="eff",
[0]!peak_max_90p_20m,
IF(parameter="PECtwa",[0]!twa_max_20m,[0]!peak_max_20m)*scenario_factor),
""))</f>
        <v>#REF!</v>
      </c>
      <c r="L40" s="274" t="str">
        <f ca="1"/>
        <v/>
      </c>
      <c r="M40" s="259"/>
      <c r="N40" s="159"/>
      <c r="O40" s="159"/>
    </row>
    <row r="41" spans="1:15" x14ac:dyDescent="0.25">
      <c r="A41" s="159"/>
      <c r="B41" s="159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</row>
    <row r="42" spans="1:15" x14ac:dyDescent="0.25">
      <c r="A42" s="159"/>
      <c r="B42" s="158" t="s">
        <v>293</v>
      </c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</row>
    <row r="43" spans="1:15" ht="12.75" customHeight="1" x14ac:dyDescent="0.25">
      <c r="A43" s="159"/>
      <c r="B43" s="159" t="s">
        <v>294</v>
      </c>
      <c r="C43" s="289" t="s">
        <v>295</v>
      </c>
      <c r="D43" s="159"/>
      <c r="E43" s="227" t="s">
        <v>296</v>
      </c>
      <c r="F43" s="204" t="s">
        <v>297</v>
      </c>
      <c r="G43" s="247" t="str">
        <f>IF(LEFT(mult_applic,3)="eff","→ enter dose-response information on worksheet 'cum-eff'","")</f>
        <v/>
      </c>
      <c r="H43" s="159"/>
      <c r="I43" s="159"/>
      <c r="J43" s="159"/>
      <c r="K43" s="159"/>
      <c r="L43" s="159"/>
      <c r="M43" s="159"/>
      <c r="N43" s="159"/>
      <c r="O43" s="159"/>
    </row>
    <row r="44" spans="1:15" x14ac:dyDescent="0.25">
      <c r="A44" s="159"/>
      <c r="B44" s="159"/>
      <c r="C44" s="159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</row>
    <row r="45" spans="1:15" x14ac:dyDescent="0.25">
      <c r="A45" s="159"/>
      <c r="B45" s="159" t="s">
        <v>298</v>
      </c>
      <c r="C45" s="226">
        <v>25</v>
      </c>
      <c r="D45" s="159" t="str">
        <f>PEC_unit</f>
        <v>µg/L</v>
      </c>
      <c r="E45" s="227" t="str">
        <f>IF(risk_desc_type="PEC/RAC","RAC","")</f>
        <v/>
      </c>
      <c r="F45" s="159" t="str">
        <f>IF(risk_desc_type="PEC/RAC",rel_effect_value/rel_TER_criterion,"")</f>
        <v/>
      </c>
      <c r="G45" s="159" t="str">
        <f>IF(risk_desc_type="PEC/RAC",PEC_unit,"")</f>
        <v/>
      </c>
      <c r="H45" s="159"/>
      <c r="I45" s="159"/>
      <c r="J45" s="159"/>
      <c r="K45" s="159"/>
      <c r="L45" s="159"/>
      <c r="M45" s="159"/>
      <c r="N45" s="159"/>
      <c r="O45" s="159"/>
    </row>
    <row r="46" spans="1:15" x14ac:dyDescent="0.25">
      <c r="A46" s="159"/>
      <c r="B46" s="159" t="str">
        <f>"relevant "&amp;IF(risk_desc_type="TER","TER criterion",IF(risk_desc_type="PEC/RAC","assessment factor","correction factor"))</f>
        <v>relevant TER criterion</v>
      </c>
      <c r="C46" s="290">
        <v>100</v>
      </c>
      <c r="D46" s="159"/>
      <c r="E46" s="227" t="str">
        <f>IF(risk_desc_type="HQ (arthrop.)","HQ crit.","")</f>
        <v/>
      </c>
      <c r="F46" s="228">
        <v>2</v>
      </c>
      <c r="G46" s="159"/>
      <c r="H46" s="159"/>
      <c r="I46" s="159"/>
      <c r="J46" s="159"/>
      <c r="K46" s="159"/>
      <c r="L46" s="159"/>
      <c r="M46" s="159"/>
      <c r="N46" s="159"/>
      <c r="O46" s="159"/>
    </row>
    <row r="47" spans="1:15" x14ac:dyDescent="0.25">
      <c r="A47" s="159"/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</row>
    <row r="48" spans="1:15" x14ac:dyDescent="0.25">
      <c r="A48" s="159"/>
      <c r="B48" s="158" t="s">
        <v>299</v>
      </c>
      <c r="C48" s="246" t="s">
        <v>300</v>
      </c>
      <c r="D48" s="247" t="str">
        <f>IF(AND(LEFT(compartment,4)&lt;&gt;"aqua",risk_desc_type="PEC/RAC"),"→ PEC/RAC approach only applicable for aquatic systems",
IF(AND(compartment&lt;&gt;"terrestrial arthropods",risk_desc_type="HQ (arthrop.)"),"→ HQ approach only applicable for terrestrial arthropods",
""))</f>
        <v/>
      </c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</row>
    <row r="49" spans="1:15" x14ac:dyDescent="0.25">
      <c r="A49" s="159"/>
      <c r="B49" s="159"/>
      <c r="C49" s="159"/>
      <c r="D49" s="159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159"/>
    </row>
    <row r="50" spans="1:15" x14ac:dyDescent="0.25">
      <c r="A50" s="159"/>
      <c r="B50" s="158" t="str">
        <f>IF(risk_desc_type="TER","TER",IF(risk_desc_type="PEC/RAC","PEC/RAC","HQ"))&amp;" calculation"</f>
        <v>TER calculation</v>
      </c>
      <c r="C50" s="159"/>
      <c r="D50" s="159"/>
      <c r="E50" s="159"/>
      <c r="F50" s="159"/>
      <c r="G50" s="159"/>
      <c r="H50" s="159"/>
      <c r="I50" s="159"/>
      <c r="J50" s="159"/>
      <c r="K50" s="159"/>
      <c r="L50" s="159"/>
      <c r="M50" s="159"/>
      <c r="N50" s="159"/>
      <c r="O50" s="159"/>
    </row>
    <row r="51" spans="1:15" ht="25.5" x14ac:dyDescent="0.2">
      <c r="A51" s="159"/>
      <c r="B51" s="159"/>
      <c r="C51" s="264" t="s">
        <v>165</v>
      </c>
      <c r="D51" s="159"/>
      <c r="E51" s="159"/>
      <c r="F51" s="159"/>
      <c r="G51" s="264"/>
      <c r="H51" s="264" t="s">
        <v>289</v>
      </c>
      <c r="I51" s="265" t="s">
        <v>290</v>
      </c>
      <c r="J51" s="265" t="s">
        <v>291</v>
      </c>
      <c r="K51" s="265" t="s">
        <v>292</v>
      </c>
      <c r="L51" s="159"/>
      <c r="M51" s="159"/>
      <c r="N51" s="159"/>
      <c r="O51" s="159"/>
    </row>
    <row r="52" spans="1:15" x14ac:dyDescent="0.25">
      <c r="A52" s="159"/>
      <c r="B52" s="159"/>
      <c r="C52" s="291" t="e">
        <f t="array" ref="C52:C56">dist_matrix_final</f>
        <v>#REF!</v>
      </c>
      <c r="D52" s="267"/>
      <c r="E52" s="294"/>
      <c r="F52" s="294"/>
      <c r="G52" s="295"/>
      <c r="H52" s="296" t="e">
        <f t="array" ref="H52:K56" ca="1">IF((ISNUMBER(PEC_matrix_final)*(PEC_matrix_final&lt;&gt;0)),
IF(risk_desc_type="TER",ROUND(IF(ISNUMBER(rel_effect_value),rel_effect_value,0)/PEC_matrix_final,1),
IF(risk_desc_type="PEC/RAC",ROUND(IF(ISNUMBER(rel_effect_value),PEC_matrix_final/reg_accept_conc,0),3),
IF(risk_desc_type="HQ (arthrop.)",ROUND(IF(ISNUMBER(rel_effect_value),PEC_matrix_final*rel_TER_criterion/rel_effect_value,0),3),""))),
"")</f>
        <v>#REF!</v>
      </c>
      <c r="I52" s="272" t="e">
        <f ca="1"/>
        <v>#REF!</v>
      </c>
      <c r="J52" s="272" t="e">
        <f ca="1"/>
        <v>#REF!</v>
      </c>
      <c r="K52" s="273" t="e">
        <f ca="1"/>
        <v>#REF!</v>
      </c>
      <c r="L52" s="159"/>
      <c r="M52" s="159"/>
      <c r="N52" s="159"/>
      <c r="O52" s="159"/>
    </row>
    <row r="53" spans="1:15" x14ac:dyDescent="0.25">
      <c r="A53" s="159"/>
      <c r="B53" s="159"/>
      <c r="C53" s="292" t="e">
        <v>#REF!</v>
      </c>
      <c r="D53" s="275"/>
      <c r="E53" s="159"/>
      <c r="F53" s="159"/>
      <c r="G53" s="299"/>
      <c r="H53" s="297" t="e">
        <f ca="1"/>
        <v>#REF!</v>
      </c>
      <c r="I53" s="280" t="e">
        <f ca="1"/>
        <v>#REF!</v>
      </c>
      <c r="J53" s="280" t="e">
        <f ca="1"/>
        <v>#REF!</v>
      </c>
      <c r="K53" s="281" t="e">
        <f ca="1"/>
        <v>#REF!</v>
      </c>
      <c r="L53" s="159"/>
      <c r="M53" s="159"/>
      <c r="N53" s="159"/>
      <c r="O53" s="159"/>
    </row>
    <row r="54" spans="1:15" x14ac:dyDescent="0.25">
      <c r="A54" s="159"/>
      <c r="B54" s="159"/>
      <c r="C54" s="292" t="e">
        <v>#REF!</v>
      </c>
      <c r="D54" s="275"/>
      <c r="E54" s="159"/>
      <c r="F54" s="159"/>
      <c r="G54" s="299"/>
      <c r="H54" s="297" t="e">
        <f ca="1"/>
        <v>#REF!</v>
      </c>
      <c r="I54" s="280" t="e">
        <f ca="1"/>
        <v>#REF!</v>
      </c>
      <c r="J54" s="280" t="e">
        <f ca="1"/>
        <v>#REF!</v>
      </c>
      <c r="K54" s="281" t="e">
        <f ca="1"/>
        <v>#REF!</v>
      </c>
      <c r="L54" s="159"/>
      <c r="M54" s="159"/>
      <c r="N54" s="159"/>
      <c r="O54" s="159"/>
    </row>
    <row r="55" spans="1:15" x14ac:dyDescent="0.25">
      <c r="A55" s="159"/>
      <c r="B55" s="159"/>
      <c r="C55" s="292" t="e">
        <v>#REF!</v>
      </c>
      <c r="D55" s="275"/>
      <c r="E55" s="159"/>
      <c r="F55" s="159"/>
      <c r="G55" s="299"/>
      <c r="H55" s="297" t="e">
        <f ca="1"/>
        <v>#REF!</v>
      </c>
      <c r="I55" s="280" t="e">
        <f ca="1"/>
        <v>#REF!</v>
      </c>
      <c r="J55" s="280" t="e">
        <f ca="1"/>
        <v>#REF!</v>
      </c>
      <c r="K55" s="281" t="e">
        <f ca="1"/>
        <v>#REF!</v>
      </c>
      <c r="L55" s="159"/>
      <c r="M55" s="159"/>
      <c r="N55" s="159"/>
      <c r="O55" s="159"/>
    </row>
    <row r="56" spans="1:15" x14ac:dyDescent="0.25">
      <c r="A56" s="159"/>
      <c r="B56" s="159"/>
      <c r="C56" s="293" t="e">
        <v>#REF!</v>
      </c>
      <c r="D56" s="282"/>
      <c r="E56" s="300"/>
      <c r="F56" s="300"/>
      <c r="G56" s="301"/>
      <c r="H56" s="298" t="e">
        <f ca="1"/>
        <v>#REF!</v>
      </c>
      <c r="I56" s="287" t="e">
        <f ca="1"/>
        <v>#REF!</v>
      </c>
      <c r="J56" s="287" t="e">
        <f ca="1"/>
        <v>#REF!</v>
      </c>
      <c r="K56" s="288" t="e">
        <f ca="1"/>
        <v>#REF!</v>
      </c>
      <c r="L56" s="159"/>
      <c r="M56" s="159"/>
      <c r="N56" s="159"/>
      <c r="O56" s="159"/>
    </row>
    <row r="57" spans="1:15" x14ac:dyDescent="0.25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</row>
    <row r="58" spans="1:15" x14ac:dyDescent="0.2">
      <c r="A58" s="159"/>
      <c r="B58" s="158" t="s">
        <v>301</v>
      </c>
      <c r="C58" s="159"/>
      <c r="D58" s="159"/>
      <c r="E58" s="159"/>
      <c r="F58" s="159"/>
      <c r="G58" s="159"/>
      <c r="H58" s="159"/>
      <c r="I58" s="243"/>
      <c r="J58" s="159"/>
      <c r="K58" s="159"/>
      <c r="L58" s="159"/>
      <c r="M58" s="159"/>
      <c r="N58" s="159"/>
      <c r="O58" s="159"/>
    </row>
    <row r="59" spans="1:15" ht="25.5" x14ac:dyDescent="0.2">
      <c r="A59" s="159"/>
      <c r="B59" s="159"/>
      <c r="C59" s="264" t="s">
        <v>165</v>
      </c>
      <c r="D59" s="227" t="s">
        <v>302</v>
      </c>
      <c r="E59" s="227" t="s">
        <v>303</v>
      </c>
      <c r="F59" s="159"/>
      <c r="G59" s="159"/>
      <c r="H59" s="302" t="str">
        <f t="array" ref="H59">IF(SUM(ISNUMBER(FIND("knapsack",factor))*1),"For applications with knapsack sprayers:",
IF(SUM(ISNUMBER(FIND("gardening",factor))*1),"For applications in home gardening:",
IF(SUM(ISNUMBER(FIND("no drift",factor))*1),"For applications in greenhouses:",
"")))</f>
        <v/>
      </c>
      <c r="I59" s="159"/>
      <c r="J59" s="159"/>
      <c r="K59" s="159"/>
      <c r="L59" s="159"/>
      <c r="M59" s="159"/>
      <c r="N59" s="159"/>
      <c r="O59" s="159"/>
    </row>
    <row r="60" spans="1:15" x14ac:dyDescent="0.25">
      <c r="A60" s="159"/>
      <c r="B60" s="159"/>
      <c r="C60" s="267" t="e">
        <f t="array" ref="C60:C64">dist_matrix_final</f>
        <v>#REF!</v>
      </c>
      <c r="D60" s="303" t="str">
        <f t="array" aca="1" ref="D60" ca="1">IF(risk_desc_type="TER",IF(ISNUMBER(TER_final_01m),4-SUM((TER_final_01m&gt;=rel_TER_criterion)*1),""),
IF(risk_desc_type="PEC/RAC",IF(ISNUMBER(TER_final_01m),4-SUM((TER_final_01m&lt;=1)*1),""),
IF(risk_desc_type="HQ (arthrop.)",IF(ISNUMBER(TER_final_01m),4-SUM((TER_final_01m&lt;=rel_HQ_criterion)*1),""),
"")))</f>
        <v/>
      </c>
      <c r="E60" s="304" t="str">
        <f ca="1">IF(ISNUMBER(D60),CHOOSE(D60+1,"none","50%","75%","90%","insufficient"),"")</f>
        <v/>
      </c>
      <c r="F60" s="159"/>
      <c r="G60" s="159"/>
      <c r="H60" s="305" t="str">
        <f t="array" ref="H60">IF(SUM(ISNUMBER(FIND("knapsack",factor))*1)+SUM(ISNUMBER(FIND("gardening",factor))*1)+SUM(ISNUMBER(FIND("no drift",factor))*1),
"- drift reduction cannot be considered for risk mitigation",
"")</f>
        <v/>
      </c>
      <c r="I60" s="159"/>
      <c r="J60" s="159"/>
      <c r="K60" s="159"/>
      <c r="L60" s="159"/>
      <c r="M60" s="159"/>
      <c r="N60" s="159"/>
      <c r="O60" s="159"/>
    </row>
    <row r="61" spans="1:15" x14ac:dyDescent="0.25">
      <c r="A61" s="159"/>
      <c r="B61" s="159"/>
      <c r="C61" s="275" t="e">
        <v>#REF!</v>
      </c>
      <c r="D61" s="227" t="str">
        <f t="array" aca="1" ref="D61" ca="1">IF(risk_desc_type="TER",IF(ISNUMBER(TER_final_05m),4-SUM((TER_final_05m&gt;=rel_TER_criterion)*1),""),
IF(risk_desc_type="PEC/RAC",IF(ISNUMBER(TER_final_05m),4-SUM((TER_final_05m&lt;=1)*1),""),
IF(risk_desc_type="HQ (arthrop.)",IF(ISNUMBER(TER_final_05m),4-SUM((TER_final_05m&lt;=rel_HQ_criterion)*1),""),
"")))</f>
        <v/>
      </c>
      <c r="E61" s="306" t="str">
        <f ca="1">IF(ISNUMBER(D61),CHOOSE(D61+1,"none","50%","75%","90%","insufficient"),"")</f>
        <v/>
      </c>
      <c r="F61" s="159"/>
      <c r="G61" s="159"/>
      <c r="H61" s="305" t="str">
        <f t="array" ref="H61">IF(SUM(ISNUMBER(FIND("knapsack",factor))*1),"- drift reduction and buffer zones not applicable for terrestrial habitats",
IF(SUM(ISNUMBER(FIND("gardening",factor))*1),"- buffer zones to terrestrial habitats cannot be considered for risk mitigation",
IF(SUM(ISNUMBER(FIND("no drift",factor))*1),"- buffer zone values provided for information only",
"")))</f>
        <v/>
      </c>
      <c r="I61" s="159"/>
      <c r="J61" s="159"/>
      <c r="K61" s="159"/>
      <c r="L61" s="159"/>
      <c r="M61" s="159"/>
      <c r="N61" s="159"/>
      <c r="O61" s="159"/>
    </row>
    <row r="62" spans="1:15" x14ac:dyDescent="0.25">
      <c r="A62" s="159"/>
      <c r="B62" s="159"/>
      <c r="C62" s="275" t="e">
        <v>#REF!</v>
      </c>
      <c r="D62" s="227" t="str">
        <f t="array" aca="1" ref="D62" ca="1">IF(risk_desc_type="TER",IF(ISNUMBER(TER_final_10m),4-SUM((TER_final_10m&gt;=rel_TER_criterion)*1),""),
IF(risk_desc_type="PEC/RAC",IF(ISNUMBER(TER_final_10m),4-SUM((TER_final_10m&lt;=1)*1),""),
IF(risk_desc_type="HQ (arthrop.)",IF(ISNUMBER(TER_final_10m),4-SUM((TER_final_10m&lt;=rel_HQ_criterion)*1),""),
"")))</f>
        <v/>
      </c>
      <c r="E62" s="306" t="str">
        <f ca="1">IF(ISNUMBER(D62),CHOOSE(D62+1,"none","50%","75%","90%","insufficient"),"")</f>
        <v/>
      </c>
      <c r="F62" s="159"/>
      <c r="G62" s="159"/>
      <c r="H62" s="305" t="str">
        <f t="array" ref="H62">IF(SUM(ISNUMBER(FIND("gardening",factor))*1),
"- buffer zones &gt; 10 m to water bodies cannot be considered for risk mitigation",
"")</f>
        <v/>
      </c>
      <c r="I62" s="159"/>
      <c r="J62" s="259"/>
      <c r="K62" s="159"/>
      <c r="L62" s="159"/>
      <c r="M62" s="159"/>
      <c r="N62" s="159"/>
      <c r="O62" s="159"/>
    </row>
    <row r="63" spans="1:15" x14ac:dyDescent="0.25">
      <c r="A63" s="159"/>
      <c r="B63" s="159"/>
      <c r="C63" s="275" t="e">
        <v>#REF!</v>
      </c>
      <c r="D63" s="227" t="str">
        <f t="array" aca="1" ref="D63" ca="1">IF(risk_desc_type="TER",IF(ISNUMBER(TER_final_15m),4-SUM((TER_final_15m&gt;=rel_TER_criterion)*1),""),
IF(risk_desc_type="PEC/RAC",IF(ISNUMBER(TER_final_15m),4-SUM((TER_final_15m&lt;=1)*1),""),
IF(risk_desc_type="HQ (arthrop.)",IF(ISNUMBER(TER_final_15m),4-SUM((TER_final_15m&lt;=rel_HQ_criterion)*1),""),
"")))</f>
        <v/>
      </c>
      <c r="E63" s="306" t="str">
        <f ca="1">IF(ISNUMBER(D63),CHOOSE(D63+1,"none","50%","75%","90%","insufficient"),"")</f>
        <v/>
      </c>
      <c r="F63" s="159"/>
      <c r="G63" s="159"/>
      <c r="H63" s="159"/>
      <c r="I63" s="159"/>
      <c r="J63" s="159"/>
      <c r="K63" s="159"/>
      <c r="L63" s="159"/>
      <c r="M63" s="159"/>
      <c r="N63" s="159"/>
      <c r="O63" s="159"/>
    </row>
    <row r="64" spans="1:15" x14ac:dyDescent="0.25">
      <c r="A64" s="159"/>
      <c r="B64" s="159"/>
      <c r="C64" s="282" t="e">
        <v>#REF!</v>
      </c>
      <c r="D64" s="307" t="str">
        <f t="array" aca="1" ref="D64" ca="1">IF(risk_desc_type="TER",IF(ISNUMBER(TER_final_20m),4-SUM((TER_final_20m&gt;=rel_TER_criterion)*1),""),
IF(risk_desc_type="PEC/RAC",IF(ISNUMBER(TER_final_20m),4-SUM((TER_final_20m&lt;=1)*1),""),
IF(risk_desc_type="HQ (arthrop.)",IF(ISNUMBER(TER_final_20m),4-SUM((TER_final_20m&lt;=rel_HQ_criterion)*1),""),
"")))</f>
        <v/>
      </c>
      <c r="E64" s="308" t="str">
        <f ca="1">IF(ISNUMBER(D64),CHOOSE(D64+1,"none","50%","75%","90%","insufficient"),"")</f>
        <v/>
      </c>
      <c r="F64" s="159"/>
      <c r="G64" s="227" t="s">
        <v>304</v>
      </c>
      <c r="H64" s="309" t="str">
        <f ca="1">IF(report_doc="NA",
INDEX(matrix_restriction,MATCH(MIN(drift_red_index),INDEX(matrix_restriction,,1),0),MATCH(MAX(drift_red_index),INDEX(matrix_restriction,1,),0)),
"")</f>
        <v>none</v>
      </c>
      <c r="I64" s="159"/>
      <c r="J64" s="227"/>
      <c r="K64" s="227"/>
      <c r="L64" s="159"/>
      <c r="M64" s="159"/>
      <c r="N64" s="159"/>
      <c r="O64" s="159"/>
    </row>
    <row r="65" spans="1:15" x14ac:dyDescent="0.25">
      <c r="A65" s="159"/>
      <c r="B65" s="159"/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</row>
    <row r="66" spans="1:15" ht="25.5" x14ac:dyDescent="0.2">
      <c r="A66" s="159"/>
      <c r="B66" s="159"/>
      <c r="C66" s="159"/>
      <c r="D66" s="159"/>
      <c r="E66" s="159"/>
      <c r="F66" s="159"/>
      <c r="G66" s="159"/>
      <c r="H66" s="264" t="s">
        <v>289</v>
      </c>
      <c r="I66" s="265" t="s">
        <v>290</v>
      </c>
      <c r="J66" s="265" t="s">
        <v>291</v>
      </c>
      <c r="K66" s="265" t="s">
        <v>292</v>
      </c>
      <c r="L66" s="159"/>
      <c r="M66" s="159"/>
      <c r="N66" s="159"/>
      <c r="O66" s="159"/>
    </row>
    <row r="67" spans="1:15" ht="25.5" x14ac:dyDescent="0.2">
      <c r="A67" s="159"/>
      <c r="B67" s="159"/>
      <c r="C67" s="159"/>
      <c r="D67" s="159"/>
      <c r="E67" s="159"/>
      <c r="F67" s="159"/>
      <c r="G67" s="227" t="s">
        <v>305</v>
      </c>
      <c r="H67" s="310" t="e">
        <f t="array" ref="H67:K67" ca="1">IF(SUM(INDEX(TER_matrix_final,,COLUMN()-7)),
IF(risk_desc_type="TER",
IF(SUM((INDEX(TER_matrix_final,,COLUMN()-7)&gt;=rel_TER_criterion)*(INDEX(TER_matrix_final,,COLUMN()-7)&lt;&gt;"")),
INDEX(dist_matrix_final,6-SUM((INDEX(TER_matrix_final,,COLUMN()-7)&gt;=rel_TER_criterion)*1)),
"insufficient"),
IF(risk_desc_type="PEC/RAC",
IF(SUM((INDEX(TER_matrix_final,,COLUMN()-7)&lt;=1)*(INDEX(TER_matrix_final,,COLUMN()-7)&lt;&gt;"")),
INDEX(dist_matrix_final,COUNT(dist_matrix_final)+1-SUM((INDEX(TER_matrix_final,,COLUMN()-7)&lt;=1)*1)),
"insufficient"),
IF(risk_desc_type="HQ (arthrop.)",
IF(SUM((INDEX(TER_matrix_final,,COLUMN()-7)&lt;=rel_HQ_criterion)*(INDEX(TER_matrix_final,,COLUMN()-7)&lt;&gt;"")),
INDEX(dist_matrix_final,COUNT(dist_matrix_final)+1-SUM((INDEX(TER_matrix_final,,COLUMN()-7)&lt;=rel_HQ_criterion)*1)),
"insufficient"),
""))),
"")</f>
        <v>#REF!</v>
      </c>
      <c r="I67" s="75" t="e">
        <f ca="1"/>
        <v>#REF!</v>
      </c>
      <c r="J67" s="75" t="e">
        <f ca="1"/>
        <v>#REF!</v>
      </c>
      <c r="K67" s="311" t="e">
        <f ca="1"/>
        <v>#REF!</v>
      </c>
      <c r="L67" s="159"/>
      <c r="M67" s="159"/>
      <c r="N67" s="159"/>
      <c r="O67" s="159"/>
    </row>
    <row r="68" spans="1:15" x14ac:dyDescent="0.25">
      <c r="A68" s="159"/>
      <c r="B68" s="159"/>
      <c r="C68" s="159"/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</row>
    <row r="69" spans="1:15" x14ac:dyDescent="0.2">
      <c r="A69" s="159"/>
      <c r="B69" s="159"/>
      <c r="C69" s="159"/>
      <c r="D69" s="159"/>
      <c r="E69" s="159"/>
      <c r="F69" s="159"/>
      <c r="G69" s="159"/>
      <c r="H69" s="264"/>
      <c r="I69" s="264"/>
      <c r="J69" s="264"/>
      <c r="K69" s="264"/>
      <c r="L69" s="159"/>
      <c r="M69" s="159"/>
      <c r="N69" s="159"/>
      <c r="O69" s="159"/>
    </row>
    <row r="72" spans="1:15" x14ac:dyDescent="0.25">
      <c r="I72" s="312"/>
      <c r="J72" s="312"/>
      <c r="K72" s="312"/>
      <c r="L72" s="312"/>
      <c r="M72" s="312"/>
    </row>
    <row r="73" spans="1:15" x14ac:dyDescent="0.25">
      <c r="H73" s="312"/>
    </row>
    <row r="74" spans="1:15" x14ac:dyDescent="0.25">
      <c r="H74" s="312"/>
      <c r="I74" s="313"/>
    </row>
    <row r="75" spans="1:15" x14ac:dyDescent="0.25">
      <c r="H75" s="312"/>
      <c r="I75" s="313"/>
      <c r="J75" s="313"/>
    </row>
    <row r="76" spans="1:15" x14ac:dyDescent="0.25">
      <c r="H76" s="312"/>
      <c r="I76" s="313"/>
      <c r="J76" s="313"/>
      <c r="K76" s="313"/>
    </row>
    <row r="77" spans="1:15" x14ac:dyDescent="0.25">
      <c r="H77" s="312"/>
      <c r="I77" s="313"/>
      <c r="J77" s="313"/>
      <c r="K77" s="313"/>
      <c r="L77" s="313"/>
    </row>
    <row r="80" spans="1:15" x14ac:dyDescent="0.25">
      <c r="I80" s="312"/>
      <c r="J80" s="312"/>
      <c r="K80" s="312"/>
      <c r="L80" s="312"/>
      <c r="M80" s="312"/>
    </row>
    <row r="81" spans="8:13" x14ac:dyDescent="0.25">
      <c r="H81" s="312"/>
    </row>
    <row r="82" spans="8:13" x14ac:dyDescent="0.25">
      <c r="H82" s="312"/>
      <c r="I82" s="313"/>
    </row>
    <row r="83" spans="8:13" x14ac:dyDescent="0.25">
      <c r="H83" s="312"/>
      <c r="I83" s="313"/>
      <c r="J83" s="313"/>
    </row>
    <row r="84" spans="8:13" x14ac:dyDescent="0.25">
      <c r="H84" s="312"/>
      <c r="I84" s="313"/>
      <c r="J84" s="313"/>
      <c r="K84" s="313"/>
    </row>
    <row r="85" spans="8:13" x14ac:dyDescent="0.25">
      <c r="H85" s="312"/>
      <c r="I85" s="313"/>
      <c r="J85" s="313"/>
      <c r="K85" s="313"/>
      <c r="L85" s="313"/>
    </row>
    <row r="88" spans="8:13" x14ac:dyDescent="0.25">
      <c r="I88" s="312"/>
      <c r="J88" s="312"/>
    </row>
    <row r="89" spans="8:13" x14ac:dyDescent="0.25">
      <c r="H89" s="312"/>
    </row>
    <row r="90" spans="8:13" x14ac:dyDescent="0.25">
      <c r="H90" s="312"/>
      <c r="I90" s="313"/>
    </row>
    <row r="93" spans="8:13" x14ac:dyDescent="0.25">
      <c r="I93" s="312"/>
      <c r="J93" s="312"/>
      <c r="K93" s="312"/>
      <c r="L93" s="312"/>
      <c r="M93" s="312"/>
    </row>
    <row r="94" spans="8:13" x14ac:dyDescent="0.25">
      <c r="H94" s="312"/>
      <c r="M94" s="313"/>
    </row>
    <row r="95" spans="8:13" x14ac:dyDescent="0.25">
      <c r="H95" s="312"/>
      <c r="I95" s="313"/>
    </row>
    <row r="96" spans="8:13" x14ac:dyDescent="0.25">
      <c r="H96" s="312"/>
      <c r="I96" s="313"/>
      <c r="J96" s="313"/>
    </row>
    <row r="97" spans="8:12" x14ac:dyDescent="0.25">
      <c r="H97" s="312"/>
      <c r="I97" s="313"/>
      <c r="J97" s="313"/>
      <c r="K97" s="313"/>
    </row>
    <row r="98" spans="8:12" x14ac:dyDescent="0.25">
      <c r="H98" s="312"/>
      <c r="I98" s="313"/>
      <c r="J98" s="313"/>
      <c r="K98" s="313"/>
      <c r="L98" s="313"/>
    </row>
  </sheetData>
  <mergeCells count="6">
    <mergeCell ref="C32:G32"/>
    <mergeCell ref="C27:G27"/>
    <mergeCell ref="C28:G28"/>
    <mergeCell ref="C29:G29"/>
    <mergeCell ref="C30:G30"/>
    <mergeCell ref="C31:G31"/>
  </mergeCells>
  <conditionalFormatting sqref="K4">
    <cfRule type="expression" dxfId="46" priority="1">
      <formula>OR(applic_rate_unit="L/ha",applic_rate_unit="mL/m²")</formula>
    </cfRule>
    <cfRule type="expression" dxfId="45" priority="2">
      <formula>AND(applic_rate_unit&lt;&gt;"L/ha",applic_rate_unit&lt;&gt;"mL/m²")</formula>
    </cfRule>
  </conditionalFormatting>
  <conditionalFormatting sqref="F20">
    <cfRule type="expression" dxfId="44" priority="10">
      <formula>LEFT(compartment,4)&lt;&gt;"aqua"</formula>
    </cfRule>
  </conditionalFormatting>
  <conditionalFormatting sqref="F21">
    <cfRule type="expression" dxfId="43" priority="14">
      <formula>LEFT(compartment,4)&lt;&gt;"aqua"</formula>
    </cfRule>
  </conditionalFormatting>
  <conditionalFormatting sqref="G20">
    <cfRule type="expression" dxfId="42" priority="11">
      <formula>LEFT(compartment,4)&lt;&gt;"aqua"</formula>
    </cfRule>
  </conditionalFormatting>
  <conditionalFormatting sqref="G21">
    <cfRule type="expression" dxfId="41" priority="15">
      <formula>LEFT(compartment,4)&lt;&gt;"aqua"</formula>
    </cfRule>
  </conditionalFormatting>
  <conditionalFormatting sqref="B24">
    <cfRule type="expression" dxfId="40" priority="16">
      <formula>ISERROR(MATCH(parameter,INDIRECT("select_"&amp;LEFT(select_parameter,3)),0))</formula>
    </cfRule>
    <cfRule type="expression" dxfId="39" priority="17">
      <formula>LEFT(select_parameter,3)="int"</formula>
    </cfRule>
  </conditionalFormatting>
  <conditionalFormatting sqref="I24 K24">
    <cfRule type="expression" dxfId="38" priority="21">
      <formula>ISERROR(MATCH(PEC_unit,INDIRECT("select_PEC_"&amp;LEFT(compartment,4)&amp;"_"&amp;MID(compartment,23,3)),0))</formula>
    </cfRule>
  </conditionalFormatting>
  <conditionalFormatting sqref="B20">
    <cfRule type="expression" dxfId="37" priority="7">
      <formula>ISERROR(MATCH(dt50_type,INDIRECT("dt50_select_"&amp;LEFT(compartment,4)),0))</formula>
    </cfRule>
  </conditionalFormatting>
  <conditionalFormatting sqref="C36:C40 H36:K40 C52:C56 H64 H67:K67">
    <cfRule type="cellIs" dxfId="36" priority="23" operator="notEqual">
      <formula>""</formula>
    </cfRule>
  </conditionalFormatting>
  <conditionalFormatting sqref="D36:G40 C60:E64">
    <cfRule type="cellIs" dxfId="35" priority="24" operator="notEqual">
      <formula>""</formula>
    </cfRule>
  </conditionalFormatting>
  <conditionalFormatting sqref="C32">
    <cfRule type="expression" dxfId="34" priority="22">
      <formula>LEFT(select_parameter,3)="int"</formula>
    </cfRule>
  </conditionalFormatting>
  <conditionalFormatting sqref="E24">
    <cfRule type="expression" dxfId="33" priority="19">
      <formula>(parameter="PECtwa")</formula>
    </cfRule>
    <cfRule type="expression" dxfId="32" priority="20">
      <formula>(parameter&lt;&gt;"PECtwa")</formula>
    </cfRule>
  </conditionalFormatting>
  <conditionalFormatting sqref="D11:M11">
    <cfRule type="expression" dxfId="31" priority="4">
      <formula>no_applic&gt;=(COLUMN()-1)</formula>
    </cfRule>
  </conditionalFormatting>
  <conditionalFormatting sqref="D9:N10">
    <cfRule type="expression" dxfId="30" priority="3">
      <formula>no_applic&gt;=(COLUMN()-2)</formula>
    </cfRule>
  </conditionalFormatting>
  <conditionalFormatting sqref="E21">
    <cfRule type="expression" dxfId="29" priority="12">
      <formula>AND(LEFT(compartment,4)&lt;&gt;"aqua",LEFT(dt50_type,3)&lt;&gt;"MAF")</formula>
    </cfRule>
    <cfRule type="expression" dxfId="28" priority="13">
      <formula>AND(LEFT(compartment,4)&lt;&gt;"aqua",LEFT(dt50_type,3)="MAF")</formula>
    </cfRule>
  </conditionalFormatting>
  <conditionalFormatting sqref="E20">
    <cfRule type="expression" dxfId="27" priority="8">
      <formula>OR(LEFT(compartment,4)="aqua",LEFT(dt50_type,3)&lt;&gt;"MAF")</formula>
    </cfRule>
    <cfRule type="expression" dxfId="26" priority="9">
      <formula>AND(LEFT(compartment,4)&lt;&gt;"aqua",LEFT(dt50_type,3)="MAF")</formula>
    </cfRule>
  </conditionalFormatting>
  <conditionalFormatting sqref="B20 C20:C21 E20:G21 I20:I21">
    <cfRule type="expression" dxfId="25" priority="6">
      <formula>AND(LEFT(mult_applic,3)="eff",LEFT(select_perc_type,3)="fix")</formula>
    </cfRule>
  </conditionalFormatting>
  <conditionalFormatting sqref="B24 E24">
    <cfRule type="expression" dxfId="24" priority="18">
      <formula>(parameter="PECtwa")*(LEFT(mult_applic,3)="eff")</formula>
    </cfRule>
  </conditionalFormatting>
  <conditionalFormatting sqref="B17">
    <cfRule type="expression" dxfId="23" priority="5">
      <formula>(LEFT(mult_applic,3)="eff")</formula>
    </cfRule>
  </conditionalFormatting>
  <conditionalFormatting sqref="C48">
    <cfRule type="expression" dxfId="22" priority="28">
      <formula>(LEFT(compartment,4)&lt;&gt;"aqua")*(risk_desc_type="PEC/RAC")</formula>
    </cfRule>
    <cfRule type="expression" dxfId="21" priority="29">
      <formula>(compartment&lt;&gt;"terrestrial arthropods")*(risk_desc_type="HQ (arthrop.)")</formula>
    </cfRule>
  </conditionalFormatting>
  <conditionalFormatting sqref="H52:K56">
    <cfRule type="expression" dxfId="20" priority="30">
      <formula>risk_desc_type="TER"</formula>
    </cfRule>
    <cfRule type="cellIs" dxfId="19" priority="31" operator="notEqual">
      <formula>""</formula>
    </cfRule>
    <cfRule type="expression" dxfId="18" priority="33">
      <formula>(risk_desc_type="PEC/RAC")*(H52&gt;1)</formula>
    </cfRule>
    <cfRule type="expression" dxfId="17" priority="34">
      <formula>(risk_desc_type="HQ (arthrop.)")*(H52&gt;rel_HQ_criterion)</formula>
    </cfRule>
  </conditionalFormatting>
  <conditionalFormatting sqref="H52:K56">
    <cfRule type="expression" dxfId="16" priority="32">
      <formula>(risk_desc_type="TER")*(H52&lt;rel_TER_criterion)</formula>
    </cfRule>
  </conditionalFormatting>
  <conditionalFormatting sqref="F46">
    <cfRule type="expression" dxfId="15" priority="26">
      <formula>(risk_desc_type&lt;&gt;"HQ (arthrop.)")</formula>
    </cfRule>
    <cfRule type="expression" dxfId="14" priority="27">
      <formula>(risk_desc_type="HQ (arthrop.)")</formula>
    </cfRule>
  </conditionalFormatting>
  <conditionalFormatting sqref="F45">
    <cfRule type="expression" dxfId="13" priority="25">
      <formula>(risk_desc_type="PEC/RAC")</formula>
    </cfRule>
  </conditionalFormatting>
  <dataValidations count="18">
    <dataValidation type="list" allowBlank="1" showInputMessage="1" showErrorMessage="1" sqref="I28" xr:uid="{8A83D7CF-F816-410E-9B12-811BD70667C2}">
      <formula1>"NA,CA"</formula1>
    </dataValidation>
    <dataValidation type="list" allowBlank="1" showInputMessage="1" showErrorMessage="1" sqref="F46" xr:uid="{B30F180A-80EA-4E56-906B-2359D768C0D4}">
      <formula1>"2,1"</formula1>
    </dataValidation>
    <dataValidation type="list" allowBlank="1" showInputMessage="1" showErrorMessage="1" errorTitle="no user-defined input allowed" error="Select target compartment from list." sqref="C48" xr:uid="{52463D35-9363-4A41-AA82-E7B46C495C5B}">
      <formula1>"TER,PEC/RAC,HQ (arthrop.)"</formula1>
    </dataValidation>
    <dataValidation type="list" allowBlank="1" showInputMessage="1" showErrorMessage="1" errorTitle="no user-defined input allowed" error="Select target compartment from list." sqref="B17" xr:uid="{96957B85-9618-4653-B799-3D97475208A6}">
      <formula1>"residue dynamics,effect cumulation"</formula1>
    </dataValidation>
    <dataValidation type="decimal" operator="greaterThan" allowBlank="1" showInputMessage="1" showErrorMessage="1" errorTitle="positive number required" error="TER criterion cannot be zero or negative." sqref="C46" xr:uid="{830D3EDB-E1DC-4993-8714-E2B632F57B2C}">
      <formula1>0</formula1>
    </dataValidation>
    <dataValidation type="decimal" operator="greaterThan" allowBlank="1" showInputMessage="1" showErrorMessage="1" errorTitle="positive number required" error="Effect value cannot be zero or negative." sqref="C45" xr:uid="{D0FCA318-2329-4432-8200-CDBE50333774}">
      <formula1>0</formula1>
    </dataValidation>
    <dataValidation type="decimal" operator="greaterThan" allowBlank="1" showInputMessage="1" showErrorMessage="1" errorTitle="positive number required" error="DT50 value cannot be zero or negative." sqref="E20" xr:uid="{0D899631-A24D-4613-82EB-DA6C5F48487D}">
      <formula1>0</formula1>
    </dataValidation>
    <dataValidation type="list" allowBlank="1" showInputMessage="1" showErrorMessage="1" errorTitle="no user-defined input allowed" error="Select PEC unit from list." sqref="I24" xr:uid="{3D31EF10-58B5-478D-981C-4EC878F1AD40}">
      <formula1>INDIRECT("select_PEC_"&amp;LEFT(compartment,4)&amp;"_"&amp;MID(compartment,23,3))</formula1>
    </dataValidation>
    <dataValidation type="list" allowBlank="1" showInputMessage="1" showErrorMessage="1" errorTitle="no user-defined input allowed" error="Select degradation parameter from list." sqref="B20" xr:uid="{9986332F-ABEF-427D-A52B-CDDA47C6CDE6}">
      <formula1>INDIRECT("dt50_select_"&amp;LEFT(compartment,4))</formula1>
    </dataValidation>
    <dataValidation type="decimal" operator="greaterThan" allowBlank="1" showInputMessage="1" showErrorMessage="1" errorTitle="positive number required" error="Only positive numbers are allowed as application rate input data." sqref="D9:N9" xr:uid="{A86A15A2-9689-4775-9A87-FDB20367A596}">
      <formula1>0</formula1>
    </dataValidation>
    <dataValidation type="decimal" operator="greaterThan" showInputMessage="1" showErrorMessage="1" errorTitle="positive number required" error="Only positive numbers are allowed as interval input data." sqref="C11:M11" xr:uid="{F1559F52-5969-46B7-BC81-1829F2EDD131}">
      <formula1>0</formula1>
    </dataValidation>
    <dataValidation type="decimal" operator="greaterThan" showInputMessage="1" showErrorMessage="1" errorTitle="positive number required" error="First application rate cannot be zero or negative." sqref="C9" xr:uid="{9DD81057-BA65-4F6E-8A2E-B9215CE75804}">
      <formula1>0</formula1>
    </dataValidation>
    <dataValidation type="whole" allowBlank="1" showErrorMessage="1" errorTitle="number of applications limited" error="The number of applications must be between 1 and 12." sqref="C7" xr:uid="{BF3C8158-DCD8-4358-891C-94736303AD55}">
      <formula1>1</formula1>
      <formula2>12</formula2>
    </dataValidation>
    <dataValidation type="list" operator="greaterThan" showInputMessage="1" showErrorMessage="1" errorTitle="no user-defined input allowed" error="Select drift scenario from list." sqref="C10:N10" xr:uid="{88CF7337-C098-42E5-A9FB-00260564DD44}">
      <formula1>drift_scenario_01m</formula1>
    </dataValidation>
    <dataValidation type="list" allowBlank="1" showInputMessage="1" showErrorMessage="1" errorTitle="no user-defined input allowed" error="Select rate unit from list." sqref="I4" xr:uid="{3904327E-596B-48BA-9553-A97EFA596294}">
      <formula1>select_applic_rate_unit</formula1>
    </dataValidation>
    <dataValidation type="list" allowBlank="1" showInputMessage="1" showErrorMessage="1" errorTitle="no user-defined input allowed" error="Select additional parameter from list." sqref="B24" xr:uid="{B3E4C768-86BB-4E12-B684-81CCFBC0E2C6}">
      <formula1>INDIRECT("select_"&amp;LEFT(select_parameter,3))</formula1>
    </dataValidation>
    <dataValidation type="list" allowBlank="1" showInputMessage="1" showErrorMessage="1" errorTitle="no user-defined input allowed" error="Select target compartment from list." sqref="B14" xr:uid="{FF281BA1-2362-4375-9133-6D70977EDB26}">
      <formula1>report_table_type</formula1>
    </dataValidation>
    <dataValidation type="whole" operator="greaterThan" allowBlank="1" showInputMessage="1" showErrorMessage="1" errorTitle="positive integer number required" error="TWA interval cannot be zero or negative." sqref="E24" xr:uid="{FB02D4D2-F2FE-4D27-82FE-1F6621A30992}">
      <formula1>0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C66A-A052-44A7-971D-2BD4D9CD736C}">
  <sheetPr codeName="Tabelle2">
    <tabColor rgb="FFFFFF99"/>
  </sheetPr>
  <dimension ref="A1:M59"/>
  <sheetViews>
    <sheetView workbookViewId="0">
      <selection activeCell="S35" sqref="S35"/>
    </sheetView>
  </sheetViews>
  <sheetFormatPr defaultColWidth="11.42578125" defaultRowHeight="12.75" x14ac:dyDescent="0.2"/>
  <cols>
    <col min="1" max="1" width="5.7109375" style="36" customWidth="1"/>
    <col min="2" max="3" width="25.7109375" style="36" customWidth="1"/>
    <col min="4" max="7" width="10.7109375" style="36" customWidth="1"/>
    <col min="8" max="8" width="11.42578125" style="36"/>
    <col min="9" max="9" width="5.7109375" style="36" customWidth="1"/>
    <col min="10" max="10" width="12.42578125" style="36" bestFit="1" customWidth="1"/>
    <col min="11" max="16384" width="11.42578125" style="36"/>
  </cols>
  <sheetData>
    <row r="1" spans="1:9" x14ac:dyDescent="0.2">
      <c r="A1" s="148"/>
      <c r="B1" s="148"/>
      <c r="C1" s="148"/>
      <c r="D1" s="148"/>
      <c r="E1" s="148"/>
      <c r="F1" s="148"/>
      <c r="G1" s="148"/>
      <c r="H1" s="149"/>
      <c r="I1" s="148"/>
    </row>
    <row r="2" spans="1:9" x14ac:dyDescent="0.2">
      <c r="A2" s="148"/>
      <c r="B2" s="148"/>
      <c r="C2" s="148"/>
      <c r="D2" s="148"/>
      <c r="E2" s="148"/>
      <c r="F2" s="148"/>
      <c r="G2" s="148"/>
      <c r="H2" s="149"/>
      <c r="I2" s="148"/>
    </row>
    <row r="3" spans="1:9" x14ac:dyDescent="0.2">
      <c r="A3" s="148"/>
      <c r="B3" s="150" t="s">
        <v>221</v>
      </c>
      <c r="C3" s="148"/>
      <c r="D3" s="148"/>
      <c r="E3" s="148"/>
      <c r="F3" s="148"/>
      <c r="G3" s="148"/>
      <c r="H3" s="149"/>
      <c r="I3" s="148"/>
    </row>
    <row r="4" spans="1:9" x14ac:dyDescent="0.2">
      <c r="A4" s="148"/>
      <c r="B4" s="148" t="s">
        <v>222</v>
      </c>
      <c r="C4" s="151">
        <f>vd_24h_FOCUS!N7</f>
        <v>1.9999999999999999E-7</v>
      </c>
      <c r="D4" s="148"/>
      <c r="E4" s="148"/>
      <c r="F4" s="148"/>
      <c r="G4" s="148"/>
      <c r="H4" s="149"/>
      <c r="I4" s="148"/>
    </row>
    <row r="5" spans="1:9" x14ac:dyDescent="0.2">
      <c r="A5" s="148"/>
      <c r="B5" s="148" t="s">
        <v>223</v>
      </c>
      <c r="C5" s="152">
        <v>20</v>
      </c>
      <c r="D5" s="148" t="str">
        <f>IF(vapour_pressure_temp="","",
IF(vapour_pressure_temp&lt;=100,"°C","K"))</f>
        <v>°C</v>
      </c>
      <c r="E5" s="148"/>
      <c r="F5" s="148"/>
      <c r="G5" s="148"/>
      <c r="H5" s="149"/>
      <c r="I5" s="148"/>
    </row>
    <row r="6" spans="1:9" x14ac:dyDescent="0.2">
      <c r="A6" s="148"/>
      <c r="B6" s="148" t="s">
        <v>224</v>
      </c>
      <c r="C6" s="153">
        <f>IF(vapour_pressure_temp="",
vapour_pressure_meas,
ROUND(EXP(-((95000/8.3143)*((1/293.15)-(1/(vapour_pressure_temp+273.15*(vapour_pressure_temp&lt;=100)))))+LN(vapour_pressure_meas)),15))</f>
        <v>1.9999999999999999E-7</v>
      </c>
      <c r="D6" s="148"/>
      <c r="E6" s="148" t="str">
        <f>"substance is "&amp;HLOOKUP(vapour_pressure_20,volatility_class_def,2)</f>
        <v>substance is nonvolatile</v>
      </c>
      <c r="F6" s="148"/>
      <c r="G6" s="148" t="s">
        <v>154</v>
      </c>
      <c r="H6" s="149">
        <f>HLOOKUP(vapour_pressure_20,volatility_class_def,3)</f>
        <v>0</v>
      </c>
      <c r="I6" s="148"/>
    </row>
    <row r="7" spans="1:9" x14ac:dyDescent="0.2">
      <c r="A7" s="148"/>
      <c r="B7" s="148" t="s">
        <v>225</v>
      </c>
      <c r="C7" s="154">
        <v>2</v>
      </c>
      <c r="D7" s="148"/>
      <c r="E7" s="148"/>
      <c r="F7" s="148"/>
      <c r="G7" s="148"/>
      <c r="H7" s="149"/>
      <c r="I7" s="148"/>
    </row>
    <row r="8" spans="1:9" x14ac:dyDescent="0.2">
      <c r="A8" s="148"/>
      <c r="B8" s="148" t="s">
        <v>223</v>
      </c>
      <c r="C8" s="152">
        <v>20</v>
      </c>
      <c r="D8" s="148" t="str">
        <f>IF(water_solubility_temp="","",
IF(water_solubility_temp&lt;=100,"°C","K"))</f>
        <v>°C</v>
      </c>
      <c r="E8" s="148"/>
      <c r="F8" s="148"/>
      <c r="G8" s="148"/>
      <c r="H8" s="149"/>
      <c r="I8" s="148"/>
    </row>
    <row r="9" spans="1:9" x14ac:dyDescent="0.2">
      <c r="A9" s="148"/>
      <c r="B9" s="148" t="s">
        <v>226</v>
      </c>
      <c r="C9" s="155">
        <f>IF(water_solubility_meas="",
"",
IF(water_solubility_temp="",
water_solubility_meas,
ROUND(EXP(-((27000/8.3143)*((1/293.15)-(1/(water_solubility_temp+273.15*(water_solubility_temp&lt;=100)))))+LN(water_solubility_meas)),15)))</f>
        <v>2</v>
      </c>
      <c r="D9" s="156"/>
      <c r="E9" s="157" t="str">
        <f>IF(MID(compartment,23,3)="sed",water_solubility_20*((300*perc_in_sed)/(10*sed_layer*sed_density)*(1+f_accu_plat)),"")</f>
        <v/>
      </c>
      <c r="F9" s="148" t="str">
        <f>IF(MID(compartment,23,3)="sed","mg/kg (expressed as sed. concentration)","")</f>
        <v/>
      </c>
      <c r="G9" s="148"/>
      <c r="H9" s="149"/>
      <c r="I9" s="148"/>
    </row>
    <row r="10" spans="1:9" x14ac:dyDescent="0.2">
      <c r="A10" s="148"/>
      <c r="B10" s="148"/>
      <c r="C10" s="148"/>
      <c r="D10" s="148"/>
      <c r="E10" s="148"/>
      <c r="F10" s="148"/>
      <c r="G10" s="148"/>
      <c r="H10" s="149"/>
      <c r="I10" s="148"/>
    </row>
    <row r="11" spans="1:9" x14ac:dyDescent="0.2">
      <c r="A11" s="148"/>
      <c r="B11" s="158" t="s">
        <v>227</v>
      </c>
      <c r="C11" s="148"/>
      <c r="D11" s="148"/>
      <c r="E11" s="148"/>
      <c r="F11" s="148"/>
      <c r="G11" s="148"/>
      <c r="H11" s="149"/>
      <c r="I11" s="148"/>
    </row>
    <row r="12" spans="1:9" ht="12.75" customHeight="1" x14ac:dyDescent="0.2">
      <c r="A12" s="148"/>
      <c r="B12" s="159" t="s">
        <v>228</v>
      </c>
      <c r="C12" s="160"/>
      <c r="D12" s="148"/>
      <c r="E12" s="148"/>
      <c r="F12" s="148"/>
      <c r="G12" s="148"/>
      <c r="H12" s="149"/>
      <c r="I12" s="148"/>
    </row>
    <row r="13" spans="1:9" ht="12.75" customHeight="1" x14ac:dyDescent="0.2">
      <c r="A13" s="148"/>
      <c r="B13" s="159" t="s">
        <v>229</v>
      </c>
      <c r="C13" s="161"/>
      <c r="D13" s="148"/>
      <c r="E13" s="148"/>
      <c r="F13" s="148"/>
      <c r="G13" s="148"/>
      <c r="H13" s="149"/>
      <c r="I13" s="148"/>
    </row>
    <row r="14" spans="1:9" x14ac:dyDescent="0.2">
      <c r="A14" s="148"/>
      <c r="B14" s="148"/>
      <c r="C14" s="148"/>
      <c r="D14" s="148"/>
      <c r="E14" s="148"/>
      <c r="F14" s="148"/>
      <c r="G14" s="148"/>
      <c r="H14" s="149"/>
      <c r="I14" s="148"/>
    </row>
    <row r="15" spans="1:9" x14ac:dyDescent="0.2">
      <c r="A15" s="148"/>
      <c r="B15" s="148" t="s">
        <v>230</v>
      </c>
      <c r="C15" s="162" t="s">
        <v>231</v>
      </c>
      <c r="D15" s="148"/>
      <c r="E15" s="148" t="str">
        <f>IF(LEFT(mult_applic,3)="res",
IF(select_vd_applic_crit="final application rate","worst case for equal application rates and intervals",
IF((RIGHT(select_vd_applic_crit,6)&lt;&gt;RIGHT(parameter,6))-(RIGHT(select_vd_applic_crit,4)="rate"),
"exposure types for drift and v/d must match",
"check overall PEC to select worst-case approach")),
IF(select_vd_applic_crit="max. application rate","relevant when considering effect cumulation","not relevant when considering effect cumulation"))</f>
        <v>worst case for equal application rates and intervals</v>
      </c>
      <c r="F15" s="148"/>
      <c r="G15" s="148"/>
      <c r="H15" s="149"/>
      <c r="I15" s="148"/>
    </row>
    <row r="16" spans="1:9" x14ac:dyDescent="0.2">
      <c r="A16" s="148"/>
      <c r="B16" s="148" t="s">
        <v>232</v>
      </c>
      <c r="C16" s="163">
        <v>1</v>
      </c>
      <c r="D16" s="148"/>
      <c r="E16" s="148" t="str">
        <f>IF(LEFT(select_vd_applic_crit,3)="max","currently not applied in regulation","")</f>
        <v/>
      </c>
      <c r="F16" s="148"/>
      <c r="G16" s="148"/>
      <c r="H16" s="149"/>
      <c r="I16" s="148"/>
    </row>
    <row r="17" spans="1:9" x14ac:dyDescent="0.2">
      <c r="A17" s="148"/>
      <c r="B17" s="148" t="s">
        <v>233</v>
      </c>
      <c r="C17" s="164">
        <f>INDEX(act_applic_rate,vd_applic_crit)</f>
        <v>15</v>
      </c>
      <c r="D17" s="148" t="str">
        <f>applic_rate_unit</f>
        <v>g/ha</v>
      </c>
      <c r="E17" s="148"/>
      <c r="F17" s="148"/>
      <c r="G17" s="148"/>
      <c r="H17" s="149"/>
      <c r="I17" s="148"/>
    </row>
    <row r="18" spans="1:9" x14ac:dyDescent="0.2">
      <c r="A18" s="148"/>
      <c r="B18" s="148" t="s">
        <v>234</v>
      </c>
      <c r="C18" s="165">
        <f>ROUND(
INDEX(act_applic_rate,vd_applic_crit)
*(1-IF(vd_rate_select="measured data",0,VLOOKUP(crit_drift_scenario,vd_percent_01m,2,FALSE))),
3)</f>
        <v>14.962</v>
      </c>
      <c r="D18" s="148" t="str">
        <f>applic_rate_unit</f>
        <v>g/ha</v>
      </c>
      <c r="E18" s="148" t="str">
        <f>IF(
OR(vd_rate_select="measured data",VLOOKUP(crit_drift_scenario,vd_percent_01m,2,FALSE)=0),
"",
"(reduced by drift loss of "&amp;ROUND(100*VLOOKUP(crit_drift_scenario,vd_percent_01m,2,FALSE),3)&amp;" %)")</f>
        <v>(reduced by drift loss of 0.252 %)</v>
      </c>
      <c r="F18" s="148"/>
      <c r="G18" s="148"/>
      <c r="H18" s="149"/>
      <c r="I18" s="148"/>
    </row>
    <row r="19" spans="1:9" x14ac:dyDescent="0.2">
      <c r="A19" s="148"/>
      <c r="B19" s="148"/>
      <c r="C19" s="148"/>
      <c r="D19" s="148"/>
      <c r="E19" s="148"/>
      <c r="F19" s="148"/>
      <c r="G19" s="148"/>
      <c r="H19" s="149"/>
      <c r="I19" s="148"/>
    </row>
    <row r="20" spans="1:9" x14ac:dyDescent="0.2">
      <c r="A20" s="148"/>
      <c r="B20" s="148" t="s">
        <v>235</v>
      </c>
      <c r="C20" s="56" t="str">
        <f>vd_24h_FOCUS!N3</f>
        <v>arable crops</v>
      </c>
      <c r="D20" s="148"/>
      <c r="E20" s="148"/>
      <c r="F20" s="148"/>
      <c r="G20" s="148"/>
      <c r="H20" s="149"/>
      <c r="I20" s="148"/>
    </row>
    <row r="21" spans="1:9" x14ac:dyDescent="0.2">
      <c r="A21" s="148"/>
      <c r="B21" s="148"/>
      <c r="C21" s="148"/>
      <c r="D21" s="148"/>
      <c r="E21" s="148"/>
      <c r="F21" s="148"/>
      <c r="G21" s="148"/>
      <c r="H21" s="149"/>
      <c r="I21" s="148"/>
    </row>
    <row r="22" spans="1:9" x14ac:dyDescent="0.2">
      <c r="A22" s="148"/>
      <c r="B22" s="150" t="s">
        <v>236</v>
      </c>
      <c r="C22" s="148"/>
      <c r="D22" s="148"/>
      <c r="E22" s="148"/>
      <c r="F22" s="148"/>
      <c r="G22" s="148"/>
      <c r="H22" s="149"/>
      <c r="I22" s="148"/>
    </row>
    <row r="23" spans="1:9" x14ac:dyDescent="0.2">
      <c r="A23" s="148"/>
      <c r="B23" s="148" t="s">
        <v>237</v>
      </c>
      <c r="C23" s="166">
        <v>1</v>
      </c>
      <c r="D23" s="148"/>
      <c r="E23" s="148" t="str">
        <f>IF(crop_interception=1,"worst case","select upper limit for critical application for v/d")</f>
        <v>worst case</v>
      </c>
      <c r="F23" s="148"/>
      <c r="G23" s="148"/>
      <c r="H23" s="149"/>
      <c r="I23" s="148"/>
    </row>
    <row r="24" spans="1:9" x14ac:dyDescent="0.2">
      <c r="A24" s="148"/>
      <c r="B24" s="148"/>
      <c r="C24" s="148"/>
      <c r="D24" s="148"/>
      <c r="E24" s="148"/>
      <c r="F24" s="148"/>
      <c r="G24" s="148"/>
      <c r="H24" s="149"/>
      <c r="I24" s="148"/>
    </row>
    <row r="25" spans="1:9" x14ac:dyDescent="0.2">
      <c r="A25" s="148"/>
      <c r="B25" s="150" t="s">
        <v>238</v>
      </c>
      <c r="C25" s="148"/>
      <c r="D25" s="156" t="s">
        <v>239</v>
      </c>
      <c r="E25" s="156" t="s">
        <v>240</v>
      </c>
      <c r="F25" s="148"/>
      <c r="G25" s="148"/>
      <c r="H25" s="148"/>
      <c r="I25" s="148"/>
    </row>
    <row r="26" spans="1:9" x14ac:dyDescent="0.2">
      <c r="A26" s="148"/>
      <c r="B26" s="148" t="s">
        <v>241</v>
      </c>
      <c r="C26" s="167">
        <f>IF(grnhouse_area_user,grnhouse_area_user,grnhouse_area_default)</f>
        <v>300</v>
      </c>
      <c r="D26" s="168">
        <v>300</v>
      </c>
      <c r="E26" s="154"/>
      <c r="F26" s="148"/>
      <c r="G26" s="148"/>
      <c r="H26" s="148"/>
      <c r="I26" s="148"/>
    </row>
    <row r="27" spans="1:9" x14ac:dyDescent="0.2">
      <c r="A27" s="148"/>
      <c r="B27" s="148" t="s">
        <v>242</v>
      </c>
      <c r="C27" s="169">
        <f>IF(grnhouse_vol_user,grnhouse_vol_user,grnhouse_vol_default)</f>
        <v>1000</v>
      </c>
      <c r="D27" s="170">
        <v>1000</v>
      </c>
      <c r="E27" s="171"/>
      <c r="F27" s="148"/>
      <c r="G27" s="148"/>
      <c r="H27" s="148"/>
      <c r="I27" s="148"/>
    </row>
    <row r="28" spans="1:9" x14ac:dyDescent="0.2">
      <c r="A28" s="148"/>
      <c r="B28" s="148" t="s">
        <v>243</v>
      </c>
      <c r="C28" s="172">
        <f>IF(grnhouse_exchange_user,grnhouse_exchange_user,grnhouse_exchange_default)</f>
        <v>24.5</v>
      </c>
      <c r="D28" s="173">
        <v>24.5</v>
      </c>
      <c r="E28" s="152"/>
      <c r="F28" s="148"/>
      <c r="G28" s="148"/>
      <c r="H28" s="148"/>
      <c r="I28" s="148"/>
    </row>
    <row r="29" spans="1:9" x14ac:dyDescent="0.2">
      <c r="A29" s="148"/>
      <c r="B29" s="148"/>
      <c r="C29" s="148"/>
      <c r="D29" s="148"/>
      <c r="E29" s="148"/>
      <c r="F29" s="148"/>
      <c r="G29" s="148"/>
      <c r="H29" s="148"/>
      <c r="I29" s="148"/>
    </row>
    <row r="30" spans="1:9" x14ac:dyDescent="0.2">
      <c r="A30" s="148"/>
      <c r="B30" s="148" t="s">
        <v>202</v>
      </c>
      <c r="C30" s="155">
        <f>grnhouse_area*applic_rate_vd
/IF(RIGHT(applic_rate_unit,2)="ha",10000,1)</f>
        <v>0.44886000000000004</v>
      </c>
      <c r="D30" s="148" t="str">
        <f>LEFT(applic_rate_unit,SEARCH("/",applic_rate_unit)-1)</f>
        <v>g</v>
      </c>
      <c r="E30" s="148"/>
      <c r="F30" s="148"/>
      <c r="G30" s="148"/>
      <c r="H30" s="148"/>
      <c r="I30" s="148"/>
    </row>
    <row r="31" spans="1:9" x14ac:dyDescent="0.2">
      <c r="A31" s="148"/>
      <c r="B31" s="148"/>
      <c r="C31" s="148"/>
      <c r="D31" s="148"/>
      <c r="E31" s="148"/>
      <c r="F31" s="148"/>
      <c r="G31" s="148"/>
      <c r="H31" s="149"/>
      <c r="I31" s="148"/>
    </row>
    <row r="32" spans="1:9" x14ac:dyDescent="0.2">
      <c r="A32" s="148"/>
      <c r="B32" s="150" t="s">
        <v>244</v>
      </c>
      <c r="C32" s="148"/>
      <c r="D32" s="148"/>
      <c r="E32" s="148"/>
      <c r="F32" s="148"/>
      <c r="G32" s="148"/>
      <c r="H32" s="149"/>
      <c r="I32" s="148"/>
    </row>
    <row r="33" spans="1:9" x14ac:dyDescent="0.2">
      <c r="A33" s="148"/>
      <c r="B33" s="148" t="s">
        <v>245</v>
      </c>
      <c r="C33" s="156" t="s">
        <v>165</v>
      </c>
      <c r="D33" s="156" t="s">
        <v>246</v>
      </c>
      <c r="E33" s="156" t="s">
        <v>247</v>
      </c>
      <c r="F33" s="156" t="s">
        <v>248</v>
      </c>
      <c r="G33" s="148"/>
      <c r="H33" s="149"/>
      <c r="I33" s="148"/>
    </row>
    <row r="34" spans="1:9" x14ac:dyDescent="0.2">
      <c r="A34" s="148"/>
      <c r="B34" s="148"/>
      <c r="C34" s="168">
        <f>VLOOKUP(crit_drift_scenario,vd_percent_01m,3,FALSE)</f>
        <v>1</v>
      </c>
      <c r="D34" s="174">
        <f>VLOOKUP(crit_drift_scenario,vd_percent_01m,HLOOKUP(vapour_pressure_20,volatility_class_def,3,TRUE)+5,FALSE)</f>
        <v>0</v>
      </c>
      <c r="E34" s="174">
        <f>VLOOKUP(crit_drift_scenario,vd_percent_01m,HLOOKUP(vapour_pressure_20,volatility_class_def,3,TRUE)+9,FALSE)</f>
        <v>0</v>
      </c>
      <c r="F34" s="175">
        <f>crop_interception*D34+(1-crop_interception)*E34</f>
        <v>0</v>
      </c>
      <c r="G34" s="148"/>
      <c r="H34" s="149"/>
      <c r="I34" s="148"/>
    </row>
    <row r="35" spans="1:9" x14ac:dyDescent="0.2">
      <c r="A35" s="148"/>
      <c r="B35" s="148"/>
      <c r="C35" s="170">
        <f>VLOOKUP(crit_drift_scenario,vd_percent_05m,3,FALSE)</f>
        <v>5</v>
      </c>
      <c r="D35" s="176">
        <f>VLOOKUP(crit_drift_scenario,vd_percent_05m,HLOOKUP(vapour_pressure_20,volatility_class_def,3,TRUE)+5,FALSE)</f>
        <v>0</v>
      </c>
      <c r="E35" s="176">
        <f>VLOOKUP(crit_drift_scenario,vd_percent_05m,HLOOKUP(vapour_pressure_20,volatility_class_def,3,TRUE)+9,FALSE)</f>
        <v>0</v>
      </c>
      <c r="F35" s="177">
        <f>crop_interception*D35+(1-crop_interception)*E35</f>
        <v>0</v>
      </c>
      <c r="G35" s="148"/>
      <c r="H35" s="149"/>
      <c r="I35" s="148"/>
    </row>
    <row r="36" spans="1:9" x14ac:dyDescent="0.2">
      <c r="A36" s="148"/>
      <c r="B36" s="148"/>
      <c r="C36" s="170">
        <f>VLOOKUP(crit_drift_scenario,vd_percent_10m,3,FALSE)</f>
        <v>10</v>
      </c>
      <c r="D36" s="176">
        <f>VLOOKUP(crit_drift_scenario,vd_percent_10m,HLOOKUP(vapour_pressure_20,volatility_class_def,3,TRUE)+5,FALSE)</f>
        <v>0</v>
      </c>
      <c r="E36" s="176">
        <f>VLOOKUP(crit_drift_scenario,vd_percent_10m,HLOOKUP(vapour_pressure_20,volatility_class_def,3,TRUE)+9,FALSE)</f>
        <v>0</v>
      </c>
      <c r="F36" s="177">
        <f>crop_interception*D36+(1-crop_interception)*E36</f>
        <v>0</v>
      </c>
      <c r="G36" s="148"/>
      <c r="H36" s="149"/>
      <c r="I36" s="148"/>
    </row>
    <row r="37" spans="1:9" x14ac:dyDescent="0.2">
      <c r="A37" s="148"/>
      <c r="B37" s="148"/>
      <c r="C37" s="170">
        <f>VLOOKUP(crit_drift_scenario,vd_percent_15m,3,FALSE)</f>
        <v>15</v>
      </c>
      <c r="D37" s="176">
        <f>VLOOKUP(crit_drift_scenario,vd_percent_15m,HLOOKUP(vapour_pressure_20,volatility_class_def,3,TRUE)+5,FALSE)</f>
        <v>0</v>
      </c>
      <c r="E37" s="176">
        <f>VLOOKUP(crit_drift_scenario,vd_percent_15m,HLOOKUP(vapour_pressure_20,volatility_class_def,3,TRUE)+9,FALSE)</f>
        <v>0</v>
      </c>
      <c r="F37" s="177">
        <f>crop_interception*D37+(1-crop_interception)*E37</f>
        <v>0</v>
      </c>
      <c r="G37" s="148"/>
      <c r="H37" s="149"/>
      <c r="I37" s="148"/>
    </row>
    <row r="38" spans="1:9" x14ac:dyDescent="0.2">
      <c r="A38" s="148"/>
      <c r="B38" s="148"/>
      <c r="C38" s="173">
        <f>VLOOKUP(crit_drift_scenario,vd_percent_20m,3,FALSE)</f>
        <v>20</v>
      </c>
      <c r="D38" s="178">
        <f>VLOOKUP(crit_drift_scenario,vd_percent_20m,HLOOKUP(vapour_pressure_20,volatility_class_def,3,TRUE)+5,FALSE)</f>
        <v>0</v>
      </c>
      <c r="E38" s="178">
        <f>VLOOKUP(crit_drift_scenario,vd_percent_20m,HLOOKUP(vapour_pressure_20,volatility_class_def,3,TRUE)+9,FALSE)</f>
        <v>0</v>
      </c>
      <c r="F38" s="179">
        <f>crop_interception*D38+(1-crop_interception)*E38</f>
        <v>0</v>
      </c>
      <c r="G38" s="148"/>
      <c r="H38" s="149"/>
      <c r="I38" s="148"/>
    </row>
    <row r="39" spans="1:9" x14ac:dyDescent="0.2">
      <c r="A39" s="148"/>
      <c r="B39" s="148"/>
      <c r="C39" s="148"/>
      <c r="D39" s="148"/>
      <c r="E39" s="148"/>
      <c r="F39" s="148"/>
      <c r="G39" s="148"/>
      <c r="H39" s="149"/>
      <c r="I39" s="148"/>
    </row>
    <row r="40" spans="1:9" x14ac:dyDescent="0.2">
      <c r="A40" s="148"/>
      <c r="B40" s="148" t="s">
        <v>249</v>
      </c>
      <c r="C40" s="148"/>
      <c r="D40" s="148"/>
      <c r="E40" s="156" t="s">
        <v>165</v>
      </c>
      <c r="F40" s="156" t="s">
        <v>250</v>
      </c>
      <c r="G40" s="148"/>
      <c r="H40" s="149"/>
      <c r="I40" s="148"/>
    </row>
    <row r="41" spans="1:9" x14ac:dyDescent="0.2">
      <c r="A41" s="148"/>
      <c r="B41" s="148" t="s">
        <v>251</v>
      </c>
      <c r="C41" s="148"/>
      <c r="D41" s="148"/>
      <c r="E41" s="180">
        <f>VLOOKUP(crit_drift_scenario,vd_percent_01m,3,FALSE)</f>
        <v>1</v>
      </c>
      <c r="F41" s="181"/>
      <c r="G41" s="148"/>
      <c r="H41" s="149"/>
      <c r="I41" s="148"/>
    </row>
    <row r="42" spans="1:9" x14ac:dyDescent="0.2">
      <c r="A42" s="148"/>
      <c r="B42" s="148" t="s">
        <v>252</v>
      </c>
      <c r="C42" s="166">
        <v>1</v>
      </c>
      <c r="D42" s="148"/>
      <c r="E42" s="182">
        <f>VLOOKUP(crit_drift_scenario,vd_percent_05m,3,FALSE)</f>
        <v>5</v>
      </c>
      <c r="F42" s="183"/>
      <c r="G42" s="148"/>
      <c r="H42" s="149"/>
      <c r="I42" s="148"/>
    </row>
    <row r="43" spans="1:9" x14ac:dyDescent="0.2">
      <c r="A43" s="148"/>
      <c r="B43" s="148" t="s">
        <v>253</v>
      </c>
      <c r="C43" s="184">
        <f>(crop_interception*0.75+(1-crop_interception)*0.25)/(crop_interc_study*0.75+(1-crop_interc_study)*0.25)</f>
        <v>1</v>
      </c>
      <c r="D43" s="148"/>
      <c r="E43" s="182">
        <f>VLOOKUP(crit_drift_scenario,vd_percent_10m,3,FALSE)</f>
        <v>10</v>
      </c>
      <c r="F43" s="183"/>
      <c r="G43" s="148"/>
      <c r="H43" s="149"/>
      <c r="I43" s="148"/>
    </row>
    <row r="44" spans="1:9" x14ac:dyDescent="0.2">
      <c r="A44" s="148"/>
      <c r="B44" s="148"/>
      <c r="C44" s="148"/>
      <c r="D44" s="148"/>
      <c r="E44" s="182">
        <f>VLOOKUP(crit_drift_scenario,vd_percent_15m,3,FALSE)</f>
        <v>15</v>
      </c>
      <c r="F44" s="183"/>
      <c r="G44" s="148"/>
      <c r="H44" s="149"/>
      <c r="I44" s="148"/>
    </row>
    <row r="45" spans="1:9" x14ac:dyDescent="0.2">
      <c r="A45" s="148"/>
      <c r="B45" s="148"/>
      <c r="C45" s="148"/>
      <c r="D45" s="148"/>
      <c r="E45" s="185">
        <f>VLOOKUP(crit_drift_scenario,vd_percent_20m,3,FALSE)</f>
        <v>20</v>
      </c>
      <c r="F45" s="186"/>
      <c r="G45" s="148"/>
      <c r="H45" s="149"/>
      <c r="I45" s="148"/>
    </row>
    <row r="46" spans="1:9" x14ac:dyDescent="0.2">
      <c r="A46" s="148"/>
      <c r="B46" s="148"/>
      <c r="C46" s="148"/>
      <c r="D46" s="148"/>
      <c r="E46" s="148"/>
      <c r="F46" s="148"/>
      <c r="G46" s="148"/>
      <c r="H46" s="149"/>
      <c r="I46" s="148"/>
    </row>
    <row r="47" spans="1:9" x14ac:dyDescent="0.2">
      <c r="A47" s="148"/>
      <c r="B47" s="150" t="s">
        <v>254</v>
      </c>
      <c r="C47" s="148"/>
      <c r="D47" s="148"/>
      <c r="E47" s="148"/>
      <c r="F47" s="148"/>
      <c r="G47" s="148"/>
      <c r="H47" s="149"/>
      <c r="I47" s="148"/>
    </row>
    <row r="48" spans="1:9" x14ac:dyDescent="0.2">
      <c r="A48" s="148"/>
      <c r="B48" s="187" t="s">
        <v>245</v>
      </c>
      <c r="C48" s="148"/>
      <c r="D48" s="156" t="s">
        <v>165</v>
      </c>
      <c r="E48" s="156" t="s">
        <v>255</v>
      </c>
      <c r="F48" s="156" t="str">
        <f>"v/d ("&amp;applic_rate_unit&amp;")"</f>
        <v>v/d (g/ha)</v>
      </c>
      <c r="G48" s="148"/>
      <c r="H48" s="149"/>
      <c r="I48" s="148"/>
    </row>
    <row r="49" spans="1:13" x14ac:dyDescent="0.2">
      <c r="A49" s="148"/>
      <c r="B49" s="148"/>
      <c r="C49" s="148"/>
      <c r="D49" s="188">
        <f>VLOOKUP(crit_drift_scenario,vd_percent_01m,3,FALSE)</f>
        <v>1</v>
      </c>
      <c r="E49" s="189">
        <f t="array" aca="1" ref="E49:E53" ca="1">IF(AND(LEFT(compartment,4)="aqua",water_solubility_20&lt;&gt;""),
IF(
(applic_rate_vd
*INDIRECT("vd_percent_"&amp;LEFT(vd_rate_select,4))*IF(AND(dt50_value&lt;1,LEFT(vd_rate_select,4)="calc"),dt50_act_red,1)
*IF(LEFT(vd_rate_select,4)="meas",cf_interc_study,1)
*(main!scenario_factor/(10^((LEFT(PEC_unit,1)="µ")*3))))
&gt;IF(MID(compartment,23,3)="sed",water_solubility_20_sed,water_solubility_20),
IF(MID(compartment,23,3)="sed",water_solubility_20_sed,water_solubility_20)*(10^((LEFT(PEC_unit,1)="µ")*3))
/(main!scenario_factor*applic_rate_vd),
INDIRECT("vd_percent_"&amp;LEFT(vd_rate_select,4))*IF(AND(dt50_value&lt;1,LEFT(vd_rate_select,4)="calc"),dt50_act_red,1)
*IF(LEFT(vd_rate_select,4)="meas",cf_interc_study,1)),
INDIRECT("vd_percent_"&amp;LEFT(vd_rate_select,4))*IF(AND(dt50_value&lt;1,LEFT(vd_rate_select,4)="calc"),dt50_act_red,1)
*IF(LEFT(vd_rate_select,4)="meas",cf_interc_study,1))</f>
        <v>0</v>
      </c>
      <c r="F49" s="192">
        <f t="array" aca="1" ref="F49:F53" ca="1">IF(AND(LEFT(compartment,4)="aqua",water_solubility_20&lt;&gt;""),
IF(
(applic_rate_vd
*INDIRECT("vd_percent_"&amp;LEFT(vd_rate_select,4))*IF(AND(dt50_value&lt;1,LEFT(vd_rate_select,4)="calc"),dt50_act_red,1)
*IF(LEFT(vd_rate_select,4)="meas",cf_interc_study,1)
*(main!scenario_factor/(10^((LEFT(PEC_unit,1)="µ")*3))))
&gt;IF(MID(compartment,23,3)="sed",water_solubility_20_sed,water_solubility_20),
IF(MID(compartment,23,3)="sed",water_solubility_20_sed,water_solubility_20)*(10^((LEFT(PEC_unit,1)="µ")*3))
/main!scenario_factor,
applic_rate_vd
*INDIRECT("vd_percent_"&amp;LEFT(vd_rate_select,4))*IF(AND(dt50_value&lt;1,LEFT(vd_rate_select,4)="calc"),dt50_act_red,1)
*IF(LEFT(vd_rate_select,4)="meas",cf_interc_study,1)),
applic_rate_vd
*INDIRECT("vd_percent_"&amp;LEFT(vd_rate_select,4))*IF(AND(dt50_value&lt;1,LEFT(vd_rate_select,4)="calc"),dt50_act_red,1)
*IF(LEFT(vd_rate_select,4)="meas",cf_interc_study,1))</f>
        <v>0</v>
      </c>
      <c r="G49" s="195" t="str">
        <f t="array" aca="1" ref="G49:G53" ca="1">IF(AND(LEFT(compartment,4)="aqua",water_solubility_20&lt;&gt;""),
IF(
(applic_rate_vd
*INDIRECT("vd_percent_"&amp;LEFT(vd_rate_select,4))*IF(AND(dt50_value&lt;1,LEFT(vd_rate_select,4)="calc"),dt50_act_red,1)
*IF(LEFT(vd_rate_select,4)="meas",cf_interc_study,1)
*(main!scenario_factor/(10^((LEFT(PEC_unit,1)="µ")*3))))
&gt;IF(MID(compartment,23,3)="sed",water_solubility_20_sed,water_solubility_20),
"←  limited by water solubility!",
""),
"")</f>
        <v/>
      </c>
      <c r="H49" s="149"/>
      <c r="I49" s="148"/>
      <c r="K49" s="196"/>
      <c r="L49" s="45"/>
      <c r="M49" s="196"/>
    </row>
    <row r="50" spans="1:13" x14ac:dyDescent="0.2">
      <c r="A50" s="148"/>
      <c r="B50" s="197" t="str">
        <f>IF(AND(dt50_value&lt;1,LEFT(vd!vd_rate_select,4)="calc"),
"DT50 of "&amp;ROUND(dt50_value*24,1)&amp;" h is &lt; 1 d",
"")</f>
        <v/>
      </c>
      <c r="C50" s="148"/>
      <c r="D50" s="198">
        <f>VLOOKUP(crit_drift_scenario,vd_percent_05m,3,FALSE)</f>
        <v>5</v>
      </c>
      <c r="E50" s="190">
        <f ca="1"/>
        <v>0</v>
      </c>
      <c r="F50" s="193">
        <f ca="1"/>
        <v>0</v>
      </c>
      <c r="G50" s="195" t="str">
        <f ca="1"/>
        <v/>
      </c>
      <c r="H50" s="149"/>
      <c r="I50" s="148"/>
      <c r="K50" s="196"/>
      <c r="L50" s="45"/>
      <c r="M50" s="196"/>
    </row>
    <row r="51" spans="1:13" x14ac:dyDescent="0.2">
      <c r="A51" s="148"/>
      <c r="B51" s="197" t="str">
        <f>IF(AND(dt50_value&lt;1,LEFT(vd!vd_rate_select,4)="calc"),
"→  v/d reduced to max. 24-h amount of "&amp;TEXT(dt50_act_red,"0 %"),
"")</f>
        <v/>
      </c>
      <c r="C51" s="148"/>
      <c r="D51" s="198">
        <f>VLOOKUP(crit_drift_scenario,vd_percent_10m,3,FALSE)</f>
        <v>10</v>
      </c>
      <c r="E51" s="190">
        <f ca="1"/>
        <v>0</v>
      </c>
      <c r="F51" s="193">
        <f ca="1"/>
        <v>0</v>
      </c>
      <c r="G51" s="195" t="str">
        <f ca="1"/>
        <v/>
      </c>
      <c r="H51" s="149"/>
      <c r="I51" s="148"/>
      <c r="K51" s="196"/>
      <c r="L51" s="45"/>
      <c r="M51" s="196"/>
    </row>
    <row r="52" spans="1:13" x14ac:dyDescent="0.2">
      <c r="A52" s="148"/>
      <c r="B52" s="148"/>
      <c r="C52" s="148"/>
      <c r="D52" s="198">
        <f>VLOOKUP(crit_drift_scenario,vd_percent_15m,3,FALSE)</f>
        <v>15</v>
      </c>
      <c r="E52" s="190">
        <f ca="1"/>
        <v>0</v>
      </c>
      <c r="F52" s="193">
        <f ca="1"/>
        <v>0</v>
      </c>
      <c r="G52" s="195" t="str">
        <f ca="1"/>
        <v/>
      </c>
      <c r="H52" s="149"/>
      <c r="I52" s="148"/>
      <c r="K52" s="196"/>
      <c r="L52" s="45"/>
      <c r="M52" s="196"/>
    </row>
    <row r="53" spans="1:13" x14ac:dyDescent="0.2">
      <c r="A53" s="148"/>
      <c r="B53" s="148"/>
      <c r="C53" s="148"/>
      <c r="D53" s="199">
        <f>VLOOKUP(crit_drift_scenario,vd_percent_20m,3,FALSE)</f>
        <v>20</v>
      </c>
      <c r="E53" s="191">
        <f ca="1"/>
        <v>0</v>
      </c>
      <c r="F53" s="194">
        <f ca="1"/>
        <v>0</v>
      </c>
      <c r="G53" s="195" t="str">
        <f ca="1"/>
        <v/>
      </c>
      <c r="H53" s="149"/>
      <c r="I53" s="148"/>
      <c r="K53" s="196"/>
      <c r="L53" s="45"/>
      <c r="M53" s="196"/>
    </row>
    <row r="54" spans="1:13" x14ac:dyDescent="0.2">
      <c r="A54" s="148"/>
      <c r="B54" s="148"/>
      <c r="C54" s="148"/>
      <c r="D54" s="148"/>
      <c r="E54" s="148"/>
      <c r="F54" s="148"/>
      <c r="G54" s="148"/>
      <c r="H54" s="148"/>
      <c r="I54" s="148"/>
    </row>
    <row r="55" spans="1:13" x14ac:dyDescent="0.2">
      <c r="A55" s="148"/>
      <c r="B55" s="148"/>
      <c r="C55" s="148"/>
      <c r="D55" s="148"/>
      <c r="E55" s="148"/>
      <c r="F55" s="148"/>
      <c r="G55" s="148"/>
      <c r="H55" s="148"/>
      <c r="I55" s="148"/>
    </row>
    <row r="56" spans="1:13" x14ac:dyDescent="0.2">
      <c r="A56" s="148"/>
      <c r="B56" s="148"/>
      <c r="C56" s="148"/>
      <c r="D56" s="148"/>
      <c r="E56" s="148"/>
      <c r="F56" s="148"/>
      <c r="G56" s="148"/>
      <c r="H56" s="148"/>
      <c r="I56" s="148"/>
    </row>
    <row r="57" spans="1:13" x14ac:dyDescent="0.2">
      <c r="A57" s="148"/>
      <c r="B57" s="148"/>
      <c r="C57" s="148"/>
      <c r="D57" s="148"/>
      <c r="E57" s="148"/>
      <c r="F57" s="148"/>
      <c r="G57" s="148"/>
      <c r="H57" s="148"/>
      <c r="I57" s="148"/>
    </row>
    <row r="58" spans="1:13" x14ac:dyDescent="0.2">
      <c r="A58" s="148"/>
      <c r="B58" s="148"/>
      <c r="C58" s="148"/>
      <c r="D58" s="148"/>
      <c r="E58" s="148"/>
      <c r="F58" s="148"/>
      <c r="G58" s="148"/>
      <c r="H58" s="148"/>
      <c r="I58" s="148"/>
    </row>
    <row r="59" spans="1:13" x14ac:dyDescent="0.2">
      <c r="A59" s="148"/>
      <c r="B59" s="148"/>
      <c r="C59" s="148"/>
      <c r="D59" s="148"/>
      <c r="E59" s="148"/>
      <c r="F59" s="148"/>
      <c r="G59" s="148"/>
      <c r="H59" s="148"/>
      <c r="I59" s="148"/>
    </row>
  </sheetData>
  <conditionalFormatting sqref="D26">
    <cfRule type="expression" dxfId="12" priority="8">
      <formula>ISNUMBER(grnhouse_area_user)</formula>
    </cfRule>
  </conditionalFormatting>
  <conditionalFormatting sqref="D27">
    <cfRule type="expression" dxfId="11" priority="9">
      <formula>ISNUMBER(grnhouse_vol_user)</formula>
    </cfRule>
  </conditionalFormatting>
  <conditionalFormatting sqref="D28">
    <cfRule type="expression" dxfId="10" priority="10" stopIfTrue="1">
      <formula>ISNUMBER(grnhouse_exchange_user)</formula>
    </cfRule>
  </conditionalFormatting>
  <conditionalFormatting sqref="C26:E28 C30">
    <cfRule type="expression" dxfId="9" priority="7">
      <formula>NOT(ISNUMBER(FIND("no drift",crit_drift_scenario)))</formula>
    </cfRule>
  </conditionalFormatting>
  <conditionalFormatting sqref="C23 C42:C43">
    <cfRule type="expression" dxfId="8" priority="6">
      <formula>ISNUMBER(FIND("no drift",crit_drift_scenario))</formula>
    </cfRule>
  </conditionalFormatting>
  <conditionalFormatting sqref="C15">
    <cfRule type="expression" dxfId="7" priority="2">
      <formula>(LEFT(mult_applic,3)="eff")*(select_vd_applic_crit&lt;&gt;"max. application rate")+(LEFT(mult_applic,3)="res")*((RIGHT(select_vd_applic_crit,6)&lt;&gt;RIGHT(parameter,6))-(RIGHT(select_vd_applic_crit,4)="rate"))</formula>
    </cfRule>
    <cfRule type="expression" dxfId="6" priority="3">
      <formula>(LEFT(select_vd_applic_crit,3)="max")</formula>
    </cfRule>
  </conditionalFormatting>
  <conditionalFormatting sqref="E15">
    <cfRule type="expression" dxfId="5" priority="4">
      <formula>OR(LEFT($E$15,3)="exp",LEFT($E$15,3)="not")</formula>
    </cfRule>
  </conditionalFormatting>
  <conditionalFormatting sqref="E15:E16">
    <cfRule type="expression" dxfId="4" priority="5">
      <formula>(LEFT(select_vd_applic_crit,3)="max")</formula>
    </cfRule>
  </conditionalFormatting>
  <conditionalFormatting sqref="E9">
    <cfRule type="expression" dxfId="3" priority="1">
      <formula>MID(compartment,23,3)&lt;&gt;"sed"</formula>
    </cfRule>
  </conditionalFormatting>
  <dataValidations count="8">
    <dataValidation type="list" operator="greaterThanOrEqual" allowBlank="1" showInputMessage="1" showErrorMessage="1" errorTitle="positive number or zero required" error="Value for vapour pressure can only be zero (no consideration of volatilisation and deposition) or positive." sqref="C15" xr:uid="{0DC3CE39-AEB1-4870-8AB5-F60B03E0ADED}">
      <formula1>INDIRECT("select_vd_applic_"&amp;LEFT(mult_applic,3))</formula1>
    </dataValidation>
    <dataValidation type="decimal" operator="greaterThanOrEqual" allowBlank="1" showInputMessage="1" showErrorMessage="1" errorTitle="positive number or zero required" error="Value for measured temparature can only range from zero to100 (interpreted as °C) or higher(interpreted as K)." sqref="C5 C8" xr:uid="{08BC0E53-66C1-4EA7-ACBF-6A70101760A1}">
      <formula1>0</formula1>
    </dataValidation>
    <dataValidation type="decimal" operator="greaterThan" allowBlank="1" showInputMessage="1" showErrorMessage="1" errorTitle="positive number required" error="Greenhouse parameter value must be greater than zero." sqref="E26:E28" xr:uid="{EDCF8969-79E3-4966-A133-EC048597677F}">
      <formula1>0</formula1>
    </dataValidation>
    <dataValidation type="decimal" allowBlank="1" showInputMessage="1" showErrorMessage="1" errorTitle="percent value required" error="Value for crop interception must be between 0 and 100 %." sqref="C23 C42" xr:uid="{0A25A0B7-32B3-48D8-B867-E2E6B2F8C2C0}">
      <formula1>0</formula1>
      <formula2>1</formula2>
    </dataValidation>
    <dataValidation type="decimal" operator="greaterThan" allowBlank="1" showInputMessage="1" showErrorMessage="1" errorTitle="positive number required" error="Value for water solubility must be greater than zero." sqref="C7" xr:uid="{17774A1D-B0CC-430A-9412-E254A77A2267}">
      <formula1>0</formula1>
    </dataValidation>
    <dataValidation type="decimal" operator="greaterThanOrEqual" allowBlank="1" showInputMessage="1" showErrorMessage="1" errorTitle="positive number or zero required" error="Value for vapour pressure can only be zero (no consideration of volatilisation and deposition) or positive." sqref="C4" xr:uid="{4C62309B-73B7-4979-882D-38691BB40764}">
      <formula1>0</formula1>
    </dataValidation>
    <dataValidation type="list" allowBlank="1" showInputMessage="1" showErrorMessage="1" errorTitle="no user-defined input allowed" error="Select option from list." sqref="B48" xr:uid="{DCB59E9F-31AC-44DD-9B8E-287011AFC16A}">
      <formula1>"calculated values,measured data"</formula1>
    </dataValidation>
    <dataValidation type="decimal" allowBlank="1" showInputMessage="1" showErrorMessage="1" errorTitle="percent value required" error="Values for measured deposition after volatilisation must be between 0 and 100 %." sqref="F41:F45" xr:uid="{C7BA29D9-C5A9-42E4-B4C3-C1A1937D423D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0AF80-C510-4EA0-8CCB-C2AA18C22C74}">
  <sheetPr codeName="Tabelle15">
    <tabColor rgb="FFFFFF99"/>
  </sheetPr>
  <dimension ref="A1:Y35"/>
  <sheetViews>
    <sheetView workbookViewId="0">
      <selection activeCell="P9" sqref="P9"/>
    </sheetView>
  </sheetViews>
  <sheetFormatPr defaultColWidth="11.42578125" defaultRowHeight="12.75" x14ac:dyDescent="0.2"/>
  <cols>
    <col min="1" max="1" width="5.7109375" style="36" customWidth="1"/>
    <col min="2" max="9" width="10.7109375" style="36" customWidth="1"/>
    <col min="10" max="10" width="5.7109375" style="36" customWidth="1"/>
    <col min="11" max="12" width="11.42578125" style="36"/>
    <col min="13" max="13" width="14.42578125" style="36" customWidth="1"/>
    <col min="14" max="16384" width="11.42578125" style="36"/>
  </cols>
  <sheetData>
    <row r="1" spans="1:25" x14ac:dyDescent="0.2">
      <c r="A1" s="200"/>
      <c r="B1" s="200"/>
      <c r="C1" s="200"/>
      <c r="D1" s="200"/>
      <c r="E1" s="200"/>
      <c r="F1" s="200"/>
      <c r="G1" s="200"/>
      <c r="H1" s="200"/>
      <c r="I1" s="200"/>
      <c r="J1" s="200"/>
    </row>
    <row r="2" spans="1:25" ht="15" x14ac:dyDescent="0.25">
      <c r="A2" s="200"/>
      <c r="B2" s="200"/>
      <c r="C2" s="200"/>
      <c r="D2" s="200"/>
      <c r="E2" s="200"/>
      <c r="F2" s="200"/>
      <c r="G2" s="200"/>
      <c r="H2" s="200"/>
      <c r="I2" s="200"/>
      <c r="J2" s="200"/>
      <c r="M2" s="36" t="s">
        <v>2070</v>
      </c>
      <c r="N2" t="s">
        <v>66</v>
      </c>
    </row>
    <row r="3" spans="1:25" x14ac:dyDescent="0.2">
      <c r="A3" s="200"/>
      <c r="B3" s="201" t="str">
        <f>IF(vd!crit_drift_scenario="greenhouse (no drift)","temp. resolution of v/d not supported","")</f>
        <v/>
      </c>
      <c r="C3" s="200"/>
      <c r="D3" s="200"/>
      <c r="E3" s="202" t="s">
        <v>256</v>
      </c>
      <c r="F3" s="203" t="str">
        <f>applic_rate_unit</f>
        <v>g/ha</v>
      </c>
      <c r="G3" s="200"/>
      <c r="H3" s="200"/>
      <c r="I3" s="200"/>
      <c r="J3" s="200"/>
      <c r="M3" s="36" t="s">
        <v>2069</v>
      </c>
      <c r="N3" s="36" t="s">
        <v>167</v>
      </c>
    </row>
    <row r="4" spans="1:25" x14ac:dyDescent="0.2">
      <c r="A4" s="200"/>
      <c r="B4" s="201" t="str">
        <f>IF(vd!crit_drift_scenario="greenhouse (no drift)","by data for the greenhouse scenario","")</f>
        <v/>
      </c>
      <c r="C4" s="200"/>
      <c r="D4" s="200"/>
      <c r="E4" s="202"/>
      <c r="F4" s="202"/>
      <c r="G4" s="200"/>
      <c r="H4" s="200"/>
      <c r="I4" s="200"/>
      <c r="J4" s="200"/>
      <c r="M4" s="36" t="s">
        <v>2065</v>
      </c>
      <c r="N4" s="36">
        <v>20</v>
      </c>
    </row>
    <row r="5" spans="1:25" x14ac:dyDescent="0.2">
      <c r="A5" s="200"/>
      <c r="B5" s="200"/>
      <c r="C5" s="200"/>
      <c r="D5" s="200"/>
      <c r="E5" s="202" t="s">
        <v>257</v>
      </c>
      <c r="F5" s="204" t="s">
        <v>258</v>
      </c>
      <c r="G5" s="200"/>
      <c r="H5" s="200" t="s">
        <v>259</v>
      </c>
      <c r="I5" s="205">
        <f ca="1">VLOOKUP(applic_rate_unit,matrix_rate_PEC_terr_,
MATCH(dep_unit,OFFSET(matrix_rate_PEC_terr_,,,1),FALSE),FALSE)</f>
        <v>0.1</v>
      </c>
      <c r="J5" s="200"/>
      <c r="M5" s="36" t="s">
        <v>2066</v>
      </c>
      <c r="N5" s="362">
        <v>1</v>
      </c>
    </row>
    <row r="6" spans="1:25" x14ac:dyDescent="0.2">
      <c r="A6" s="200"/>
      <c r="B6" s="200"/>
      <c r="C6" s="200"/>
      <c r="D6" s="202" t="s">
        <v>165</v>
      </c>
      <c r="E6" s="200"/>
      <c r="F6" s="200"/>
      <c r="G6" s="200"/>
      <c r="H6" s="200"/>
      <c r="I6" s="200"/>
      <c r="J6" s="200"/>
      <c r="M6" s="36" t="s">
        <v>219</v>
      </c>
      <c r="N6" s="36">
        <v>15</v>
      </c>
    </row>
    <row r="7" spans="1:25" x14ac:dyDescent="0.2">
      <c r="A7" s="200"/>
      <c r="B7" s="200"/>
      <c r="C7" s="200"/>
      <c r="D7" s="200">
        <v>0</v>
      </c>
      <c r="E7" s="200">
        <f>VLOOKUP(vd!crit_drift_scenario,vd_percent_01m,3,FALSE)</f>
        <v>1</v>
      </c>
      <c r="F7" s="200">
        <f>VLOOKUP(vd!crit_drift_scenario,vd_percent_05m,3,FALSE)</f>
        <v>5</v>
      </c>
      <c r="G7" s="200">
        <f>VLOOKUP(vd!crit_drift_scenario,vd_percent_10m,3,FALSE)</f>
        <v>10</v>
      </c>
      <c r="H7" s="200">
        <f>VLOOKUP(vd!crit_drift_scenario,vd_percent_15m,3,FALSE)</f>
        <v>15</v>
      </c>
      <c r="I7" s="200">
        <f>VLOOKUP(vd!crit_drift_scenario,vd_percent_20m,3,FALSE)</f>
        <v>20</v>
      </c>
      <c r="J7" s="200"/>
      <c r="M7" s="36" t="s">
        <v>2067</v>
      </c>
      <c r="N7" s="124">
        <v>1.9999999999999999E-7</v>
      </c>
    </row>
    <row r="8" spans="1:25" ht="26.25" x14ac:dyDescent="0.25">
      <c r="A8" s="200"/>
      <c r="B8" s="206" t="s">
        <v>189</v>
      </c>
      <c r="C8" s="207" t="str">
        <f>"v/d per h"&amp;CHAR(10)&amp;IF(VLOOKUP(vd!crit_drift_scenario,vd_percent_01m,4,FALSE)-1,"high crop","arable crop")</f>
        <v>v/d per h
arable crop</v>
      </c>
      <c r="D8" s="207" t="s">
        <v>260</v>
      </c>
      <c r="E8" s="208">
        <f t="array" aca="1" ref="E8:I8" ca="1">TRANSPOSE(INDIRECT("vd!vd_percent_"&amp;LEFT(vd!vd_rate_select,4))
*IF(LEFT(vd!vd_rate_select,4)="meas",vd!cf_interc_study,1))</f>
        <v>0</v>
      </c>
      <c r="F8" s="209">
        <f ca="1"/>
        <v>0</v>
      </c>
      <c r="G8" s="209">
        <f ca="1"/>
        <v>0</v>
      </c>
      <c r="H8" s="209">
        <f ca="1"/>
        <v>0</v>
      </c>
      <c r="I8" s="210">
        <f ca="1"/>
        <v>0</v>
      </c>
      <c r="J8" s="200"/>
      <c r="P8" s="36">
        <v>1</v>
      </c>
      <c r="Q8" s="36">
        <v>2</v>
      </c>
      <c r="R8" s="36">
        <v>3</v>
      </c>
      <c r="S8" s="36">
        <v>4</v>
      </c>
      <c r="T8" s="36">
        <v>5</v>
      </c>
      <c r="U8" s="36">
        <v>6</v>
      </c>
      <c r="V8" s="36">
        <v>7</v>
      </c>
      <c r="W8" s="36">
        <v>8</v>
      </c>
      <c r="Y8" s="3"/>
    </row>
    <row r="9" spans="1:25" ht="15" x14ac:dyDescent="0.25">
      <c r="A9" s="200"/>
      <c r="B9" s="211" t="str">
        <f t="array" aca="1" ref="B9:B32" ca="1">TRANSPOSE(OFFSET(vd_data!vd_dynamics_time,0,0,1,24))&amp;" - "&amp;TRANSPOSE(OFFSET(vd_data!vd_dynamics_time,0,1,1,24))</f>
        <v>0 - 1</v>
      </c>
      <c r="C9" s="213">
        <f t="array" aca="1" ref="C9:C32" ca="1">TRANSPOSE(OFFSET(
IF(VLOOKUP(vd!crit_drift_scenario,vd_percent_01m,4,FALSE)-1,vd_data!vd_dynamics_high,vd_data!vd_dynamics_arable),
0,1,1,24))</f>
        <v>9.0909090909090912E-2</v>
      </c>
      <c r="D9" s="215"/>
      <c r="E9" s="215">
        <f t="array" aca="1" ref="E9:I32" ca="1">applic_rate_vd*(C9:C32)*(E8:I8)*rate_dep_factor</f>
        <v>0</v>
      </c>
      <c r="F9" s="215">
        <f ca="1"/>
        <v>0</v>
      </c>
      <c r="G9" s="215">
        <f ca="1"/>
        <v>0</v>
      </c>
      <c r="H9" s="215">
        <f ca="1"/>
        <v>0</v>
      </c>
      <c r="I9" s="216">
        <f ca="1"/>
        <v>0</v>
      </c>
      <c r="J9" s="200"/>
      <c r="K9" s="219"/>
      <c r="M9" s="36">
        <v>0</v>
      </c>
      <c r="N9" s="36">
        <v>1</v>
      </c>
      <c r="O9" s="36" t="s">
        <v>2071</v>
      </c>
      <c r="P9" s="36" t="str">
        <f ca="1">IF(P$8&gt;$N$5,0,TEXT(INDEX($D9:$I9,MATCH($N$4,$D$7:$I$7,0)),"0.0000"))</f>
        <v>0.0000</v>
      </c>
      <c r="Q9" s="36">
        <f t="shared" ref="Q9:W9" si="0">IF(Q$8&gt;$N$5,0,TEXT(INDEX($D9:$I9,MATCH($N$4,$D$7:$I$7,0)),"0.0000"))</f>
        <v>0</v>
      </c>
      <c r="R9" s="36">
        <f t="shared" si="0"/>
        <v>0</v>
      </c>
      <c r="S9" s="36">
        <f t="shared" si="0"/>
        <v>0</v>
      </c>
      <c r="T9" s="36">
        <f t="shared" si="0"/>
        <v>0</v>
      </c>
      <c r="U9" s="36">
        <f t="shared" si="0"/>
        <v>0</v>
      </c>
      <c r="V9" s="36">
        <f t="shared" si="0"/>
        <v>0</v>
      </c>
      <c r="W9" s="36">
        <f t="shared" si="0"/>
        <v>0</v>
      </c>
      <c r="Y9" s="3" t="str">
        <f ca="1">_xlfn.TEXTJOIN(" ",FALSE,M9 &amp; "-" &amp; N9,O9:W9)</f>
        <v>0-1    0.0000 0 0 0 0 0 0 0</v>
      </c>
    </row>
    <row r="10" spans="1:25" ht="15" x14ac:dyDescent="0.25">
      <c r="A10" s="200"/>
      <c r="B10" s="212" t="str">
        <f ca="1"/>
        <v>1 - 2</v>
      </c>
      <c r="C10" s="214">
        <f ca="1"/>
        <v>9.0909090909090912E-2</v>
      </c>
      <c r="D10" s="217"/>
      <c r="E10" s="217">
        <f ca="1"/>
        <v>0</v>
      </c>
      <c r="F10" s="217">
        <f ca="1"/>
        <v>0</v>
      </c>
      <c r="G10" s="217">
        <f ca="1"/>
        <v>0</v>
      </c>
      <c r="H10" s="217">
        <f ca="1"/>
        <v>0</v>
      </c>
      <c r="I10" s="218">
        <f ca="1"/>
        <v>0</v>
      </c>
      <c r="J10" s="200"/>
      <c r="K10" s="219"/>
      <c r="M10" s="36">
        <v>1</v>
      </c>
      <c r="N10" s="36">
        <v>2</v>
      </c>
      <c r="O10" s="36" t="s">
        <v>2071</v>
      </c>
      <c r="P10" s="36" t="str">
        <f t="shared" ref="P10:W32" ca="1" si="1">IF(P$8&gt;$N$5,0,TEXT(INDEX($D10:$I10,MATCH($N$4,$D$7:$I$7,0)),"0.0000"))</f>
        <v>0.0000</v>
      </c>
      <c r="Q10" s="36">
        <f t="shared" si="1"/>
        <v>0</v>
      </c>
      <c r="R10" s="36">
        <f t="shared" si="1"/>
        <v>0</v>
      </c>
      <c r="S10" s="36">
        <f t="shared" si="1"/>
        <v>0</v>
      </c>
      <c r="T10" s="36">
        <f t="shared" si="1"/>
        <v>0</v>
      </c>
      <c r="U10" s="36">
        <f t="shared" si="1"/>
        <v>0</v>
      </c>
      <c r="V10" s="36">
        <f t="shared" si="1"/>
        <v>0</v>
      </c>
      <c r="W10" s="36">
        <f t="shared" si="1"/>
        <v>0</v>
      </c>
      <c r="Y10" s="3" t="str">
        <f t="shared" ref="Y10:Y32" ca="1" si="2">_xlfn.TEXTJOIN(" ",FALSE,M10 &amp; "-" &amp; N10,O10:W10)</f>
        <v>1-2    0.0000 0 0 0 0 0 0 0</v>
      </c>
    </row>
    <row r="11" spans="1:25" ht="15" x14ac:dyDescent="0.25">
      <c r="A11" s="200"/>
      <c r="B11" s="212" t="str">
        <f ca="1"/>
        <v>2 - 3</v>
      </c>
      <c r="C11" s="214">
        <f ca="1"/>
        <v>9.0909090909090912E-2</v>
      </c>
      <c r="D11" s="217"/>
      <c r="E11" s="217">
        <f ca="1"/>
        <v>0</v>
      </c>
      <c r="F11" s="217">
        <f ca="1"/>
        <v>0</v>
      </c>
      <c r="G11" s="217">
        <f ca="1"/>
        <v>0</v>
      </c>
      <c r="H11" s="217">
        <f ca="1"/>
        <v>0</v>
      </c>
      <c r="I11" s="218">
        <f ca="1"/>
        <v>0</v>
      </c>
      <c r="J11" s="200"/>
      <c r="K11" s="219"/>
      <c r="M11" s="36">
        <v>2</v>
      </c>
      <c r="N11" s="36">
        <v>3</v>
      </c>
      <c r="O11" s="36" t="s">
        <v>2071</v>
      </c>
      <c r="P11" s="36" t="str">
        <f t="shared" ca="1" si="1"/>
        <v>0.0000</v>
      </c>
      <c r="Q11" s="36">
        <f t="shared" si="1"/>
        <v>0</v>
      </c>
      <c r="R11" s="36">
        <f t="shared" si="1"/>
        <v>0</v>
      </c>
      <c r="S11" s="36">
        <f t="shared" si="1"/>
        <v>0</v>
      </c>
      <c r="T11" s="36">
        <f t="shared" si="1"/>
        <v>0</v>
      </c>
      <c r="U11" s="36">
        <f t="shared" si="1"/>
        <v>0</v>
      </c>
      <c r="V11" s="36">
        <f t="shared" si="1"/>
        <v>0</v>
      </c>
      <c r="W11" s="36">
        <f t="shared" si="1"/>
        <v>0</v>
      </c>
      <c r="Y11" s="3" t="str">
        <f t="shared" ca="1" si="2"/>
        <v>2-3    0.0000 0 0 0 0 0 0 0</v>
      </c>
    </row>
    <row r="12" spans="1:25" ht="15" x14ac:dyDescent="0.25">
      <c r="A12" s="200"/>
      <c r="B12" s="212" t="str">
        <f ca="1"/>
        <v>3 - 4</v>
      </c>
      <c r="C12" s="214">
        <f ca="1"/>
        <v>9.0909090909090912E-2</v>
      </c>
      <c r="D12" s="217"/>
      <c r="E12" s="217">
        <f ca="1"/>
        <v>0</v>
      </c>
      <c r="F12" s="217">
        <f ca="1"/>
        <v>0</v>
      </c>
      <c r="G12" s="217">
        <f ca="1"/>
        <v>0</v>
      </c>
      <c r="H12" s="217">
        <f ca="1"/>
        <v>0</v>
      </c>
      <c r="I12" s="218">
        <f ca="1"/>
        <v>0</v>
      </c>
      <c r="J12" s="200"/>
      <c r="K12" s="219"/>
      <c r="M12" s="36">
        <v>3</v>
      </c>
      <c r="N12" s="36">
        <v>4</v>
      </c>
      <c r="O12" s="36" t="s">
        <v>2071</v>
      </c>
      <c r="P12" s="36" t="str">
        <f t="shared" ca="1" si="1"/>
        <v>0.0000</v>
      </c>
      <c r="Q12" s="36">
        <f t="shared" si="1"/>
        <v>0</v>
      </c>
      <c r="R12" s="36">
        <f t="shared" si="1"/>
        <v>0</v>
      </c>
      <c r="S12" s="36">
        <f t="shared" si="1"/>
        <v>0</v>
      </c>
      <c r="T12" s="36">
        <f t="shared" si="1"/>
        <v>0</v>
      </c>
      <c r="U12" s="36">
        <f t="shared" si="1"/>
        <v>0</v>
      </c>
      <c r="V12" s="36">
        <f t="shared" si="1"/>
        <v>0</v>
      </c>
      <c r="W12" s="36">
        <f t="shared" si="1"/>
        <v>0</v>
      </c>
      <c r="Y12" s="3" t="str">
        <f t="shared" ca="1" si="2"/>
        <v>3-4    0.0000 0 0 0 0 0 0 0</v>
      </c>
    </row>
    <row r="13" spans="1:25" ht="15" x14ac:dyDescent="0.25">
      <c r="A13" s="200"/>
      <c r="B13" s="212" t="str">
        <f ca="1"/>
        <v>4 - 5</v>
      </c>
      <c r="C13" s="214">
        <f ca="1"/>
        <v>4.5454545454545456E-2</v>
      </c>
      <c r="D13" s="217"/>
      <c r="E13" s="217">
        <f ca="1"/>
        <v>0</v>
      </c>
      <c r="F13" s="217">
        <f ca="1"/>
        <v>0</v>
      </c>
      <c r="G13" s="217">
        <f ca="1"/>
        <v>0</v>
      </c>
      <c r="H13" s="217">
        <f ca="1"/>
        <v>0</v>
      </c>
      <c r="I13" s="218">
        <f ca="1"/>
        <v>0</v>
      </c>
      <c r="J13" s="200"/>
      <c r="K13" s="219"/>
      <c r="M13" s="36">
        <v>4</v>
      </c>
      <c r="N13" s="36">
        <v>5</v>
      </c>
      <c r="O13" s="36" t="s">
        <v>2071</v>
      </c>
      <c r="P13" s="36" t="str">
        <f t="shared" ca="1" si="1"/>
        <v>0.0000</v>
      </c>
      <c r="Q13" s="36">
        <f t="shared" si="1"/>
        <v>0</v>
      </c>
      <c r="R13" s="36">
        <f t="shared" si="1"/>
        <v>0</v>
      </c>
      <c r="S13" s="36">
        <f t="shared" si="1"/>
        <v>0</v>
      </c>
      <c r="T13" s="36">
        <f t="shared" si="1"/>
        <v>0</v>
      </c>
      <c r="U13" s="36">
        <f t="shared" si="1"/>
        <v>0</v>
      </c>
      <c r="V13" s="36">
        <f t="shared" si="1"/>
        <v>0</v>
      </c>
      <c r="W13" s="36">
        <f t="shared" si="1"/>
        <v>0</v>
      </c>
      <c r="Y13" s="3" t="str">
        <f t="shared" ca="1" si="2"/>
        <v>4-5    0.0000 0 0 0 0 0 0 0</v>
      </c>
    </row>
    <row r="14" spans="1:25" ht="15" x14ac:dyDescent="0.25">
      <c r="A14" s="200"/>
      <c r="B14" s="212" t="str">
        <f ca="1"/>
        <v>5 - 6</v>
      </c>
      <c r="C14" s="214">
        <f ca="1"/>
        <v>4.5454545454545456E-2</v>
      </c>
      <c r="D14" s="217"/>
      <c r="E14" s="217">
        <f ca="1"/>
        <v>0</v>
      </c>
      <c r="F14" s="217">
        <f ca="1"/>
        <v>0</v>
      </c>
      <c r="G14" s="217">
        <f ca="1"/>
        <v>0</v>
      </c>
      <c r="H14" s="217">
        <f ca="1"/>
        <v>0</v>
      </c>
      <c r="I14" s="218">
        <f ca="1"/>
        <v>0</v>
      </c>
      <c r="J14" s="200"/>
      <c r="K14" s="219"/>
      <c r="M14" s="36">
        <v>5</v>
      </c>
      <c r="N14" s="36">
        <v>6</v>
      </c>
      <c r="O14" s="36" t="s">
        <v>2071</v>
      </c>
      <c r="P14" s="36" t="str">
        <f t="shared" ca="1" si="1"/>
        <v>0.0000</v>
      </c>
      <c r="Q14" s="36">
        <f t="shared" si="1"/>
        <v>0</v>
      </c>
      <c r="R14" s="36">
        <f t="shared" si="1"/>
        <v>0</v>
      </c>
      <c r="S14" s="36">
        <f t="shared" si="1"/>
        <v>0</v>
      </c>
      <c r="T14" s="36">
        <f t="shared" si="1"/>
        <v>0</v>
      </c>
      <c r="U14" s="36">
        <f t="shared" si="1"/>
        <v>0</v>
      </c>
      <c r="V14" s="36">
        <f t="shared" si="1"/>
        <v>0</v>
      </c>
      <c r="W14" s="36">
        <f t="shared" si="1"/>
        <v>0</v>
      </c>
      <c r="Y14" s="3" t="str">
        <f t="shared" ca="1" si="2"/>
        <v>5-6    0.0000 0 0 0 0 0 0 0</v>
      </c>
    </row>
    <row r="15" spans="1:25" ht="15" x14ac:dyDescent="0.25">
      <c r="A15" s="200"/>
      <c r="B15" s="212" t="str">
        <f ca="1"/>
        <v>6 - 7</v>
      </c>
      <c r="C15" s="214">
        <f ca="1"/>
        <v>4.5454545454545456E-2</v>
      </c>
      <c r="D15" s="217"/>
      <c r="E15" s="217">
        <f ca="1"/>
        <v>0</v>
      </c>
      <c r="F15" s="217">
        <f ca="1"/>
        <v>0</v>
      </c>
      <c r="G15" s="217">
        <f ca="1"/>
        <v>0</v>
      </c>
      <c r="H15" s="217">
        <f ca="1"/>
        <v>0</v>
      </c>
      <c r="I15" s="218">
        <f ca="1"/>
        <v>0</v>
      </c>
      <c r="J15" s="200"/>
      <c r="K15" s="219"/>
      <c r="M15" s="36">
        <v>6</v>
      </c>
      <c r="N15" s="36">
        <v>7</v>
      </c>
      <c r="O15" s="36" t="s">
        <v>2071</v>
      </c>
      <c r="P15" s="36" t="str">
        <f t="shared" ca="1" si="1"/>
        <v>0.0000</v>
      </c>
      <c r="Q15" s="36">
        <f t="shared" si="1"/>
        <v>0</v>
      </c>
      <c r="R15" s="36">
        <f t="shared" si="1"/>
        <v>0</v>
      </c>
      <c r="S15" s="36">
        <f t="shared" si="1"/>
        <v>0</v>
      </c>
      <c r="T15" s="36">
        <f t="shared" si="1"/>
        <v>0</v>
      </c>
      <c r="U15" s="36">
        <f t="shared" si="1"/>
        <v>0</v>
      </c>
      <c r="V15" s="36">
        <f t="shared" si="1"/>
        <v>0</v>
      </c>
      <c r="W15" s="36">
        <f t="shared" si="1"/>
        <v>0</v>
      </c>
      <c r="Y15" s="3" t="str">
        <f t="shared" ca="1" si="2"/>
        <v>6-7    0.0000 0 0 0 0 0 0 0</v>
      </c>
    </row>
    <row r="16" spans="1:25" ht="15" x14ac:dyDescent="0.25">
      <c r="A16" s="200"/>
      <c r="B16" s="212" t="str">
        <f ca="1"/>
        <v>7 - 8</v>
      </c>
      <c r="C16" s="214">
        <f ca="1"/>
        <v>4.5454545454545456E-2</v>
      </c>
      <c r="D16" s="217"/>
      <c r="E16" s="217">
        <f ca="1"/>
        <v>0</v>
      </c>
      <c r="F16" s="217">
        <f ca="1"/>
        <v>0</v>
      </c>
      <c r="G16" s="217">
        <f ca="1"/>
        <v>0</v>
      </c>
      <c r="H16" s="217">
        <f ca="1"/>
        <v>0</v>
      </c>
      <c r="I16" s="218">
        <f ca="1"/>
        <v>0</v>
      </c>
      <c r="J16" s="200"/>
      <c r="K16" s="219"/>
      <c r="M16" s="36">
        <v>7</v>
      </c>
      <c r="N16" s="36">
        <v>8</v>
      </c>
      <c r="O16" s="36" t="s">
        <v>2071</v>
      </c>
      <c r="P16" s="36" t="str">
        <f t="shared" ca="1" si="1"/>
        <v>0.0000</v>
      </c>
      <c r="Q16" s="36">
        <f t="shared" si="1"/>
        <v>0</v>
      </c>
      <c r="R16" s="36">
        <f t="shared" si="1"/>
        <v>0</v>
      </c>
      <c r="S16" s="36">
        <f t="shared" si="1"/>
        <v>0</v>
      </c>
      <c r="T16" s="36">
        <f t="shared" si="1"/>
        <v>0</v>
      </c>
      <c r="U16" s="36">
        <f t="shared" si="1"/>
        <v>0</v>
      </c>
      <c r="V16" s="36">
        <f t="shared" si="1"/>
        <v>0</v>
      </c>
      <c r="W16" s="36">
        <f t="shared" si="1"/>
        <v>0</v>
      </c>
      <c r="Y16" s="3" t="str">
        <f t="shared" ca="1" si="2"/>
        <v>7-8    0.0000 0 0 0 0 0 0 0</v>
      </c>
    </row>
    <row r="17" spans="1:25" ht="15" x14ac:dyDescent="0.25">
      <c r="A17" s="200"/>
      <c r="B17" s="212" t="str">
        <f ca="1"/>
        <v>8 - 9</v>
      </c>
      <c r="C17" s="214">
        <f ca="1"/>
        <v>4.5454545454545456E-2</v>
      </c>
      <c r="D17" s="217"/>
      <c r="E17" s="217">
        <f ca="1"/>
        <v>0</v>
      </c>
      <c r="F17" s="217">
        <f ca="1"/>
        <v>0</v>
      </c>
      <c r="G17" s="217">
        <f ca="1"/>
        <v>0</v>
      </c>
      <c r="H17" s="217">
        <f ca="1"/>
        <v>0</v>
      </c>
      <c r="I17" s="218">
        <f ca="1"/>
        <v>0</v>
      </c>
      <c r="J17" s="200"/>
      <c r="K17" s="219"/>
      <c r="M17" s="36">
        <v>8</v>
      </c>
      <c r="N17" s="36">
        <v>9</v>
      </c>
      <c r="O17" s="36" t="s">
        <v>2071</v>
      </c>
      <c r="P17" s="36" t="str">
        <f t="shared" ca="1" si="1"/>
        <v>0.0000</v>
      </c>
      <c r="Q17" s="36">
        <f t="shared" si="1"/>
        <v>0</v>
      </c>
      <c r="R17" s="36">
        <f t="shared" si="1"/>
        <v>0</v>
      </c>
      <c r="S17" s="36">
        <f t="shared" si="1"/>
        <v>0</v>
      </c>
      <c r="T17" s="36">
        <f t="shared" si="1"/>
        <v>0</v>
      </c>
      <c r="U17" s="36">
        <f t="shared" si="1"/>
        <v>0</v>
      </c>
      <c r="V17" s="36">
        <f t="shared" si="1"/>
        <v>0</v>
      </c>
      <c r="W17" s="36">
        <f t="shared" si="1"/>
        <v>0</v>
      </c>
      <c r="Y17" s="3" t="str">
        <f t="shared" ca="1" si="2"/>
        <v>8-9    0.0000 0 0 0 0 0 0 0</v>
      </c>
    </row>
    <row r="18" spans="1:25" ht="15" x14ac:dyDescent="0.25">
      <c r="A18" s="200"/>
      <c r="B18" s="212" t="str">
        <f ca="1"/>
        <v>9 - 10</v>
      </c>
      <c r="C18" s="214">
        <f ca="1"/>
        <v>4.5454545454545456E-2</v>
      </c>
      <c r="D18" s="217"/>
      <c r="E18" s="217">
        <f ca="1"/>
        <v>0</v>
      </c>
      <c r="F18" s="217">
        <f ca="1"/>
        <v>0</v>
      </c>
      <c r="G18" s="217">
        <f ca="1"/>
        <v>0</v>
      </c>
      <c r="H18" s="217">
        <f ca="1"/>
        <v>0</v>
      </c>
      <c r="I18" s="218">
        <f ca="1"/>
        <v>0</v>
      </c>
      <c r="J18" s="200"/>
      <c r="K18" s="219"/>
      <c r="M18" s="36">
        <v>9</v>
      </c>
      <c r="N18" s="36">
        <v>10</v>
      </c>
      <c r="O18" s="36" t="s">
        <v>2072</v>
      </c>
      <c r="P18" s="36" t="str">
        <f t="shared" ca="1" si="1"/>
        <v>0.0000</v>
      </c>
      <c r="Q18" s="36">
        <f t="shared" si="1"/>
        <v>0</v>
      </c>
      <c r="R18" s="36">
        <f t="shared" si="1"/>
        <v>0</v>
      </c>
      <c r="S18" s="36">
        <f t="shared" si="1"/>
        <v>0</v>
      </c>
      <c r="T18" s="36">
        <f t="shared" si="1"/>
        <v>0</v>
      </c>
      <c r="U18" s="36">
        <f t="shared" si="1"/>
        <v>0</v>
      </c>
      <c r="V18" s="36">
        <f t="shared" si="1"/>
        <v>0</v>
      </c>
      <c r="W18" s="36">
        <f t="shared" si="1"/>
        <v>0</v>
      </c>
      <c r="Y18" s="3" t="str">
        <f t="shared" ca="1" si="2"/>
        <v>9-10   0.0000 0 0 0 0 0 0 0</v>
      </c>
    </row>
    <row r="19" spans="1:25" ht="15" x14ac:dyDescent="0.25">
      <c r="A19" s="200"/>
      <c r="B19" s="212" t="str">
        <f ca="1"/>
        <v>10 - 11</v>
      </c>
      <c r="C19" s="214">
        <f ca="1"/>
        <v>4.5454545454545456E-2</v>
      </c>
      <c r="D19" s="217"/>
      <c r="E19" s="217">
        <f ca="1"/>
        <v>0</v>
      </c>
      <c r="F19" s="217">
        <f ca="1"/>
        <v>0</v>
      </c>
      <c r="G19" s="217">
        <f ca="1"/>
        <v>0</v>
      </c>
      <c r="H19" s="217">
        <f ca="1"/>
        <v>0</v>
      </c>
      <c r="I19" s="218">
        <f ca="1"/>
        <v>0</v>
      </c>
      <c r="J19" s="200"/>
      <c r="K19" s="219"/>
      <c r="M19" s="36">
        <v>10</v>
      </c>
      <c r="N19" s="36">
        <v>11</v>
      </c>
      <c r="P19" s="36" t="str">
        <f t="shared" ca="1" si="1"/>
        <v>0.0000</v>
      </c>
      <c r="Q19" s="36">
        <f t="shared" si="1"/>
        <v>0</v>
      </c>
      <c r="R19" s="36">
        <f t="shared" si="1"/>
        <v>0</v>
      </c>
      <c r="S19" s="36">
        <f t="shared" si="1"/>
        <v>0</v>
      </c>
      <c r="T19" s="36">
        <f t="shared" si="1"/>
        <v>0</v>
      </c>
      <c r="U19" s="36">
        <f t="shared" si="1"/>
        <v>0</v>
      </c>
      <c r="V19" s="36">
        <f t="shared" si="1"/>
        <v>0</v>
      </c>
      <c r="W19" s="36">
        <f t="shared" si="1"/>
        <v>0</v>
      </c>
      <c r="X19" s="36" t="s">
        <v>2071</v>
      </c>
      <c r="Y19" s="3" t="str">
        <f t="shared" ca="1" si="2"/>
        <v>10-11  0.0000 0 0 0 0 0 0 0</v>
      </c>
    </row>
    <row r="20" spans="1:25" ht="15" x14ac:dyDescent="0.25">
      <c r="A20" s="200"/>
      <c r="B20" s="212" t="str">
        <f ca="1"/>
        <v>11 - 12</v>
      </c>
      <c r="C20" s="214">
        <f ca="1"/>
        <v>4.5454545454545456E-2</v>
      </c>
      <c r="D20" s="217"/>
      <c r="E20" s="217">
        <f ca="1"/>
        <v>0</v>
      </c>
      <c r="F20" s="217">
        <f ca="1"/>
        <v>0</v>
      </c>
      <c r="G20" s="217">
        <f ca="1"/>
        <v>0</v>
      </c>
      <c r="H20" s="217">
        <f ca="1"/>
        <v>0</v>
      </c>
      <c r="I20" s="218">
        <f ca="1"/>
        <v>0</v>
      </c>
      <c r="J20" s="200"/>
      <c r="K20" s="219"/>
      <c r="M20" s="36">
        <v>11</v>
      </c>
      <c r="N20" s="36">
        <v>12</v>
      </c>
      <c r="P20" s="36" t="str">
        <f t="shared" ca="1" si="1"/>
        <v>0.0000</v>
      </c>
      <c r="Q20" s="36">
        <f t="shared" si="1"/>
        <v>0</v>
      </c>
      <c r="R20" s="36">
        <f t="shared" si="1"/>
        <v>0</v>
      </c>
      <c r="S20" s="36">
        <f t="shared" si="1"/>
        <v>0</v>
      </c>
      <c r="T20" s="36">
        <f t="shared" si="1"/>
        <v>0</v>
      </c>
      <c r="U20" s="36">
        <f t="shared" si="1"/>
        <v>0</v>
      </c>
      <c r="V20" s="36">
        <f t="shared" si="1"/>
        <v>0</v>
      </c>
      <c r="W20" s="36">
        <f t="shared" si="1"/>
        <v>0</v>
      </c>
      <c r="Y20" s="3" t="str">
        <f t="shared" ca="1" si="2"/>
        <v>11-12  0.0000 0 0 0 0 0 0 0</v>
      </c>
    </row>
    <row r="21" spans="1:25" ht="15" x14ac:dyDescent="0.25">
      <c r="A21" s="200"/>
      <c r="B21" s="212" t="str">
        <f ca="1"/>
        <v>12 - 13</v>
      </c>
      <c r="C21" s="214">
        <f ca="1"/>
        <v>2.2727272727272728E-2</v>
      </c>
      <c r="D21" s="217"/>
      <c r="E21" s="217">
        <f ca="1"/>
        <v>0</v>
      </c>
      <c r="F21" s="217">
        <f ca="1"/>
        <v>0</v>
      </c>
      <c r="G21" s="217">
        <f ca="1"/>
        <v>0</v>
      </c>
      <c r="H21" s="217">
        <f ca="1"/>
        <v>0</v>
      </c>
      <c r="I21" s="218">
        <f ca="1"/>
        <v>0</v>
      </c>
      <c r="J21" s="200"/>
      <c r="K21" s="219"/>
      <c r="M21" s="36">
        <v>12</v>
      </c>
      <c r="N21" s="36">
        <v>13</v>
      </c>
      <c r="P21" s="36" t="str">
        <f t="shared" ca="1" si="1"/>
        <v>0.0000</v>
      </c>
      <c r="Q21" s="36">
        <f t="shared" si="1"/>
        <v>0</v>
      </c>
      <c r="R21" s="36">
        <f t="shared" si="1"/>
        <v>0</v>
      </c>
      <c r="S21" s="36">
        <f t="shared" si="1"/>
        <v>0</v>
      </c>
      <c r="T21" s="36">
        <f t="shared" si="1"/>
        <v>0</v>
      </c>
      <c r="U21" s="36">
        <f t="shared" si="1"/>
        <v>0</v>
      </c>
      <c r="V21" s="36">
        <f t="shared" si="1"/>
        <v>0</v>
      </c>
      <c r="W21" s="36">
        <f t="shared" si="1"/>
        <v>0</v>
      </c>
      <c r="Y21" s="3" t="str">
        <f t="shared" ca="1" si="2"/>
        <v>12-13  0.0000 0 0 0 0 0 0 0</v>
      </c>
    </row>
    <row r="22" spans="1:25" ht="15" x14ac:dyDescent="0.25">
      <c r="A22" s="200"/>
      <c r="B22" s="212" t="str">
        <f ca="1"/>
        <v>13 - 14</v>
      </c>
      <c r="C22" s="214">
        <f ca="1"/>
        <v>2.2727272727272728E-2</v>
      </c>
      <c r="D22" s="217"/>
      <c r="E22" s="217">
        <f ca="1"/>
        <v>0</v>
      </c>
      <c r="F22" s="217">
        <f ca="1"/>
        <v>0</v>
      </c>
      <c r="G22" s="217">
        <f ca="1"/>
        <v>0</v>
      </c>
      <c r="H22" s="217">
        <f ca="1"/>
        <v>0</v>
      </c>
      <c r="I22" s="218">
        <f ca="1"/>
        <v>0</v>
      </c>
      <c r="J22" s="200"/>
      <c r="K22" s="219"/>
      <c r="M22" s="36">
        <v>13</v>
      </c>
      <c r="N22" s="36">
        <v>14</v>
      </c>
      <c r="P22" s="36" t="str">
        <f t="shared" ca="1" si="1"/>
        <v>0.0000</v>
      </c>
      <c r="Q22" s="36">
        <f t="shared" si="1"/>
        <v>0</v>
      </c>
      <c r="R22" s="36">
        <f t="shared" si="1"/>
        <v>0</v>
      </c>
      <c r="S22" s="36">
        <f t="shared" si="1"/>
        <v>0</v>
      </c>
      <c r="T22" s="36">
        <f t="shared" si="1"/>
        <v>0</v>
      </c>
      <c r="U22" s="36">
        <f t="shared" si="1"/>
        <v>0</v>
      </c>
      <c r="V22" s="36">
        <f t="shared" si="1"/>
        <v>0</v>
      </c>
      <c r="W22" s="36">
        <f t="shared" si="1"/>
        <v>0</v>
      </c>
      <c r="Y22" s="3" t="str">
        <f t="shared" ca="1" si="2"/>
        <v>13-14  0.0000 0 0 0 0 0 0 0</v>
      </c>
    </row>
    <row r="23" spans="1:25" ht="15" x14ac:dyDescent="0.25">
      <c r="A23" s="200"/>
      <c r="B23" s="212" t="str">
        <f ca="1"/>
        <v>14 - 15</v>
      </c>
      <c r="C23" s="214">
        <f ca="1"/>
        <v>2.2727272727272728E-2</v>
      </c>
      <c r="D23" s="217"/>
      <c r="E23" s="217">
        <f ca="1"/>
        <v>0</v>
      </c>
      <c r="F23" s="217">
        <f ca="1"/>
        <v>0</v>
      </c>
      <c r="G23" s="217">
        <f ca="1"/>
        <v>0</v>
      </c>
      <c r="H23" s="217">
        <f ca="1"/>
        <v>0</v>
      </c>
      <c r="I23" s="218">
        <f ca="1"/>
        <v>0</v>
      </c>
      <c r="J23" s="200"/>
      <c r="K23" s="219"/>
      <c r="M23" s="36">
        <v>14</v>
      </c>
      <c r="N23" s="36">
        <v>15</v>
      </c>
      <c r="P23" s="36" t="str">
        <f t="shared" ca="1" si="1"/>
        <v>0.0000</v>
      </c>
      <c r="Q23" s="36">
        <f t="shared" si="1"/>
        <v>0</v>
      </c>
      <c r="R23" s="36">
        <f t="shared" si="1"/>
        <v>0</v>
      </c>
      <c r="S23" s="36">
        <f t="shared" si="1"/>
        <v>0</v>
      </c>
      <c r="T23" s="36">
        <f t="shared" si="1"/>
        <v>0</v>
      </c>
      <c r="U23" s="36">
        <f t="shared" si="1"/>
        <v>0</v>
      </c>
      <c r="V23" s="36">
        <f t="shared" si="1"/>
        <v>0</v>
      </c>
      <c r="W23" s="36">
        <f t="shared" si="1"/>
        <v>0</v>
      </c>
      <c r="Y23" s="3" t="str">
        <f t="shared" ca="1" si="2"/>
        <v>14-15  0.0000 0 0 0 0 0 0 0</v>
      </c>
    </row>
    <row r="24" spans="1:25" ht="15" x14ac:dyDescent="0.25">
      <c r="A24" s="200"/>
      <c r="B24" s="212" t="str">
        <f ca="1"/>
        <v>15 - 16</v>
      </c>
      <c r="C24" s="214">
        <f ca="1"/>
        <v>2.2727272727272728E-2</v>
      </c>
      <c r="D24" s="217"/>
      <c r="E24" s="217">
        <f ca="1"/>
        <v>0</v>
      </c>
      <c r="F24" s="217">
        <f ca="1"/>
        <v>0</v>
      </c>
      <c r="G24" s="217">
        <f ca="1"/>
        <v>0</v>
      </c>
      <c r="H24" s="217">
        <f ca="1"/>
        <v>0</v>
      </c>
      <c r="I24" s="218">
        <f ca="1"/>
        <v>0</v>
      </c>
      <c r="J24" s="200"/>
      <c r="K24" s="219"/>
      <c r="M24" s="36">
        <v>15</v>
      </c>
      <c r="N24" s="36">
        <v>16</v>
      </c>
      <c r="P24" s="36" t="str">
        <f t="shared" ca="1" si="1"/>
        <v>0.0000</v>
      </c>
      <c r="Q24" s="36">
        <f t="shared" si="1"/>
        <v>0</v>
      </c>
      <c r="R24" s="36">
        <f t="shared" si="1"/>
        <v>0</v>
      </c>
      <c r="S24" s="36">
        <f t="shared" si="1"/>
        <v>0</v>
      </c>
      <c r="T24" s="36">
        <f t="shared" si="1"/>
        <v>0</v>
      </c>
      <c r="U24" s="36">
        <f t="shared" si="1"/>
        <v>0</v>
      </c>
      <c r="V24" s="36">
        <f t="shared" si="1"/>
        <v>0</v>
      </c>
      <c r="W24" s="36">
        <f t="shared" si="1"/>
        <v>0</v>
      </c>
      <c r="Y24" s="3" t="str">
        <f t="shared" ca="1" si="2"/>
        <v>15-16  0.0000 0 0 0 0 0 0 0</v>
      </c>
    </row>
    <row r="25" spans="1:25" ht="15" x14ac:dyDescent="0.25">
      <c r="A25" s="200"/>
      <c r="B25" s="212" t="str">
        <f ca="1"/>
        <v>16 - 17</v>
      </c>
      <c r="C25" s="214">
        <f ca="1"/>
        <v>2.2727272727272728E-2</v>
      </c>
      <c r="D25" s="217"/>
      <c r="E25" s="217">
        <f ca="1"/>
        <v>0</v>
      </c>
      <c r="F25" s="217">
        <f ca="1"/>
        <v>0</v>
      </c>
      <c r="G25" s="217">
        <f ca="1"/>
        <v>0</v>
      </c>
      <c r="H25" s="217">
        <f ca="1"/>
        <v>0</v>
      </c>
      <c r="I25" s="218">
        <f ca="1"/>
        <v>0</v>
      </c>
      <c r="J25" s="200"/>
      <c r="K25" s="219"/>
      <c r="M25" s="36">
        <v>16</v>
      </c>
      <c r="N25" s="36">
        <v>17</v>
      </c>
      <c r="P25" s="36" t="str">
        <f t="shared" ca="1" si="1"/>
        <v>0.0000</v>
      </c>
      <c r="Q25" s="36">
        <f t="shared" si="1"/>
        <v>0</v>
      </c>
      <c r="R25" s="36">
        <f t="shared" si="1"/>
        <v>0</v>
      </c>
      <c r="S25" s="36">
        <f t="shared" si="1"/>
        <v>0</v>
      </c>
      <c r="T25" s="36">
        <f t="shared" si="1"/>
        <v>0</v>
      </c>
      <c r="U25" s="36">
        <f t="shared" si="1"/>
        <v>0</v>
      </c>
      <c r="V25" s="36">
        <f t="shared" si="1"/>
        <v>0</v>
      </c>
      <c r="W25" s="36">
        <f t="shared" si="1"/>
        <v>0</v>
      </c>
      <c r="Y25" s="3" t="str">
        <f t="shared" ca="1" si="2"/>
        <v>16-17  0.0000 0 0 0 0 0 0 0</v>
      </c>
    </row>
    <row r="26" spans="1:25" ht="15" x14ac:dyDescent="0.25">
      <c r="A26" s="200"/>
      <c r="B26" s="212" t="str">
        <f ca="1"/>
        <v>17 - 18</v>
      </c>
      <c r="C26" s="214">
        <f ca="1"/>
        <v>2.2727272727272728E-2</v>
      </c>
      <c r="D26" s="217"/>
      <c r="E26" s="217">
        <f ca="1"/>
        <v>0</v>
      </c>
      <c r="F26" s="217">
        <f ca="1"/>
        <v>0</v>
      </c>
      <c r="G26" s="217">
        <f ca="1"/>
        <v>0</v>
      </c>
      <c r="H26" s="217">
        <f ca="1"/>
        <v>0</v>
      </c>
      <c r="I26" s="218">
        <f ca="1"/>
        <v>0</v>
      </c>
      <c r="J26" s="200"/>
      <c r="K26" s="219"/>
      <c r="M26" s="36">
        <v>17</v>
      </c>
      <c r="N26" s="36">
        <v>18</v>
      </c>
      <c r="P26" s="36" t="str">
        <f t="shared" ca="1" si="1"/>
        <v>0.0000</v>
      </c>
      <c r="Q26" s="36">
        <f t="shared" si="1"/>
        <v>0</v>
      </c>
      <c r="R26" s="36">
        <f t="shared" si="1"/>
        <v>0</v>
      </c>
      <c r="S26" s="36">
        <f t="shared" si="1"/>
        <v>0</v>
      </c>
      <c r="T26" s="36">
        <f t="shared" si="1"/>
        <v>0</v>
      </c>
      <c r="U26" s="36">
        <f t="shared" si="1"/>
        <v>0</v>
      </c>
      <c r="V26" s="36">
        <f t="shared" si="1"/>
        <v>0</v>
      </c>
      <c r="W26" s="36">
        <f t="shared" si="1"/>
        <v>0</v>
      </c>
      <c r="Y26" s="3" t="str">
        <f t="shared" ca="1" si="2"/>
        <v>17-18  0.0000 0 0 0 0 0 0 0</v>
      </c>
    </row>
    <row r="27" spans="1:25" ht="15" x14ac:dyDescent="0.25">
      <c r="A27" s="200"/>
      <c r="B27" s="212" t="str">
        <f ca="1"/>
        <v>18 - 19</v>
      </c>
      <c r="C27" s="214">
        <f ca="1"/>
        <v>2.2727272727272728E-2</v>
      </c>
      <c r="D27" s="217"/>
      <c r="E27" s="217">
        <f ca="1"/>
        <v>0</v>
      </c>
      <c r="F27" s="217">
        <f ca="1"/>
        <v>0</v>
      </c>
      <c r="G27" s="217">
        <f ca="1"/>
        <v>0</v>
      </c>
      <c r="H27" s="217">
        <f ca="1"/>
        <v>0</v>
      </c>
      <c r="I27" s="218">
        <f ca="1"/>
        <v>0</v>
      </c>
      <c r="J27" s="200"/>
      <c r="K27" s="219"/>
      <c r="M27" s="36">
        <v>18</v>
      </c>
      <c r="N27" s="36">
        <v>19</v>
      </c>
      <c r="P27" s="36" t="str">
        <f t="shared" ca="1" si="1"/>
        <v>0.0000</v>
      </c>
      <c r="Q27" s="36">
        <f t="shared" si="1"/>
        <v>0</v>
      </c>
      <c r="R27" s="36">
        <f t="shared" si="1"/>
        <v>0</v>
      </c>
      <c r="S27" s="36">
        <f t="shared" si="1"/>
        <v>0</v>
      </c>
      <c r="T27" s="36">
        <f t="shared" si="1"/>
        <v>0</v>
      </c>
      <c r="U27" s="36">
        <f t="shared" si="1"/>
        <v>0</v>
      </c>
      <c r="V27" s="36">
        <f t="shared" si="1"/>
        <v>0</v>
      </c>
      <c r="W27" s="36">
        <f t="shared" si="1"/>
        <v>0</v>
      </c>
      <c r="Y27" s="3" t="str">
        <f t="shared" ca="1" si="2"/>
        <v>18-19  0.0000 0 0 0 0 0 0 0</v>
      </c>
    </row>
    <row r="28" spans="1:25" ht="15" x14ac:dyDescent="0.25">
      <c r="A28" s="200"/>
      <c r="B28" s="212" t="str">
        <f ca="1"/>
        <v>19 - 20</v>
      </c>
      <c r="C28" s="214">
        <f ca="1"/>
        <v>2.2727272727272728E-2</v>
      </c>
      <c r="D28" s="217"/>
      <c r="E28" s="217">
        <f ca="1"/>
        <v>0</v>
      </c>
      <c r="F28" s="217">
        <f ca="1"/>
        <v>0</v>
      </c>
      <c r="G28" s="217">
        <f ca="1"/>
        <v>0</v>
      </c>
      <c r="H28" s="217">
        <f ca="1"/>
        <v>0</v>
      </c>
      <c r="I28" s="218">
        <f ca="1"/>
        <v>0</v>
      </c>
      <c r="J28" s="200"/>
      <c r="K28" s="219"/>
      <c r="M28" s="36">
        <v>19</v>
      </c>
      <c r="N28" s="36">
        <v>20</v>
      </c>
      <c r="P28" s="36" t="str">
        <f t="shared" ca="1" si="1"/>
        <v>0.0000</v>
      </c>
      <c r="Q28" s="36">
        <f t="shared" si="1"/>
        <v>0</v>
      </c>
      <c r="R28" s="36">
        <f t="shared" si="1"/>
        <v>0</v>
      </c>
      <c r="S28" s="36">
        <f t="shared" si="1"/>
        <v>0</v>
      </c>
      <c r="T28" s="36">
        <f t="shared" si="1"/>
        <v>0</v>
      </c>
      <c r="U28" s="36">
        <f t="shared" si="1"/>
        <v>0</v>
      </c>
      <c r="V28" s="36">
        <f t="shared" si="1"/>
        <v>0</v>
      </c>
      <c r="W28" s="36">
        <f t="shared" si="1"/>
        <v>0</v>
      </c>
      <c r="Y28" s="3" t="str">
        <f t="shared" ca="1" si="2"/>
        <v>19-20  0.0000 0 0 0 0 0 0 0</v>
      </c>
    </row>
    <row r="29" spans="1:25" ht="15" x14ac:dyDescent="0.25">
      <c r="A29" s="200"/>
      <c r="B29" s="212" t="str">
        <f ca="1"/>
        <v>20 - 21</v>
      </c>
      <c r="C29" s="214">
        <f ca="1"/>
        <v>2.2727272727272728E-2</v>
      </c>
      <c r="D29" s="217"/>
      <c r="E29" s="217">
        <f ca="1"/>
        <v>0</v>
      </c>
      <c r="F29" s="217">
        <f ca="1"/>
        <v>0</v>
      </c>
      <c r="G29" s="217">
        <f ca="1"/>
        <v>0</v>
      </c>
      <c r="H29" s="217">
        <f ca="1"/>
        <v>0</v>
      </c>
      <c r="I29" s="218">
        <f ca="1"/>
        <v>0</v>
      </c>
      <c r="J29" s="200"/>
      <c r="K29" s="219"/>
      <c r="M29" s="36">
        <v>20</v>
      </c>
      <c r="N29" s="36">
        <v>21</v>
      </c>
      <c r="P29" s="36" t="str">
        <f t="shared" ca="1" si="1"/>
        <v>0.0000</v>
      </c>
      <c r="Q29" s="36">
        <f t="shared" si="1"/>
        <v>0</v>
      </c>
      <c r="R29" s="36">
        <f t="shared" si="1"/>
        <v>0</v>
      </c>
      <c r="S29" s="36">
        <f t="shared" si="1"/>
        <v>0</v>
      </c>
      <c r="T29" s="36">
        <f t="shared" si="1"/>
        <v>0</v>
      </c>
      <c r="U29" s="36">
        <f t="shared" si="1"/>
        <v>0</v>
      </c>
      <c r="V29" s="36">
        <f t="shared" si="1"/>
        <v>0</v>
      </c>
      <c r="W29" s="36">
        <f t="shared" si="1"/>
        <v>0</v>
      </c>
      <c r="Y29" s="3" t="str">
        <f t="shared" ca="1" si="2"/>
        <v>20-21  0.0000 0 0 0 0 0 0 0</v>
      </c>
    </row>
    <row r="30" spans="1:25" ht="15" x14ac:dyDescent="0.25">
      <c r="A30" s="200"/>
      <c r="B30" s="212" t="str">
        <f ca="1"/>
        <v>21 - 22</v>
      </c>
      <c r="C30" s="214">
        <f ca="1"/>
        <v>2.2727272727272728E-2</v>
      </c>
      <c r="D30" s="217"/>
      <c r="E30" s="217">
        <f ca="1"/>
        <v>0</v>
      </c>
      <c r="F30" s="217">
        <f ca="1"/>
        <v>0</v>
      </c>
      <c r="G30" s="217">
        <f ca="1"/>
        <v>0</v>
      </c>
      <c r="H30" s="217">
        <f ca="1"/>
        <v>0</v>
      </c>
      <c r="I30" s="218">
        <f ca="1"/>
        <v>0</v>
      </c>
      <c r="J30" s="200"/>
      <c r="K30" s="219"/>
      <c r="M30" s="36">
        <v>21</v>
      </c>
      <c r="N30" s="36">
        <v>22</v>
      </c>
      <c r="P30" s="36" t="str">
        <f t="shared" ca="1" si="1"/>
        <v>0.0000</v>
      </c>
      <c r="Q30" s="36">
        <f t="shared" si="1"/>
        <v>0</v>
      </c>
      <c r="R30" s="36">
        <f t="shared" si="1"/>
        <v>0</v>
      </c>
      <c r="S30" s="36">
        <f t="shared" si="1"/>
        <v>0</v>
      </c>
      <c r="T30" s="36">
        <f t="shared" si="1"/>
        <v>0</v>
      </c>
      <c r="U30" s="36">
        <f t="shared" si="1"/>
        <v>0</v>
      </c>
      <c r="V30" s="36">
        <f t="shared" si="1"/>
        <v>0</v>
      </c>
      <c r="W30" s="36">
        <f t="shared" si="1"/>
        <v>0</v>
      </c>
      <c r="Y30" s="3" t="str">
        <f t="shared" ca="1" si="2"/>
        <v>21-22  0.0000 0 0 0 0 0 0 0</v>
      </c>
    </row>
    <row r="31" spans="1:25" ht="15" x14ac:dyDescent="0.25">
      <c r="A31" s="200"/>
      <c r="B31" s="212" t="str">
        <f ca="1"/>
        <v>22 - 23</v>
      </c>
      <c r="C31" s="214">
        <f ca="1"/>
        <v>2.2727272727272728E-2</v>
      </c>
      <c r="D31" s="217"/>
      <c r="E31" s="217">
        <f ca="1"/>
        <v>0</v>
      </c>
      <c r="F31" s="217">
        <f ca="1"/>
        <v>0</v>
      </c>
      <c r="G31" s="217">
        <f ca="1"/>
        <v>0</v>
      </c>
      <c r="H31" s="217">
        <f ca="1"/>
        <v>0</v>
      </c>
      <c r="I31" s="218">
        <f ca="1"/>
        <v>0</v>
      </c>
      <c r="J31" s="200"/>
      <c r="K31" s="219"/>
      <c r="M31" s="36">
        <v>22</v>
      </c>
      <c r="N31" s="36">
        <v>23</v>
      </c>
      <c r="P31" s="36" t="str">
        <f t="shared" ca="1" si="1"/>
        <v>0.0000</v>
      </c>
      <c r="Q31" s="36">
        <f t="shared" si="1"/>
        <v>0</v>
      </c>
      <c r="R31" s="36">
        <f t="shared" si="1"/>
        <v>0</v>
      </c>
      <c r="S31" s="36">
        <f t="shared" si="1"/>
        <v>0</v>
      </c>
      <c r="T31" s="36">
        <f t="shared" si="1"/>
        <v>0</v>
      </c>
      <c r="U31" s="36">
        <f t="shared" si="1"/>
        <v>0</v>
      </c>
      <c r="V31" s="36">
        <f t="shared" si="1"/>
        <v>0</v>
      </c>
      <c r="W31" s="36">
        <f t="shared" si="1"/>
        <v>0</v>
      </c>
      <c r="Y31" s="3" t="str">
        <f t="shared" ca="1" si="2"/>
        <v>22-23  0.0000 0 0 0 0 0 0 0</v>
      </c>
    </row>
    <row r="32" spans="1:25" ht="15" x14ac:dyDescent="0.25">
      <c r="A32" s="200"/>
      <c r="B32" s="212" t="str">
        <f ca="1"/>
        <v>23 - 24</v>
      </c>
      <c r="C32" s="214">
        <f ca="1"/>
        <v>2.2727272727272728E-2</v>
      </c>
      <c r="D32" s="217"/>
      <c r="E32" s="217">
        <f ca="1"/>
        <v>0</v>
      </c>
      <c r="F32" s="217">
        <f ca="1"/>
        <v>0</v>
      </c>
      <c r="G32" s="217">
        <f ca="1"/>
        <v>0</v>
      </c>
      <c r="H32" s="217">
        <f ca="1"/>
        <v>0</v>
      </c>
      <c r="I32" s="218">
        <f ca="1"/>
        <v>0</v>
      </c>
      <c r="J32" s="200"/>
      <c r="K32" s="219"/>
      <c r="M32" s="36">
        <v>23</v>
      </c>
      <c r="N32" s="36">
        <v>24</v>
      </c>
      <c r="P32" s="36" t="str">
        <f t="shared" ca="1" si="1"/>
        <v>0.0000</v>
      </c>
      <c r="Q32" s="36">
        <f t="shared" si="1"/>
        <v>0</v>
      </c>
      <c r="R32" s="36">
        <f t="shared" si="1"/>
        <v>0</v>
      </c>
      <c r="S32" s="36">
        <f t="shared" si="1"/>
        <v>0</v>
      </c>
      <c r="T32" s="36">
        <f t="shared" si="1"/>
        <v>0</v>
      </c>
      <c r="U32" s="36">
        <f t="shared" si="1"/>
        <v>0</v>
      </c>
      <c r="V32" s="36">
        <f t="shared" si="1"/>
        <v>0</v>
      </c>
      <c r="W32" s="36">
        <f t="shared" si="1"/>
        <v>0</v>
      </c>
      <c r="Y32" s="3" t="str">
        <f t="shared" ca="1" si="2"/>
        <v>23-24  0.0000 0 0 0 0 0 0 0</v>
      </c>
    </row>
    <row r="33" spans="1:25" x14ac:dyDescent="0.2">
      <c r="A33" s="200"/>
      <c r="B33" s="220" t="s">
        <v>261</v>
      </c>
      <c r="C33" s="221">
        <f ca="1">SUM(C9:C32)</f>
        <v>0.99999999999999956</v>
      </c>
      <c r="D33" s="222"/>
      <c r="E33" s="223">
        <f t="shared" ref="E33:I33" ca="1" si="3">SUM(E9:E32)</f>
        <v>0</v>
      </c>
      <c r="F33" s="223">
        <f t="shared" ca="1" si="3"/>
        <v>0</v>
      </c>
      <c r="G33" s="223">
        <f t="shared" ca="1" si="3"/>
        <v>0</v>
      </c>
      <c r="H33" s="223">
        <f t="shared" ca="1" si="3"/>
        <v>0</v>
      </c>
      <c r="I33" s="224">
        <f t="shared" ca="1" si="3"/>
        <v>0</v>
      </c>
      <c r="J33" s="200"/>
      <c r="Y33" s="3"/>
    </row>
    <row r="34" spans="1:25" x14ac:dyDescent="0.2">
      <c r="A34" s="200"/>
      <c r="B34" s="200"/>
      <c r="C34" s="200"/>
      <c r="D34" s="200"/>
      <c r="E34" s="200"/>
      <c r="F34" s="200"/>
      <c r="G34" s="200"/>
      <c r="H34" s="200"/>
      <c r="I34" s="200"/>
      <c r="J34" s="200"/>
    </row>
    <row r="35" spans="1:25" x14ac:dyDescent="0.2">
      <c r="A35" s="200"/>
      <c r="B35" s="200"/>
      <c r="C35" s="200"/>
      <c r="D35" s="200"/>
      <c r="E35" s="200"/>
      <c r="F35" s="200"/>
      <c r="G35" s="200"/>
      <c r="H35" s="200"/>
      <c r="I35" s="200"/>
      <c r="J35" s="200"/>
    </row>
  </sheetData>
  <conditionalFormatting sqref="F5">
    <cfRule type="expression" dxfId="2" priority="3">
      <formula>ISERROR(MATCH(PEC_unit,INDIRECT("select_PEC_"&amp;LEFT(compartment,4)&amp;"_"&amp;MID(compartment,23,3)),0))</formula>
    </cfRule>
  </conditionalFormatting>
  <conditionalFormatting sqref="I5">
    <cfRule type="expression" dxfId="1" priority="2">
      <formula>ISERROR(MATCH(PEC_unit,INDIRECT("select_PEC_"&amp;LEFT(compartment,4)&amp;"_"&amp;MID(compartment,23,3)),0))</formula>
    </cfRule>
  </conditionalFormatting>
  <conditionalFormatting sqref="F3">
    <cfRule type="expression" dxfId="0" priority="1">
      <formula>ISERROR(MATCH(PEC_unit,INDIRECT("select_PEC_"&amp;LEFT(compartment,4)&amp;"_"&amp;MID(compartment,23,3)),0))</formula>
    </cfRule>
  </conditionalFormatting>
  <dataValidations disablePrompts="1" count="1">
    <dataValidation type="list" allowBlank="1" showInputMessage="1" showErrorMessage="1" errorTitle="no user-defined input allowed" error="Select PEC unit from list." sqref="F5" xr:uid="{2184DF0F-9734-4B78-94C2-71AA77EFA421}">
      <formula1>select_PEC_terr_</formula1>
    </dataValidation>
  </dataValidation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EE0BE-6A86-41DA-B718-2A94A5E6B177}">
  <sheetPr codeName="Sheet6">
    <tabColor rgb="FFCCFFCC"/>
  </sheetPr>
  <dimension ref="A5:R101"/>
  <sheetViews>
    <sheetView workbookViewId="0">
      <selection activeCell="S35" sqref="S35"/>
    </sheetView>
  </sheetViews>
  <sheetFormatPr defaultColWidth="11.42578125" defaultRowHeight="12.75" x14ac:dyDescent="0.2"/>
  <cols>
    <col min="1" max="1" width="25.7109375" style="36" customWidth="1"/>
    <col min="2" max="2" width="5.7109375" style="36" customWidth="1"/>
    <col min="3" max="14" width="10.7109375" style="36" customWidth="1"/>
    <col min="15" max="17" width="0" style="36" hidden="1" customWidth="1"/>
    <col min="18" max="16384" width="11.42578125" style="36"/>
  </cols>
  <sheetData>
    <row r="5" spans="1:18" ht="12.75" hidden="1" customHeight="1" x14ac:dyDescent="0.2">
      <c r="O5" s="98" t="s">
        <v>306</v>
      </c>
      <c r="P5" s="51"/>
      <c r="Q5" s="314">
        <f ca="1">MAF_crit</f>
        <v>1</v>
      </c>
    </row>
    <row r="6" spans="1:18" ht="12.75" hidden="1" customHeight="1" x14ac:dyDescent="0.2"/>
    <row r="7" spans="1:18" ht="12.75" hidden="1" customHeight="1" x14ac:dyDescent="0.2">
      <c r="O7" s="315" t="s">
        <v>307</v>
      </c>
      <c r="P7" s="136"/>
      <c r="Q7" s="137"/>
    </row>
    <row r="8" spans="1:18" ht="12.75" hidden="1" customHeight="1" x14ac:dyDescent="0.2">
      <c r="O8" s="316" t="s">
        <v>306</v>
      </c>
      <c r="P8" s="317" t="s">
        <v>308</v>
      </c>
      <c r="Q8" s="318" t="s">
        <v>309</v>
      </c>
    </row>
    <row r="9" spans="1:18" ht="12.75" hidden="1" customHeight="1" x14ac:dyDescent="0.2">
      <c r="O9" s="118">
        <f ca="1">ROUND(NORMSDIST(NORMSINV(0.9)/SQRT(MAF_crit))*100,1)</f>
        <v>90</v>
      </c>
      <c r="P9" s="105">
        <f ca="1">INDEX({90;82;77;74;72;70;69;67},MATCH(MAF_crit_perc,{90;82;77;74;72;70;69;67},-1))</f>
        <v>90</v>
      </c>
      <c r="Q9" s="106">
        <f ca="1">INDEX({67;69;70;72;74;77;82;90},MATCH(MAF_crit_perc,{67;69;70;72;74;77;82;90},1))</f>
        <v>90</v>
      </c>
    </row>
    <row r="11" spans="1:18" x14ac:dyDescent="0.2">
      <c r="A11" s="319" t="s">
        <v>310</v>
      </c>
      <c r="B11" s="319" t="s">
        <v>311</v>
      </c>
      <c r="C11" s="320" t="s">
        <v>312</v>
      </c>
      <c r="D11" s="321" t="s">
        <v>313</v>
      </c>
      <c r="E11" s="321" t="s">
        <v>314</v>
      </c>
      <c r="F11" s="321" t="s">
        <v>315</v>
      </c>
      <c r="G11" s="321" t="s">
        <v>316</v>
      </c>
      <c r="H11" s="321" t="s">
        <v>317</v>
      </c>
      <c r="I11" s="321" t="s">
        <v>318</v>
      </c>
      <c r="J11" s="321" t="s">
        <v>319</v>
      </c>
      <c r="K11" s="321" t="s">
        <v>320</v>
      </c>
      <c r="L11" s="321" t="s">
        <v>321</v>
      </c>
      <c r="M11" s="321" t="s">
        <v>322</v>
      </c>
      <c r="N11" s="322" t="s">
        <v>323</v>
      </c>
      <c r="O11" s="323" t="s">
        <v>306</v>
      </c>
      <c r="P11" s="324" t="s">
        <v>308</v>
      </c>
      <c r="Q11" s="322" t="s">
        <v>309</v>
      </c>
    </row>
    <row r="12" spans="1:18" x14ac:dyDescent="0.2">
      <c r="A12" s="325" t="s">
        <v>163</v>
      </c>
      <c r="B12" s="326" t="s">
        <v>324</v>
      </c>
      <c r="C12" s="327" t="s">
        <v>325</v>
      </c>
      <c r="D12" s="328" t="s">
        <v>326</v>
      </c>
      <c r="E12" s="328" t="s">
        <v>327</v>
      </c>
      <c r="F12" s="328" t="s">
        <v>328</v>
      </c>
      <c r="G12" s="328" t="s">
        <v>329</v>
      </c>
      <c r="H12" s="328" t="s">
        <v>330</v>
      </c>
      <c r="I12" s="328" t="s">
        <v>331</v>
      </c>
      <c r="J12" s="328" t="s">
        <v>332</v>
      </c>
      <c r="K12" s="328" t="s">
        <v>332</v>
      </c>
      <c r="L12" s="328" t="s">
        <v>332</v>
      </c>
      <c r="M12" s="328" t="s">
        <v>332</v>
      </c>
      <c r="N12" s="329" t="s">
        <v>332</v>
      </c>
      <c r="O12" s="329" t="str">
        <f ca="1">MAF_crit_perc&amp;" %-ile"</f>
        <v>90 %-ile</v>
      </c>
      <c r="P12" s="330" t="str">
        <f ca="1">upper_bd_perc&amp;" %-ile"</f>
        <v>90 %-ile</v>
      </c>
      <c r="Q12" s="329" t="str">
        <f ca="1">lower_bd_perc&amp;" %-ile"</f>
        <v>90 %-ile</v>
      </c>
    </row>
    <row r="13" spans="1:18" ht="15" x14ac:dyDescent="0.25">
      <c r="A13" s="331" t="s">
        <v>167</v>
      </c>
      <c r="B13" s="331">
        <v>1</v>
      </c>
      <c r="C13" s="332">
        <v>2.7699999999999999E-2</v>
      </c>
      <c r="D13" s="333">
        <v>2.3800000000000002E-2</v>
      </c>
      <c r="E13" s="333">
        <v>2.01E-2</v>
      </c>
      <c r="F13" s="333">
        <v>1.8499999999999999E-2</v>
      </c>
      <c r="G13" s="333">
        <v>1.7500000000000002E-2</v>
      </c>
      <c r="H13" s="333">
        <v>1.6400000000000001E-2</v>
      </c>
      <c r="I13" s="333">
        <v>1.61E-2</v>
      </c>
      <c r="J13" s="333">
        <v>1.52E-2</v>
      </c>
      <c r="K13" s="333">
        <v>1.52E-2</v>
      </c>
      <c r="L13" s="333">
        <v>1.52E-2</v>
      </c>
      <c r="M13" s="333">
        <v>1.52E-2</v>
      </c>
      <c r="N13" s="334">
        <v>1.52E-2</v>
      </c>
      <c r="O13" s="335" t="e">
        <f t="array" aca="1" ref="O13" ca="1">TREND(P13:Q13,upplow_bd_perc,MAF_crit_perc)</f>
        <v>#VALUE!</v>
      </c>
      <c r="P13" s="332" t="e">
        <f t="array" aca="1" ref="P13:P28" ca="1">INDEX([0]!drift_percent_01m,,2+MATCH(upper_bd_perc,{90;82;77;74;72;70;69;67},0))</f>
        <v>#REF!</v>
      </c>
      <c r="Q13" s="334" t="e">
        <f t="array" aca="1" ref="Q13:Q28" ca="1">INDEX([0]!drift_percent_01m,,2+MATCH(lower_bd_perc,{90;82;77;74;72;70;69;67},0))</f>
        <v>#REF!</v>
      </c>
      <c r="R13" s="340"/>
    </row>
    <row r="14" spans="1:18" ht="15" x14ac:dyDescent="0.25">
      <c r="A14" s="64" t="s">
        <v>168</v>
      </c>
      <c r="B14" s="64">
        <v>1</v>
      </c>
      <c r="C14" s="336">
        <v>5.5399999999999998E-2</v>
      </c>
      <c r="D14" s="341">
        <v>4.7600000000000003E-2</v>
      </c>
      <c r="E14" s="341">
        <v>4.02E-2</v>
      </c>
      <c r="F14" s="341">
        <v>3.6999999999999998E-2</v>
      </c>
      <c r="G14" s="341">
        <v>3.5000000000000003E-2</v>
      </c>
      <c r="H14" s="341">
        <v>3.2800000000000003E-2</v>
      </c>
      <c r="I14" s="341">
        <v>3.2199999999999999E-2</v>
      </c>
      <c r="J14" s="341">
        <v>3.04E-2</v>
      </c>
      <c r="K14" s="341">
        <v>3.04E-2</v>
      </c>
      <c r="L14" s="341">
        <v>3.04E-2</v>
      </c>
      <c r="M14" s="341">
        <v>3.04E-2</v>
      </c>
      <c r="N14" s="338">
        <v>3.04E-2</v>
      </c>
      <c r="O14" s="342" t="e">
        <f t="array" aca="1" ref="O14" ca="1">TREND(P14:Q14,upplow_bd_perc,MAF_crit_perc)</f>
        <v>#VALUE!</v>
      </c>
      <c r="P14" s="336" t="e">
        <f ca="1"/>
        <v>#REF!</v>
      </c>
      <c r="Q14" s="338" t="e">
        <f ca="1"/>
        <v>#REF!</v>
      </c>
      <c r="R14" s="340"/>
    </row>
    <row r="15" spans="1:18" ht="15" x14ac:dyDescent="0.25">
      <c r="A15" s="64" t="s">
        <v>169</v>
      </c>
      <c r="B15" s="64">
        <v>1</v>
      </c>
      <c r="C15" s="336">
        <v>4.4400000000000002E-2</v>
      </c>
      <c r="D15" s="341">
        <v>3.78E-2</v>
      </c>
      <c r="E15" s="341">
        <v>3.4200000000000001E-2</v>
      </c>
      <c r="F15" s="341">
        <v>2.29E-2</v>
      </c>
      <c r="G15" s="341">
        <v>2.12E-2</v>
      </c>
      <c r="H15" s="341">
        <v>1.9800000000000002E-2</v>
      </c>
      <c r="I15" s="341">
        <v>1.9300000000000001E-2</v>
      </c>
      <c r="J15" s="341">
        <v>1.6400000000000001E-2</v>
      </c>
      <c r="K15" s="341">
        <v>1.6400000000000001E-2</v>
      </c>
      <c r="L15" s="341">
        <v>1.6400000000000001E-2</v>
      </c>
      <c r="M15" s="341">
        <v>1.6400000000000001E-2</v>
      </c>
      <c r="N15" s="338">
        <v>1.6400000000000001E-2</v>
      </c>
      <c r="O15" s="342" t="e">
        <f t="array" aca="1" ref="O15" ca="1">TREND(P15:Q15,upplow_bd_perc,MAF_crit_perc)</f>
        <v>#VALUE!</v>
      </c>
      <c r="P15" s="336" t="e">
        <f ca="1"/>
        <v>#REF!</v>
      </c>
      <c r="Q15" s="338" t="e">
        <f ca="1"/>
        <v>#REF!</v>
      </c>
      <c r="R15" s="340"/>
    </row>
    <row r="16" spans="1:18" ht="15" x14ac:dyDescent="0.25">
      <c r="A16" s="64" t="s">
        <v>170</v>
      </c>
      <c r="B16" s="64">
        <v>3</v>
      </c>
      <c r="C16" s="336">
        <v>8.0199999999999994E-2</v>
      </c>
      <c r="D16" s="341">
        <v>7.2300000000000003E-2</v>
      </c>
      <c r="E16" s="341">
        <v>6.9000000000000006E-2</v>
      </c>
      <c r="F16" s="341">
        <v>6.7100000000000007E-2</v>
      </c>
      <c r="G16" s="341">
        <v>6.59E-2</v>
      </c>
      <c r="H16" s="341">
        <v>6.4100000000000004E-2</v>
      </c>
      <c r="I16" s="341">
        <v>6.3299999999999995E-2</v>
      </c>
      <c r="J16" s="341">
        <v>6.2600000000000003E-2</v>
      </c>
      <c r="K16" s="341">
        <v>6.2600000000000003E-2</v>
      </c>
      <c r="L16" s="341">
        <v>6.2600000000000003E-2</v>
      </c>
      <c r="M16" s="341">
        <v>6.2600000000000003E-2</v>
      </c>
      <c r="N16" s="338">
        <v>6.2600000000000003E-2</v>
      </c>
      <c r="O16" s="342" t="e">
        <f t="array" aca="1" ref="O16" ca="1">TREND(P16:Q16,upplow_bd_perc,MAF_crit_perc)</f>
        <v>#VALUE!</v>
      </c>
      <c r="P16" s="336" t="e">
        <f ca="1"/>
        <v>#REF!</v>
      </c>
      <c r="Q16" s="338" t="e">
        <f ca="1"/>
        <v>#REF!</v>
      </c>
      <c r="R16" s="340"/>
    </row>
    <row r="17" spans="1:18" ht="15" x14ac:dyDescent="0.25">
      <c r="A17" s="64" t="s">
        <v>171</v>
      </c>
      <c r="B17" s="64">
        <v>3</v>
      </c>
      <c r="C17" s="336">
        <v>0.29199999999999998</v>
      </c>
      <c r="D17" s="341">
        <v>0.25530000000000003</v>
      </c>
      <c r="E17" s="341">
        <v>0.23960000000000001</v>
      </c>
      <c r="F17" s="341">
        <v>0.2361</v>
      </c>
      <c r="G17" s="341">
        <v>0.23119999999999999</v>
      </c>
      <c r="H17" s="341">
        <v>0.2276</v>
      </c>
      <c r="I17" s="341">
        <v>0.22689999999999999</v>
      </c>
      <c r="J17" s="341">
        <v>0.22239999999999999</v>
      </c>
      <c r="K17" s="341">
        <v>0.22239999999999999</v>
      </c>
      <c r="L17" s="341">
        <v>0.22239999999999999</v>
      </c>
      <c r="M17" s="341">
        <v>0.22239999999999999</v>
      </c>
      <c r="N17" s="338">
        <v>0.22239999999999999</v>
      </c>
      <c r="O17" s="342" t="e">
        <f t="array" aca="1" ref="O17" ca="1">TREND(P17:Q17,upplow_bd_perc,MAF_crit_perc)</f>
        <v>#VALUE!</v>
      </c>
      <c r="P17" s="336" t="e">
        <f ca="1"/>
        <v>#REF!</v>
      </c>
      <c r="Q17" s="338" t="e">
        <f ca="1"/>
        <v>#REF!</v>
      </c>
      <c r="R17" s="340"/>
    </row>
    <row r="18" spans="1:18" ht="15" x14ac:dyDescent="0.25">
      <c r="A18" s="64" t="s">
        <v>172</v>
      </c>
      <c r="B18" s="64">
        <v>3</v>
      </c>
      <c r="C18" s="336">
        <v>0.1573</v>
      </c>
      <c r="D18" s="341">
        <v>0.12130000000000001</v>
      </c>
      <c r="E18" s="341">
        <v>0.1101</v>
      </c>
      <c r="F18" s="341">
        <v>0.1012</v>
      </c>
      <c r="G18" s="341">
        <v>9.74E-2</v>
      </c>
      <c r="H18" s="341">
        <v>9.2100000000000001E-2</v>
      </c>
      <c r="I18" s="341">
        <v>9.0999999999999998E-2</v>
      </c>
      <c r="J18" s="341">
        <v>8.6599999999999996E-2</v>
      </c>
      <c r="K18" s="341">
        <v>8.6599999999999996E-2</v>
      </c>
      <c r="L18" s="341">
        <v>8.6599999999999996E-2</v>
      </c>
      <c r="M18" s="341">
        <v>8.6599999999999996E-2</v>
      </c>
      <c r="N18" s="338">
        <v>8.6599999999999996E-2</v>
      </c>
      <c r="O18" s="342" t="e">
        <f t="array" aca="1" ref="O18" ca="1">TREND(P18:Q18,upplow_bd_perc,MAF_crit_perc)</f>
        <v>#VALUE!</v>
      </c>
      <c r="P18" s="336" t="e">
        <f ca="1"/>
        <v>#REF!</v>
      </c>
      <c r="Q18" s="338" t="e">
        <f ca="1"/>
        <v>#REF!</v>
      </c>
      <c r="R18" s="340"/>
    </row>
    <row r="19" spans="1:18" ht="15" x14ac:dyDescent="0.25">
      <c r="A19" s="64" t="s">
        <v>173</v>
      </c>
      <c r="B19" s="64">
        <v>3</v>
      </c>
      <c r="C19" s="336">
        <v>0.1933</v>
      </c>
      <c r="D19" s="341">
        <v>0.17730000000000001</v>
      </c>
      <c r="E19" s="341">
        <v>0.1593</v>
      </c>
      <c r="F19" s="341">
        <v>0.15379999999999999</v>
      </c>
      <c r="G19" s="341">
        <v>0.1512</v>
      </c>
      <c r="H19" s="341">
        <v>0.14899999999999999</v>
      </c>
      <c r="I19" s="341">
        <v>0.14630000000000001</v>
      </c>
      <c r="J19" s="341">
        <v>0.1353</v>
      </c>
      <c r="K19" s="341">
        <v>0.1353</v>
      </c>
      <c r="L19" s="341">
        <v>0.1353</v>
      </c>
      <c r="M19" s="341">
        <v>0.1353</v>
      </c>
      <c r="N19" s="338">
        <v>0.1353</v>
      </c>
      <c r="O19" s="342" t="e">
        <f t="array" aca="1" ref="O19" ca="1">TREND(P19:Q19,upplow_bd_perc,MAF_crit_perc)</f>
        <v>#VALUE!</v>
      </c>
      <c r="P19" s="336" t="e">
        <f ca="1"/>
        <v>#REF!</v>
      </c>
      <c r="Q19" s="338" t="e">
        <f ca="1"/>
        <v>#REF!</v>
      </c>
      <c r="R19" s="340"/>
    </row>
    <row r="20" spans="1:18" ht="25.5" x14ac:dyDescent="0.25">
      <c r="A20" s="64" t="s">
        <v>174</v>
      </c>
      <c r="B20" s="64">
        <v>1</v>
      </c>
      <c r="C20" s="336">
        <v>2.7699999999999999E-2</v>
      </c>
      <c r="D20" s="341">
        <v>2.3800000000000002E-2</v>
      </c>
      <c r="E20" s="341">
        <v>2.01E-2</v>
      </c>
      <c r="F20" s="341">
        <v>1.8499999999999999E-2</v>
      </c>
      <c r="G20" s="341">
        <v>1.7500000000000002E-2</v>
      </c>
      <c r="H20" s="341">
        <v>1.6400000000000001E-2</v>
      </c>
      <c r="I20" s="341">
        <v>1.61E-2</v>
      </c>
      <c r="J20" s="341">
        <v>1.52E-2</v>
      </c>
      <c r="K20" s="341">
        <v>1.52E-2</v>
      </c>
      <c r="L20" s="341">
        <v>1.52E-2</v>
      </c>
      <c r="M20" s="341">
        <v>1.52E-2</v>
      </c>
      <c r="N20" s="338">
        <v>1.52E-2</v>
      </c>
      <c r="O20" s="342" t="e">
        <f t="array" aca="1" ref="O20" ca="1">TREND(P20:Q20,upplow_bd_perc,MAF_crit_perc)</f>
        <v>#VALUE!</v>
      </c>
      <c r="P20" s="336" t="e">
        <f ca="1"/>
        <v>#REF!</v>
      </c>
      <c r="Q20" s="338" t="e">
        <f ca="1"/>
        <v>#REF!</v>
      </c>
      <c r="R20" s="340"/>
    </row>
    <row r="21" spans="1:18" ht="25.5" x14ac:dyDescent="0.25">
      <c r="A21" s="64" t="s">
        <v>175</v>
      </c>
      <c r="B21" s="64">
        <v>3</v>
      </c>
      <c r="C21" s="336">
        <v>8.0199999999999994E-2</v>
      </c>
      <c r="D21" s="341">
        <v>7.2300000000000003E-2</v>
      </c>
      <c r="E21" s="341">
        <v>6.9000000000000006E-2</v>
      </c>
      <c r="F21" s="341">
        <v>6.7100000000000007E-2</v>
      </c>
      <c r="G21" s="341">
        <v>6.59E-2</v>
      </c>
      <c r="H21" s="341">
        <v>6.4100000000000004E-2</v>
      </c>
      <c r="I21" s="341">
        <v>6.3299999999999995E-2</v>
      </c>
      <c r="J21" s="341">
        <v>6.2600000000000003E-2</v>
      </c>
      <c r="K21" s="341">
        <v>6.2600000000000003E-2</v>
      </c>
      <c r="L21" s="341">
        <v>6.2600000000000003E-2</v>
      </c>
      <c r="M21" s="341">
        <v>6.2600000000000003E-2</v>
      </c>
      <c r="N21" s="338">
        <v>6.2600000000000003E-2</v>
      </c>
      <c r="O21" s="342" t="e">
        <f t="array" aca="1" ref="O21" ca="1">TREND(P21:Q21,upplow_bd_perc,MAF_crit_perc)</f>
        <v>#VALUE!</v>
      </c>
      <c r="P21" s="336" t="e">
        <f ca="1"/>
        <v>#REF!</v>
      </c>
      <c r="Q21" s="338" t="e">
        <f ca="1"/>
        <v>#REF!</v>
      </c>
      <c r="R21" s="340"/>
    </row>
    <row r="22" spans="1:18" ht="25.5" x14ac:dyDescent="0.25">
      <c r="A22" s="64" t="s">
        <v>176</v>
      </c>
      <c r="B22" s="64">
        <v>1</v>
      </c>
      <c r="C22" s="336">
        <v>6.4000000000000005E-4</v>
      </c>
      <c r="D22" s="341">
        <v>6.4000000000000005E-4</v>
      </c>
      <c r="E22" s="341">
        <v>6.4000000000000005E-4</v>
      </c>
      <c r="F22" s="341">
        <v>6.4000000000000005E-4</v>
      </c>
      <c r="G22" s="341">
        <v>6.4000000000000005E-4</v>
      </c>
      <c r="H22" s="341">
        <v>6.4000000000000005E-4</v>
      </c>
      <c r="I22" s="341">
        <v>6.4000000000000005E-4</v>
      </c>
      <c r="J22" s="341">
        <v>6.4000000000000005E-4</v>
      </c>
      <c r="K22" s="341">
        <v>6.4000000000000005E-4</v>
      </c>
      <c r="L22" s="341">
        <v>6.4000000000000005E-4</v>
      </c>
      <c r="M22" s="341">
        <v>6.4000000000000005E-4</v>
      </c>
      <c r="N22" s="338">
        <v>6.4000000000000005E-4</v>
      </c>
      <c r="O22" s="343" t="e">
        <f t="array" aca="1" ref="O22" ca="1">TREND(P22:Q22,upplow_bd_perc,MAF_crit_perc)</f>
        <v>#VALUE!</v>
      </c>
      <c r="P22" s="336" t="e">
        <f ca="1"/>
        <v>#REF!</v>
      </c>
      <c r="Q22" s="338" t="e">
        <f ca="1"/>
        <v>#REF!</v>
      </c>
      <c r="R22" s="45"/>
    </row>
    <row r="23" spans="1:18" ht="15" x14ac:dyDescent="0.25">
      <c r="A23" s="64" t="s">
        <v>177</v>
      </c>
      <c r="B23" s="64">
        <v>1</v>
      </c>
      <c r="C23" s="336">
        <v>4.1999999999999997E-3</v>
      </c>
      <c r="D23" s="341">
        <v>1.9E-3</v>
      </c>
      <c r="E23" s="341">
        <v>1.4E-3</v>
      </c>
      <c r="F23" s="341">
        <v>1.2999999999999999E-3</v>
      </c>
      <c r="G23" s="341">
        <v>1.1999999999999999E-3</v>
      </c>
      <c r="H23" s="341">
        <v>1.1000000000000001E-3</v>
      </c>
      <c r="I23" s="341">
        <v>1.1000000000000001E-3</v>
      </c>
      <c r="J23" s="341">
        <v>1E-3</v>
      </c>
      <c r="K23" s="341">
        <v>1E-3</v>
      </c>
      <c r="L23" s="341">
        <v>1E-3</v>
      </c>
      <c r="M23" s="341">
        <v>1E-3</v>
      </c>
      <c r="N23" s="338">
        <v>1E-3</v>
      </c>
      <c r="O23" s="342" t="e">
        <f t="array" aca="1" ref="O23" ca="1">TREND(P23:Q23,upplow_bd_perc,MAF_crit_perc)</f>
        <v>#VALUE!</v>
      </c>
      <c r="P23" s="336" t="e">
        <f ca="1"/>
        <v>#REF!</v>
      </c>
      <c r="Q23" s="338" t="e">
        <f ca="1"/>
        <v>#REF!</v>
      </c>
      <c r="R23" s="340"/>
    </row>
    <row r="24" spans="1:18" ht="15" x14ac:dyDescent="0.25">
      <c r="A24" s="64" t="s">
        <v>178</v>
      </c>
      <c r="B24" s="64">
        <v>3</v>
      </c>
      <c r="C24" s="336">
        <v>7.1999999999999998E-3</v>
      </c>
      <c r="D24" s="341">
        <v>5.1999999999999998E-3</v>
      </c>
      <c r="E24" s="341">
        <v>4.5999999999999999E-3</v>
      </c>
      <c r="F24" s="341">
        <v>4.1000000000000003E-3</v>
      </c>
      <c r="G24" s="341">
        <v>3.5999999999999999E-3</v>
      </c>
      <c r="H24" s="341">
        <v>3.2000000000000002E-3</v>
      </c>
      <c r="I24" s="341">
        <v>3.0999999999999999E-3</v>
      </c>
      <c r="J24" s="341">
        <v>2.8E-3</v>
      </c>
      <c r="K24" s="341">
        <v>2.8E-3</v>
      </c>
      <c r="L24" s="341">
        <v>2.8E-3</v>
      </c>
      <c r="M24" s="341">
        <v>2.8E-3</v>
      </c>
      <c r="N24" s="338">
        <v>2.8E-3</v>
      </c>
      <c r="O24" s="342" t="e">
        <f t="array" aca="1" ref="O24" ca="1">TREND(P24:Q24,upplow_bd_perc,MAF_crit_perc)</f>
        <v>#VALUE!</v>
      </c>
      <c r="P24" s="336" t="e">
        <f ca="1"/>
        <v>#REF!</v>
      </c>
      <c r="Q24" s="338" t="e">
        <f ca="1"/>
        <v>#REF!</v>
      </c>
      <c r="R24" s="340"/>
    </row>
    <row r="25" spans="1:18" ht="15" x14ac:dyDescent="0.25">
      <c r="A25" s="64" t="s">
        <v>179</v>
      </c>
      <c r="B25" s="64">
        <v>3</v>
      </c>
      <c r="C25" s="336">
        <v>0.13519999999999999</v>
      </c>
      <c r="D25" s="341">
        <v>9.11E-2</v>
      </c>
      <c r="E25" s="341">
        <v>7.4399999999999994E-2</v>
      </c>
      <c r="F25" s="341">
        <v>7.0800000000000002E-2</v>
      </c>
      <c r="G25" s="341">
        <v>6.7000000000000004E-2</v>
      </c>
      <c r="H25" s="341">
        <v>6.2700000000000006E-2</v>
      </c>
      <c r="I25" s="341">
        <v>6.0499999999999998E-2</v>
      </c>
      <c r="J25" s="341">
        <v>5.7500000000000002E-2</v>
      </c>
      <c r="K25" s="341">
        <v>5.7500000000000002E-2</v>
      </c>
      <c r="L25" s="341">
        <v>5.7500000000000002E-2</v>
      </c>
      <c r="M25" s="341">
        <v>5.7500000000000002E-2</v>
      </c>
      <c r="N25" s="338">
        <v>5.7500000000000002E-2</v>
      </c>
      <c r="O25" s="342" t="e">
        <f t="array" aca="1" ref="O25" ca="1">TREND(P25:Q25,upplow_bd_perc,MAF_crit_perc)</f>
        <v>#VALUE!</v>
      </c>
      <c r="P25" s="336" t="e">
        <f ca="1"/>
        <v>#REF!</v>
      </c>
      <c r="Q25" s="338" t="e">
        <f ca="1"/>
        <v>#REF!</v>
      </c>
      <c r="R25" s="340"/>
    </row>
    <row r="26" spans="1:18" ht="15" x14ac:dyDescent="0.25">
      <c r="A26" s="64" t="s">
        <v>180</v>
      </c>
      <c r="B26" s="64">
        <v>3</v>
      </c>
      <c r="C26" s="336">
        <v>0.38090000000000002</v>
      </c>
      <c r="D26" s="341">
        <v>0.27750000000000002</v>
      </c>
      <c r="E26" s="341">
        <v>0.2397</v>
      </c>
      <c r="F26" s="341">
        <v>0.22090000000000001</v>
      </c>
      <c r="G26" s="341">
        <v>0.21340000000000001</v>
      </c>
      <c r="H26" s="341">
        <v>0.2044</v>
      </c>
      <c r="I26" s="341">
        <v>0.2</v>
      </c>
      <c r="J26" s="341">
        <v>0.19620000000000001</v>
      </c>
      <c r="K26" s="341">
        <v>0.19620000000000001</v>
      </c>
      <c r="L26" s="341">
        <v>0.19620000000000001</v>
      </c>
      <c r="M26" s="341">
        <v>0.19620000000000001</v>
      </c>
      <c r="N26" s="338">
        <v>0.19620000000000001</v>
      </c>
      <c r="O26" s="342" t="e">
        <f t="array" aca="1" ref="O26" ca="1">TREND(P26:Q26,upplow_bd_perc,MAF_crit_perc)</f>
        <v>#VALUE!</v>
      </c>
      <c r="P26" s="336" t="e">
        <f ca="1"/>
        <v>#REF!</v>
      </c>
      <c r="Q26" s="338" t="e">
        <f ca="1"/>
        <v>#REF!</v>
      </c>
      <c r="R26" s="340"/>
    </row>
    <row r="27" spans="1:18" ht="15" x14ac:dyDescent="0.25">
      <c r="A27" s="64" t="s">
        <v>181</v>
      </c>
      <c r="B27" s="64">
        <v>3</v>
      </c>
      <c r="C27" s="336">
        <v>3.5299999999999998E-2</v>
      </c>
      <c r="D27" s="341">
        <v>2.12E-2</v>
      </c>
      <c r="E27" s="341">
        <v>1.5900000000000001E-2</v>
      </c>
      <c r="F27" s="341">
        <v>1.3599999999999999E-2</v>
      </c>
      <c r="G27" s="341">
        <v>1.1900000000000001E-2</v>
      </c>
      <c r="H27" s="341">
        <v>1.0699999999999999E-2</v>
      </c>
      <c r="I27" s="341">
        <v>9.5999999999999992E-3</v>
      </c>
      <c r="J27" s="341">
        <v>8.8999999999999999E-3</v>
      </c>
      <c r="K27" s="341">
        <v>8.8999999999999999E-3</v>
      </c>
      <c r="L27" s="341">
        <v>8.8999999999999999E-3</v>
      </c>
      <c r="M27" s="341">
        <v>8.8999999999999999E-3</v>
      </c>
      <c r="N27" s="338">
        <v>8.8999999999999999E-3</v>
      </c>
      <c r="O27" s="342" t="e">
        <f t="array" aca="1" ref="O27" ca="1">TREND(P27:Q27,upplow_bd_perc,MAF_crit_perc)</f>
        <v>#VALUE!</v>
      </c>
      <c r="P27" s="336" t="e">
        <f ca="1"/>
        <v>#REF!</v>
      </c>
      <c r="Q27" s="338" t="e">
        <f ca="1"/>
        <v>#REF!</v>
      </c>
      <c r="R27" s="340"/>
    </row>
    <row r="28" spans="1:18" ht="15" x14ac:dyDescent="0.25">
      <c r="A28" s="344" t="s">
        <v>182</v>
      </c>
      <c r="B28" s="344">
        <v>1</v>
      </c>
      <c r="C28" s="337">
        <v>0</v>
      </c>
      <c r="D28" s="345">
        <v>0</v>
      </c>
      <c r="E28" s="345">
        <v>0</v>
      </c>
      <c r="F28" s="345">
        <v>0</v>
      </c>
      <c r="G28" s="345">
        <v>0</v>
      </c>
      <c r="H28" s="345">
        <v>0</v>
      </c>
      <c r="I28" s="345">
        <v>0</v>
      </c>
      <c r="J28" s="345">
        <v>0</v>
      </c>
      <c r="K28" s="345">
        <v>0</v>
      </c>
      <c r="L28" s="345">
        <v>0</v>
      </c>
      <c r="M28" s="345">
        <v>0</v>
      </c>
      <c r="N28" s="339">
        <v>0</v>
      </c>
      <c r="O28" s="346" t="e">
        <f t="array" aca="1" ref="O28" ca="1">TREND(P28:Q28,upplow_bd_perc,MAF_crit_perc)</f>
        <v>#VALUE!</v>
      </c>
      <c r="P28" s="337" t="e">
        <f ca="1"/>
        <v>#REF!</v>
      </c>
      <c r="Q28" s="339" t="e">
        <f ca="1"/>
        <v>#REF!</v>
      </c>
      <c r="R28" s="340"/>
    </row>
    <row r="29" spans="1:18" ht="15" x14ac:dyDescent="0.25">
      <c r="A29" s="331" t="s">
        <v>167</v>
      </c>
      <c r="B29" s="331">
        <v>5</v>
      </c>
      <c r="C29" s="332">
        <v>5.7000000000000002E-3</v>
      </c>
      <c r="D29" s="333">
        <v>4.6999999999999993E-3</v>
      </c>
      <c r="E29" s="333">
        <v>4.0999999999999995E-3</v>
      </c>
      <c r="F29" s="333">
        <v>3.8E-3</v>
      </c>
      <c r="G29" s="333">
        <v>3.5999999999999999E-3</v>
      </c>
      <c r="H29" s="333">
        <v>3.4000000000000002E-3</v>
      </c>
      <c r="I29" s="333">
        <v>3.3E-3</v>
      </c>
      <c r="J29" s="333">
        <v>3.0999999999999999E-3</v>
      </c>
      <c r="K29" s="333">
        <v>3.0999999999999999E-3</v>
      </c>
      <c r="L29" s="333">
        <v>3.0999999999999999E-3</v>
      </c>
      <c r="M29" s="333">
        <v>3.0999999999999999E-3</v>
      </c>
      <c r="N29" s="334">
        <v>3.0999999999999999E-3</v>
      </c>
      <c r="O29" s="335" t="e">
        <f t="array" aca="1" ref="O29" ca="1">TREND(P29:Q29,upplow_bd_perc,MAF_crit_perc)</f>
        <v>#VALUE!</v>
      </c>
      <c r="P29" s="332" t="e">
        <f t="array" aca="1" ref="P29:P44" ca="1">INDEX([0]!drift_percent_05m,,2+MATCH(upper_bd_perc,{90;82;77;74;72;70;69;67},0))</f>
        <v>#REF!</v>
      </c>
      <c r="Q29" s="334" t="e">
        <f t="array" aca="1" ref="Q29:Q44" ca="1">INDEX([0]!drift_percent_05m,,2+MATCH(lower_bd_perc,{90;82;77;74;72;70;69;67},0))</f>
        <v>#REF!</v>
      </c>
    </row>
    <row r="30" spans="1:18" ht="15" x14ac:dyDescent="0.25">
      <c r="A30" s="64" t="s">
        <v>168</v>
      </c>
      <c r="B30" s="64">
        <v>5</v>
      </c>
      <c r="C30" s="336">
        <v>1.14E-2</v>
      </c>
      <c r="D30" s="341">
        <v>9.3999999999999986E-3</v>
      </c>
      <c r="E30" s="341">
        <v>8.199999999999999E-3</v>
      </c>
      <c r="F30" s="341">
        <v>7.6E-3</v>
      </c>
      <c r="G30" s="341">
        <v>7.1999999999999998E-3</v>
      </c>
      <c r="H30" s="341">
        <v>6.8000000000000005E-3</v>
      </c>
      <c r="I30" s="341">
        <v>6.6E-3</v>
      </c>
      <c r="J30" s="341">
        <v>6.1999999999999998E-3</v>
      </c>
      <c r="K30" s="341">
        <v>6.1999999999999998E-3</v>
      </c>
      <c r="L30" s="341">
        <v>6.1999999999999998E-3</v>
      </c>
      <c r="M30" s="341">
        <v>6.1999999999999998E-3</v>
      </c>
      <c r="N30" s="338">
        <v>6.1999999999999998E-3</v>
      </c>
      <c r="O30" s="342" t="e">
        <f t="array" aca="1" ref="O30" ca="1">TREND(P30:Q30,upplow_bd_perc,MAF_crit_perc)</f>
        <v>#VALUE!</v>
      </c>
      <c r="P30" s="336" t="e">
        <f ca="1"/>
        <v>#REF!</v>
      </c>
      <c r="Q30" s="338" t="e">
        <f ca="1"/>
        <v>#REF!</v>
      </c>
    </row>
    <row r="31" spans="1:18" ht="15" x14ac:dyDescent="0.25">
      <c r="A31" s="64" t="s">
        <v>169</v>
      </c>
      <c r="B31" s="64">
        <v>5</v>
      </c>
      <c r="C31" s="336">
        <v>1.8E-3</v>
      </c>
      <c r="D31" s="341">
        <v>1.6000000000000001E-3</v>
      </c>
      <c r="E31" s="341">
        <v>1.5E-3</v>
      </c>
      <c r="F31" s="341">
        <v>1.1999999999999999E-3</v>
      </c>
      <c r="G31" s="341">
        <v>1.1000000000000001E-3</v>
      </c>
      <c r="H31" s="341">
        <v>1E-3</v>
      </c>
      <c r="I31" s="341">
        <v>1E-3</v>
      </c>
      <c r="J31" s="341">
        <v>8.9999999999999998E-4</v>
      </c>
      <c r="K31" s="341">
        <v>8.9999999999999998E-4</v>
      </c>
      <c r="L31" s="341">
        <v>8.9999999999999998E-4</v>
      </c>
      <c r="M31" s="341">
        <v>8.9999999999999998E-4</v>
      </c>
      <c r="N31" s="338">
        <v>8.9999999999999998E-4</v>
      </c>
      <c r="O31" s="342" t="e">
        <f t="array" aca="1" ref="O31" ca="1">TREND(P31:Q31,upplow_bd_perc,MAF_crit_perc)</f>
        <v>#VALUE!</v>
      </c>
      <c r="P31" s="336" t="e">
        <f ca="1"/>
        <v>#REF!</v>
      </c>
      <c r="Q31" s="338" t="e">
        <f ca="1"/>
        <v>#REF!</v>
      </c>
    </row>
    <row r="32" spans="1:18" ht="15" x14ac:dyDescent="0.25">
      <c r="A32" s="64" t="s">
        <v>170</v>
      </c>
      <c r="B32" s="64">
        <v>5</v>
      </c>
      <c r="C32" s="336">
        <v>3.6200000000000003E-2</v>
      </c>
      <c r="D32" s="341">
        <v>3.2199999999999999E-2</v>
      </c>
      <c r="E32" s="341">
        <v>3.0699999999999998E-2</v>
      </c>
      <c r="F32" s="341">
        <v>2.9900000000000003E-2</v>
      </c>
      <c r="G32" s="341">
        <v>2.9300000000000003E-2</v>
      </c>
      <c r="H32" s="341">
        <v>2.8500000000000001E-2</v>
      </c>
      <c r="I32" s="341">
        <v>2.81E-2</v>
      </c>
      <c r="J32" s="341">
        <v>2.7799999999999998E-2</v>
      </c>
      <c r="K32" s="341">
        <v>2.7799999999999998E-2</v>
      </c>
      <c r="L32" s="341">
        <v>2.7799999999999998E-2</v>
      </c>
      <c r="M32" s="341">
        <v>2.7799999999999998E-2</v>
      </c>
      <c r="N32" s="338">
        <v>2.7799999999999998E-2</v>
      </c>
      <c r="O32" s="342" t="e">
        <f t="array" aca="1" ref="O32" ca="1">TREND(P32:Q32,upplow_bd_perc,MAF_crit_perc)</f>
        <v>#VALUE!</v>
      </c>
      <c r="P32" s="336" t="e">
        <f ca="1"/>
        <v>#REF!</v>
      </c>
      <c r="Q32" s="338" t="e">
        <f ca="1"/>
        <v>#REF!</v>
      </c>
    </row>
    <row r="33" spans="1:17" ht="15" x14ac:dyDescent="0.25">
      <c r="A33" s="64" t="s">
        <v>171</v>
      </c>
      <c r="B33" s="64">
        <v>5</v>
      </c>
      <c r="C33" s="336">
        <v>0.19889999999999999</v>
      </c>
      <c r="D33" s="341">
        <v>0.16870000000000002</v>
      </c>
      <c r="E33" s="341">
        <v>0.15789999999999998</v>
      </c>
      <c r="F33" s="341">
        <v>0.1542</v>
      </c>
      <c r="G33" s="341">
        <v>0.15060000000000001</v>
      </c>
      <c r="H33" s="341">
        <v>0.1464</v>
      </c>
      <c r="I33" s="341">
        <v>0.14449999999999999</v>
      </c>
      <c r="J33" s="341">
        <v>0.1409</v>
      </c>
      <c r="K33" s="341">
        <v>0.1409</v>
      </c>
      <c r="L33" s="341">
        <v>0.1409</v>
      </c>
      <c r="M33" s="341">
        <v>0.1409</v>
      </c>
      <c r="N33" s="338">
        <v>0.1409</v>
      </c>
      <c r="O33" s="342" t="e">
        <f t="array" aca="1" ref="O33" ca="1">TREND(P33:Q33,upplow_bd_perc,MAF_crit_perc)</f>
        <v>#VALUE!</v>
      </c>
      <c r="P33" s="336" t="e">
        <f ca="1"/>
        <v>#REF!</v>
      </c>
      <c r="Q33" s="338" t="e">
        <f ca="1"/>
        <v>#REF!</v>
      </c>
    </row>
    <row r="34" spans="1:17" ht="15" x14ac:dyDescent="0.25">
      <c r="A34" s="64" t="s">
        <v>172</v>
      </c>
      <c r="B34" s="64">
        <v>5</v>
      </c>
      <c r="C34" s="336">
        <v>8.4099999999999994E-2</v>
      </c>
      <c r="D34" s="341">
        <v>6.8099999999999994E-2</v>
      </c>
      <c r="E34" s="341">
        <v>6.0400000000000002E-2</v>
      </c>
      <c r="F34" s="341">
        <v>5.5999999999999994E-2</v>
      </c>
      <c r="G34" s="341">
        <v>5.4100000000000002E-2</v>
      </c>
      <c r="H34" s="341">
        <v>5.1799999999999999E-2</v>
      </c>
      <c r="I34" s="341">
        <v>5.1100000000000007E-2</v>
      </c>
      <c r="J34" s="341">
        <v>4.9200000000000001E-2</v>
      </c>
      <c r="K34" s="341">
        <v>4.9200000000000001E-2</v>
      </c>
      <c r="L34" s="341">
        <v>4.9200000000000001E-2</v>
      </c>
      <c r="M34" s="341">
        <v>4.9200000000000001E-2</v>
      </c>
      <c r="N34" s="338">
        <v>4.9200000000000001E-2</v>
      </c>
      <c r="O34" s="342" t="e">
        <f t="array" aca="1" ref="O34" ca="1">TREND(P34:Q34,upplow_bd_perc,MAF_crit_perc)</f>
        <v>#VALUE!</v>
      </c>
      <c r="P34" s="336" t="e">
        <f ca="1"/>
        <v>#REF!</v>
      </c>
      <c r="Q34" s="338" t="e">
        <f ca="1"/>
        <v>#REF!</v>
      </c>
    </row>
    <row r="35" spans="1:17" ht="15" x14ac:dyDescent="0.25">
      <c r="A35" s="64" t="s">
        <v>173</v>
      </c>
      <c r="B35" s="64">
        <v>5</v>
      </c>
      <c r="C35" s="336">
        <v>0.1157</v>
      </c>
      <c r="D35" s="347">
        <v>9.6000000000000002E-2</v>
      </c>
      <c r="E35" s="347">
        <v>8.5699999999999998E-2</v>
      </c>
      <c r="F35" s="347">
        <v>8.2599999999999993E-2</v>
      </c>
      <c r="G35" s="341">
        <v>7.9899999999999999E-2</v>
      </c>
      <c r="H35" s="341">
        <v>7.7899999999999997E-2</v>
      </c>
      <c r="I35" s="341">
        <v>7.5999999999999998E-2</v>
      </c>
      <c r="J35" s="341">
        <v>7.1500000000000008E-2</v>
      </c>
      <c r="K35" s="341">
        <v>7.1500000000000008E-2</v>
      </c>
      <c r="L35" s="341">
        <v>7.1500000000000008E-2</v>
      </c>
      <c r="M35" s="341">
        <v>7.1500000000000008E-2</v>
      </c>
      <c r="N35" s="338">
        <v>7.1500000000000008E-2</v>
      </c>
      <c r="O35" s="342" t="e">
        <f t="array" aca="1" ref="O35" ca="1">TREND(P35:Q35,upplow_bd_perc,MAF_crit_perc)</f>
        <v>#VALUE!</v>
      </c>
      <c r="P35" s="336" t="e">
        <f ca="1"/>
        <v>#REF!</v>
      </c>
      <c r="Q35" s="338" t="e">
        <f ca="1"/>
        <v>#REF!</v>
      </c>
    </row>
    <row r="36" spans="1:17" ht="25.5" x14ac:dyDescent="0.25">
      <c r="A36" s="64" t="s">
        <v>174</v>
      </c>
      <c r="B36" s="64">
        <v>5</v>
      </c>
      <c r="C36" s="336">
        <v>5.7000000000000002E-3</v>
      </c>
      <c r="D36" s="347">
        <v>4.6999999999999993E-3</v>
      </c>
      <c r="E36" s="347">
        <v>4.0999999999999995E-3</v>
      </c>
      <c r="F36" s="347">
        <v>3.8E-3</v>
      </c>
      <c r="G36" s="341">
        <v>3.5999999999999999E-3</v>
      </c>
      <c r="H36" s="341">
        <v>3.4000000000000002E-3</v>
      </c>
      <c r="I36" s="341">
        <v>3.3E-3</v>
      </c>
      <c r="J36" s="341">
        <v>3.0999999999999999E-3</v>
      </c>
      <c r="K36" s="341">
        <v>3.0999999999999999E-3</v>
      </c>
      <c r="L36" s="341">
        <v>3.0999999999999999E-3</v>
      </c>
      <c r="M36" s="341">
        <v>3.0999999999999999E-3</v>
      </c>
      <c r="N36" s="338">
        <v>3.0999999999999999E-3</v>
      </c>
      <c r="O36" s="342" t="e">
        <f t="array" aca="1" ref="O36" ca="1">TREND(P36:Q36,upplow_bd_perc,MAF_crit_perc)</f>
        <v>#VALUE!</v>
      </c>
      <c r="P36" s="336" t="e">
        <f ca="1"/>
        <v>#REF!</v>
      </c>
      <c r="Q36" s="338" t="e">
        <f ca="1"/>
        <v>#REF!</v>
      </c>
    </row>
    <row r="37" spans="1:17" ht="25.5" x14ac:dyDescent="0.25">
      <c r="A37" s="64" t="s">
        <v>175</v>
      </c>
      <c r="B37" s="64">
        <v>5</v>
      </c>
      <c r="C37" s="336">
        <v>3.6200000000000003E-2</v>
      </c>
      <c r="D37" s="347">
        <v>3.2199999999999999E-2</v>
      </c>
      <c r="E37" s="347">
        <v>3.0699999999999998E-2</v>
      </c>
      <c r="F37" s="347">
        <v>2.9900000000000003E-2</v>
      </c>
      <c r="G37" s="341">
        <v>2.9300000000000003E-2</v>
      </c>
      <c r="H37" s="341">
        <v>2.8500000000000001E-2</v>
      </c>
      <c r="I37" s="341">
        <v>2.81E-2</v>
      </c>
      <c r="J37" s="341">
        <v>2.7799999999999998E-2</v>
      </c>
      <c r="K37" s="341">
        <v>2.7799999999999998E-2</v>
      </c>
      <c r="L37" s="341">
        <v>2.7799999999999998E-2</v>
      </c>
      <c r="M37" s="341">
        <v>2.7799999999999998E-2</v>
      </c>
      <c r="N37" s="338">
        <v>2.7799999999999998E-2</v>
      </c>
      <c r="O37" s="342" t="e">
        <f t="array" aca="1" ref="O37" ca="1">TREND(P37:Q37,upplow_bd_perc,MAF_crit_perc)</f>
        <v>#VALUE!</v>
      </c>
      <c r="P37" s="336" t="e">
        <f ca="1"/>
        <v>#REF!</v>
      </c>
      <c r="Q37" s="338" t="e">
        <f ca="1"/>
        <v>#REF!</v>
      </c>
    </row>
    <row r="38" spans="1:17" ht="25.5" x14ac:dyDescent="0.25">
      <c r="A38" s="64" t="s">
        <v>176</v>
      </c>
      <c r="B38" s="64">
        <v>5</v>
      </c>
      <c r="C38" s="336">
        <v>6.9999999999999994E-5</v>
      </c>
      <c r="D38" s="341">
        <v>7.0000000000000007E-5</v>
      </c>
      <c r="E38" s="341">
        <v>7.0000000000000007E-5</v>
      </c>
      <c r="F38" s="341">
        <v>7.0000000000000007E-5</v>
      </c>
      <c r="G38" s="341">
        <v>7.0000000000000007E-5</v>
      </c>
      <c r="H38" s="341">
        <v>7.0000000000000007E-5</v>
      </c>
      <c r="I38" s="341">
        <v>7.0000000000000007E-5</v>
      </c>
      <c r="J38" s="341">
        <v>7.0000000000000007E-5</v>
      </c>
      <c r="K38" s="341">
        <v>7.0000000000000007E-5</v>
      </c>
      <c r="L38" s="341">
        <v>7.0000000000000007E-5</v>
      </c>
      <c r="M38" s="341">
        <v>7.0000000000000007E-5</v>
      </c>
      <c r="N38" s="338">
        <v>7.0000000000000007E-5</v>
      </c>
      <c r="O38" s="343" t="e">
        <f t="array" aca="1" ref="O38" ca="1">TREND(P38:Q38,upplow_bd_perc,MAF_crit_perc)</f>
        <v>#VALUE!</v>
      </c>
      <c r="P38" s="336" t="e">
        <f ca="1"/>
        <v>#REF!</v>
      </c>
      <c r="Q38" s="338" t="e">
        <f ca="1"/>
        <v>#REF!</v>
      </c>
    </row>
    <row r="39" spans="1:17" ht="15" x14ac:dyDescent="0.25">
      <c r="A39" s="64" t="s">
        <v>177</v>
      </c>
      <c r="B39" s="64">
        <v>5</v>
      </c>
      <c r="C39" s="336">
        <v>2.0000000000000001E-4</v>
      </c>
      <c r="D39" s="347">
        <v>1E-4</v>
      </c>
      <c r="E39" s="347">
        <v>1E-4</v>
      </c>
      <c r="F39" s="347">
        <v>1E-4</v>
      </c>
      <c r="G39" s="341">
        <v>1E-4</v>
      </c>
      <c r="H39" s="341">
        <v>1E-4</v>
      </c>
      <c r="I39" s="341">
        <v>1E-4</v>
      </c>
      <c r="J39" s="341">
        <v>1E-4</v>
      </c>
      <c r="K39" s="341">
        <v>1E-4</v>
      </c>
      <c r="L39" s="341">
        <v>1E-4</v>
      </c>
      <c r="M39" s="341">
        <v>1E-4</v>
      </c>
      <c r="N39" s="338">
        <v>1E-4</v>
      </c>
      <c r="O39" s="342" t="e">
        <f t="array" aca="1" ref="O39" ca="1">TREND(P39:Q39,upplow_bd_perc,MAF_crit_perc)</f>
        <v>#VALUE!</v>
      </c>
      <c r="P39" s="336" t="e">
        <f ca="1"/>
        <v>#REF!</v>
      </c>
      <c r="Q39" s="338" t="e">
        <f ca="1"/>
        <v>#REF!</v>
      </c>
    </row>
    <row r="40" spans="1:17" ht="15" x14ac:dyDescent="0.25">
      <c r="A40" s="64" t="s">
        <v>178</v>
      </c>
      <c r="B40" s="64">
        <v>5</v>
      </c>
      <c r="C40" s="336">
        <v>1.9E-3</v>
      </c>
      <c r="D40" s="347">
        <v>1.4000000000000002E-3</v>
      </c>
      <c r="E40" s="347">
        <v>1.1999999999999999E-3</v>
      </c>
      <c r="F40" s="347">
        <v>1.1000000000000001E-3</v>
      </c>
      <c r="G40" s="341">
        <v>8.9999999999999998E-4</v>
      </c>
      <c r="H40" s="341">
        <v>8.0000000000000004E-4</v>
      </c>
      <c r="I40" s="341">
        <v>8.0000000000000004E-4</v>
      </c>
      <c r="J40" s="341">
        <v>8.0000000000000004E-4</v>
      </c>
      <c r="K40" s="341">
        <v>8.0000000000000004E-4</v>
      </c>
      <c r="L40" s="341">
        <v>8.0000000000000004E-4</v>
      </c>
      <c r="M40" s="341">
        <v>8.0000000000000004E-4</v>
      </c>
      <c r="N40" s="338">
        <v>8.0000000000000004E-4</v>
      </c>
      <c r="O40" s="342" t="e">
        <f t="array" aca="1" ref="O40" ca="1">TREND(P40:Q40,upplow_bd_perc,MAF_crit_perc)</f>
        <v>#VALUE!</v>
      </c>
      <c r="P40" s="336" t="e">
        <f ca="1"/>
        <v>#REF!</v>
      </c>
      <c r="Q40" s="338" t="e">
        <f ca="1"/>
        <v>#REF!</v>
      </c>
    </row>
    <row r="41" spans="1:17" ht="15" x14ac:dyDescent="0.25">
      <c r="A41" s="64" t="s">
        <v>179</v>
      </c>
      <c r="B41" s="64">
        <v>5</v>
      </c>
      <c r="C41" s="336">
        <v>2.93E-2</v>
      </c>
      <c r="D41" s="347">
        <v>1.8700000000000001E-2</v>
      </c>
      <c r="E41" s="347">
        <v>1.5100000000000001E-2</v>
      </c>
      <c r="F41" s="347">
        <v>1.4199999999999999E-2</v>
      </c>
      <c r="G41" s="341">
        <v>1.3300000000000001E-2</v>
      </c>
      <c r="H41" s="341">
        <v>1.24E-2</v>
      </c>
      <c r="I41" s="341">
        <v>1.2E-2</v>
      </c>
      <c r="J41" s="341">
        <v>1.1399999999999999E-2</v>
      </c>
      <c r="K41" s="341">
        <v>1.1399999999999999E-2</v>
      </c>
      <c r="L41" s="341">
        <v>1.1399999999999999E-2</v>
      </c>
      <c r="M41" s="341">
        <v>1.1399999999999999E-2</v>
      </c>
      <c r="N41" s="338">
        <v>1.1399999999999999E-2</v>
      </c>
      <c r="O41" s="342" t="e">
        <f t="array" aca="1" ref="O41" ca="1">TREND(P41:Q41,upplow_bd_perc,MAF_crit_perc)</f>
        <v>#VALUE!</v>
      </c>
      <c r="P41" s="336" t="e">
        <f ca="1"/>
        <v>#REF!</v>
      </c>
      <c r="Q41" s="338" t="e">
        <f ca="1"/>
        <v>#REF!</v>
      </c>
    </row>
    <row r="42" spans="1:17" ht="15" x14ac:dyDescent="0.25">
      <c r="A42" s="64" t="s">
        <v>180</v>
      </c>
      <c r="B42" s="64">
        <v>5</v>
      </c>
      <c r="C42" s="336">
        <v>9.5799999999999996E-2</v>
      </c>
      <c r="D42" s="347">
        <v>6.7000000000000004E-2</v>
      </c>
      <c r="E42" s="347">
        <v>5.5199999999999999E-2</v>
      </c>
      <c r="F42" s="347">
        <v>4.9299999999999997E-2</v>
      </c>
      <c r="G42" s="341">
        <v>4.5599999999999995E-2</v>
      </c>
      <c r="H42" s="341">
        <v>4.2300000000000004E-2</v>
      </c>
      <c r="I42" s="341">
        <v>4.0500000000000001E-2</v>
      </c>
      <c r="J42" s="341">
        <v>3.8800000000000001E-2</v>
      </c>
      <c r="K42" s="341">
        <v>3.8800000000000001E-2</v>
      </c>
      <c r="L42" s="341">
        <v>3.8800000000000001E-2</v>
      </c>
      <c r="M42" s="341">
        <v>3.8800000000000001E-2</v>
      </c>
      <c r="N42" s="338">
        <v>3.8800000000000001E-2</v>
      </c>
      <c r="O42" s="342" t="e">
        <f t="array" aca="1" ref="O42" ca="1">TREND(P42:Q42,upplow_bd_perc,MAF_crit_perc)</f>
        <v>#VALUE!</v>
      </c>
      <c r="P42" s="336" t="e">
        <f ca="1"/>
        <v>#REF!</v>
      </c>
      <c r="Q42" s="338" t="e">
        <f ca="1"/>
        <v>#REF!</v>
      </c>
    </row>
    <row r="43" spans="1:17" ht="15" x14ac:dyDescent="0.25">
      <c r="A43" s="64" t="s">
        <v>181</v>
      </c>
      <c r="B43" s="64">
        <v>5</v>
      </c>
      <c r="C43" s="336">
        <v>7.7999999999999996E-3</v>
      </c>
      <c r="D43" s="347">
        <v>4.6999999999999993E-3</v>
      </c>
      <c r="E43" s="347">
        <v>3.5999999999999999E-3</v>
      </c>
      <c r="F43" s="347">
        <v>3.0999999999999999E-3</v>
      </c>
      <c r="G43" s="341">
        <v>2.7000000000000001E-3</v>
      </c>
      <c r="H43" s="341">
        <v>2.5000000000000001E-3</v>
      </c>
      <c r="I43" s="341">
        <v>2.3E-3</v>
      </c>
      <c r="J43" s="341">
        <v>2.0999999999999999E-3</v>
      </c>
      <c r="K43" s="341">
        <v>2.0999999999999999E-3</v>
      </c>
      <c r="L43" s="341">
        <v>2.0999999999999999E-3</v>
      </c>
      <c r="M43" s="341">
        <v>2.0999999999999999E-3</v>
      </c>
      <c r="N43" s="338">
        <v>2.0999999999999999E-3</v>
      </c>
      <c r="O43" s="342" t="e">
        <f t="array" aca="1" ref="O43" ca="1">TREND(P43:Q43,upplow_bd_perc,MAF_crit_perc)</f>
        <v>#VALUE!</v>
      </c>
      <c r="P43" s="336" t="e">
        <f ca="1"/>
        <v>#REF!</v>
      </c>
      <c r="Q43" s="338" t="e">
        <f ca="1"/>
        <v>#REF!</v>
      </c>
    </row>
    <row r="44" spans="1:17" ht="15" x14ac:dyDescent="0.25">
      <c r="A44" s="344" t="s">
        <v>182</v>
      </c>
      <c r="B44" s="344">
        <v>5</v>
      </c>
      <c r="C44" s="337">
        <v>0</v>
      </c>
      <c r="D44" s="345">
        <v>0</v>
      </c>
      <c r="E44" s="345">
        <v>0</v>
      </c>
      <c r="F44" s="345">
        <v>0</v>
      </c>
      <c r="G44" s="345">
        <v>0</v>
      </c>
      <c r="H44" s="345">
        <v>0</v>
      </c>
      <c r="I44" s="345">
        <v>0</v>
      </c>
      <c r="J44" s="345">
        <v>0</v>
      </c>
      <c r="K44" s="345">
        <v>0</v>
      </c>
      <c r="L44" s="345">
        <v>0</v>
      </c>
      <c r="M44" s="345">
        <v>0</v>
      </c>
      <c r="N44" s="339">
        <v>0</v>
      </c>
      <c r="O44" s="346" t="e">
        <f t="array" aca="1" ref="O44" ca="1">TREND(P44:Q44,upplow_bd_perc,MAF_crit_perc)</f>
        <v>#VALUE!</v>
      </c>
      <c r="P44" s="337" t="e">
        <f ca="1"/>
        <v>#REF!</v>
      </c>
      <c r="Q44" s="339" t="e">
        <f ca="1"/>
        <v>#REF!</v>
      </c>
    </row>
    <row r="45" spans="1:17" ht="15" x14ac:dyDescent="0.25">
      <c r="A45" s="331" t="s">
        <v>167</v>
      </c>
      <c r="B45" s="331">
        <v>10</v>
      </c>
      <c r="C45" s="332">
        <v>2.8999999999999998E-3</v>
      </c>
      <c r="D45" s="348">
        <v>2.3999999999999998E-3</v>
      </c>
      <c r="E45" s="348">
        <v>2E-3</v>
      </c>
      <c r="F45" s="348">
        <v>1.9E-3</v>
      </c>
      <c r="G45" s="348">
        <v>1.8E-3</v>
      </c>
      <c r="H45" s="348">
        <v>1.7000000000000001E-3</v>
      </c>
      <c r="I45" s="348">
        <v>1.7000000000000001E-3</v>
      </c>
      <c r="J45" s="348">
        <v>1.6000000000000001E-3</v>
      </c>
      <c r="K45" s="333">
        <v>1.6000000000000001E-3</v>
      </c>
      <c r="L45" s="333">
        <v>1.6000000000000001E-3</v>
      </c>
      <c r="M45" s="333">
        <v>1.6000000000000001E-3</v>
      </c>
      <c r="N45" s="334">
        <v>1.6000000000000001E-3</v>
      </c>
      <c r="O45" s="335" t="e">
        <f t="array" aca="1" ref="O45" ca="1">TREND(P45:Q45,upplow_bd_perc,MAF_crit_perc)</f>
        <v>#VALUE!</v>
      </c>
      <c r="P45" s="332" t="e">
        <f t="array" aca="1" ref="P45:P60" ca="1">INDEX([0]!drift_percent_10m,,2+MATCH(upper_bd_perc,{90;82;77;74;72;70;69;67},0))</f>
        <v>#REF!</v>
      </c>
      <c r="Q45" s="334" t="e">
        <f t="array" aca="1" ref="Q45:Q60" ca="1">INDEX([0]!drift_percent_10m,,2+MATCH(lower_bd_perc,{90;82;77;74;72;70;69;67},0))</f>
        <v>#REF!</v>
      </c>
    </row>
    <row r="46" spans="1:17" ht="15" x14ac:dyDescent="0.25">
      <c r="A46" s="64" t="s">
        <v>168</v>
      </c>
      <c r="B46" s="64">
        <v>10</v>
      </c>
      <c r="C46" s="336">
        <v>5.7999999999999996E-3</v>
      </c>
      <c r="D46" s="347">
        <v>4.7999999999999996E-3</v>
      </c>
      <c r="E46" s="347">
        <v>4.0000000000000001E-3</v>
      </c>
      <c r="F46" s="347">
        <v>3.8E-3</v>
      </c>
      <c r="G46" s="347">
        <v>3.5999999999999999E-3</v>
      </c>
      <c r="H46" s="347">
        <v>3.4000000000000002E-3</v>
      </c>
      <c r="I46" s="347">
        <v>3.4000000000000002E-3</v>
      </c>
      <c r="J46" s="347">
        <v>3.2000000000000002E-3</v>
      </c>
      <c r="K46" s="341">
        <v>3.2000000000000002E-3</v>
      </c>
      <c r="L46" s="341">
        <v>3.2000000000000002E-3</v>
      </c>
      <c r="M46" s="341">
        <v>3.2000000000000002E-3</v>
      </c>
      <c r="N46" s="338">
        <v>3.2000000000000002E-3</v>
      </c>
      <c r="O46" s="342" t="e">
        <f t="array" aca="1" ref="O46" ca="1">TREND(P46:Q46,upplow_bd_perc,MAF_crit_perc)</f>
        <v>#VALUE!</v>
      </c>
      <c r="P46" s="336" t="e">
        <f ca="1"/>
        <v>#REF!</v>
      </c>
      <c r="Q46" s="338" t="e">
        <f ca="1"/>
        <v>#REF!</v>
      </c>
    </row>
    <row r="47" spans="1:17" ht="15" x14ac:dyDescent="0.25">
      <c r="A47" s="64" t="s">
        <v>169</v>
      </c>
      <c r="B47" s="64">
        <v>10</v>
      </c>
      <c r="C47" s="336">
        <v>5.0000000000000001E-4</v>
      </c>
      <c r="D47" s="347">
        <v>4.0000000000000002E-4</v>
      </c>
      <c r="E47" s="347">
        <v>4.0000000000000002E-4</v>
      </c>
      <c r="F47" s="347">
        <v>2.9999999999999997E-4</v>
      </c>
      <c r="G47" s="347">
        <v>2.9999999999999997E-4</v>
      </c>
      <c r="H47" s="347">
        <v>2.9999999999999997E-4</v>
      </c>
      <c r="I47" s="347">
        <v>2.9999999999999997E-4</v>
      </c>
      <c r="J47" s="347">
        <v>2.0000000000000001E-4</v>
      </c>
      <c r="K47" s="341">
        <v>2.0000000000000001E-4</v>
      </c>
      <c r="L47" s="341">
        <v>2.0000000000000001E-4</v>
      </c>
      <c r="M47" s="341">
        <v>2.0000000000000001E-4</v>
      </c>
      <c r="N47" s="338">
        <v>2.0000000000000001E-4</v>
      </c>
      <c r="O47" s="342" t="e">
        <f t="array" aca="1" ref="O47" ca="1">TREND(P47:Q47,upplow_bd_perc,MAF_crit_perc)</f>
        <v>#VALUE!</v>
      </c>
      <c r="P47" s="336" t="e">
        <f ca="1"/>
        <v>#REF!</v>
      </c>
      <c r="Q47" s="338" t="e">
        <f ca="1"/>
        <v>#REF!</v>
      </c>
    </row>
    <row r="48" spans="1:17" ht="15" x14ac:dyDescent="0.25">
      <c r="A48" s="64" t="s">
        <v>170</v>
      </c>
      <c r="B48" s="64">
        <v>10</v>
      </c>
      <c r="C48" s="336">
        <v>1.23E-2</v>
      </c>
      <c r="D48" s="347">
        <v>1.0700000000000001E-2</v>
      </c>
      <c r="E48" s="347">
        <v>1.0200000000000001E-2</v>
      </c>
      <c r="F48" s="347">
        <v>9.8999999999999991E-3</v>
      </c>
      <c r="G48" s="347">
        <v>9.7999999999999997E-3</v>
      </c>
      <c r="H48" s="347">
        <v>9.4999999999999998E-3</v>
      </c>
      <c r="I48" s="347">
        <v>9.3999999999999986E-3</v>
      </c>
      <c r="J48" s="347">
        <v>9.300000000000001E-3</v>
      </c>
      <c r="K48" s="341">
        <v>9.300000000000001E-3</v>
      </c>
      <c r="L48" s="341">
        <v>9.300000000000001E-3</v>
      </c>
      <c r="M48" s="341">
        <v>9.300000000000001E-3</v>
      </c>
      <c r="N48" s="338">
        <v>9.300000000000001E-3</v>
      </c>
      <c r="O48" s="342" t="e">
        <f t="array" aca="1" ref="O48" ca="1">TREND(P48:Q48,upplow_bd_perc,MAF_crit_perc)</f>
        <v>#VALUE!</v>
      </c>
      <c r="P48" s="336" t="e">
        <f ca="1"/>
        <v>#REF!</v>
      </c>
      <c r="Q48" s="338" t="e">
        <f ca="1"/>
        <v>#REF!</v>
      </c>
    </row>
    <row r="49" spans="1:17" ht="15" x14ac:dyDescent="0.25">
      <c r="A49" s="64" t="s">
        <v>171</v>
      </c>
      <c r="B49" s="64">
        <v>10</v>
      </c>
      <c r="C49" s="336">
        <v>0.1181</v>
      </c>
      <c r="D49" s="347">
        <v>9.6099999999999991E-2</v>
      </c>
      <c r="E49" s="347">
        <v>8.9600000000000013E-2</v>
      </c>
      <c r="F49" s="347">
        <v>8.6599999999999996E-2</v>
      </c>
      <c r="G49" s="347">
        <v>8.4199999999999997E-2</v>
      </c>
      <c r="H49" s="347">
        <v>8.0399999999999985E-2</v>
      </c>
      <c r="I49" s="347">
        <v>7.8299999999999995E-2</v>
      </c>
      <c r="J49" s="347">
        <v>7.5800000000000006E-2</v>
      </c>
      <c r="K49" s="341">
        <v>7.5800000000000006E-2</v>
      </c>
      <c r="L49" s="341">
        <v>7.5800000000000006E-2</v>
      </c>
      <c r="M49" s="341">
        <v>7.5800000000000006E-2</v>
      </c>
      <c r="N49" s="338">
        <v>7.5800000000000006E-2</v>
      </c>
      <c r="O49" s="342" t="e">
        <f t="array" aca="1" ref="O49" ca="1">TREND(P49:Q49,upplow_bd_perc,MAF_crit_perc)</f>
        <v>#VALUE!</v>
      </c>
      <c r="P49" s="336" t="e">
        <f ca="1"/>
        <v>#REF!</v>
      </c>
      <c r="Q49" s="338" t="e">
        <f ca="1"/>
        <v>#REF!</v>
      </c>
    </row>
    <row r="50" spans="1:17" ht="15" x14ac:dyDescent="0.25">
      <c r="A50" s="64" t="s">
        <v>172</v>
      </c>
      <c r="B50" s="64">
        <v>10</v>
      </c>
      <c r="C50" s="336">
        <v>3.5999999999999997E-2</v>
      </c>
      <c r="D50" s="347">
        <v>3.1099999999999999E-2</v>
      </c>
      <c r="E50" s="347">
        <v>2.6699999999999998E-2</v>
      </c>
      <c r="F50" s="347">
        <v>2.5000000000000001E-2</v>
      </c>
      <c r="G50" s="347">
        <v>2.4300000000000002E-2</v>
      </c>
      <c r="H50" s="347">
        <v>2.3799999999999998E-2</v>
      </c>
      <c r="I50" s="347">
        <v>2.3300000000000001E-2</v>
      </c>
      <c r="J50" s="347">
        <v>2.29E-2</v>
      </c>
      <c r="K50" s="341">
        <v>2.29E-2</v>
      </c>
      <c r="L50" s="341">
        <v>2.29E-2</v>
      </c>
      <c r="M50" s="341">
        <v>2.29E-2</v>
      </c>
      <c r="N50" s="338">
        <v>2.29E-2</v>
      </c>
      <c r="O50" s="342" t="e">
        <f t="array" aca="1" ref="O50" ca="1">TREND(P50:Q50,upplow_bd_perc,MAF_crit_perc)</f>
        <v>#VALUE!</v>
      </c>
      <c r="P50" s="336" t="e">
        <f ca="1"/>
        <v>#REF!</v>
      </c>
      <c r="Q50" s="338" t="e">
        <f ca="1"/>
        <v>#REF!</v>
      </c>
    </row>
    <row r="51" spans="1:17" ht="15" x14ac:dyDescent="0.25">
      <c r="A51" s="64" t="s">
        <v>173</v>
      </c>
      <c r="B51" s="64">
        <v>10</v>
      </c>
      <c r="C51" s="336">
        <v>5.7700000000000001E-2</v>
      </c>
      <c r="D51" s="347">
        <v>4.1799999999999997E-2</v>
      </c>
      <c r="E51" s="347">
        <v>3.7000000000000005E-2</v>
      </c>
      <c r="F51" s="347">
        <v>3.5499999999999997E-2</v>
      </c>
      <c r="G51" s="347">
        <v>3.3599999999999998E-2</v>
      </c>
      <c r="H51" s="347">
        <v>3.2300000000000002E-2</v>
      </c>
      <c r="I51" s="347">
        <v>3.1300000000000001E-2</v>
      </c>
      <c r="J51" s="347">
        <v>3.0099999999999998E-2</v>
      </c>
      <c r="K51" s="341">
        <v>3.0099999999999998E-2</v>
      </c>
      <c r="L51" s="341">
        <v>3.0099999999999998E-2</v>
      </c>
      <c r="M51" s="341">
        <v>3.0099999999999998E-2</v>
      </c>
      <c r="N51" s="338">
        <v>3.0099999999999998E-2</v>
      </c>
      <c r="O51" s="342" t="e">
        <f t="array" aca="1" ref="O51" ca="1">TREND(P51:Q51,upplow_bd_perc,MAF_crit_perc)</f>
        <v>#VALUE!</v>
      </c>
      <c r="P51" s="336" t="e">
        <f ca="1"/>
        <v>#REF!</v>
      </c>
      <c r="Q51" s="338" t="e">
        <f ca="1"/>
        <v>#REF!</v>
      </c>
    </row>
    <row r="52" spans="1:17" ht="25.5" x14ac:dyDescent="0.25">
      <c r="A52" s="64" t="s">
        <v>174</v>
      </c>
      <c r="B52" s="64">
        <v>10</v>
      </c>
      <c r="C52" s="336">
        <v>2.8999999999999998E-3</v>
      </c>
      <c r="D52" s="347">
        <v>2.3999999999999998E-3</v>
      </c>
      <c r="E52" s="347">
        <v>2E-3</v>
      </c>
      <c r="F52" s="347">
        <v>1.9E-3</v>
      </c>
      <c r="G52" s="347">
        <v>1.8E-3</v>
      </c>
      <c r="H52" s="347">
        <v>1.7000000000000001E-3</v>
      </c>
      <c r="I52" s="347">
        <v>1.7000000000000001E-3</v>
      </c>
      <c r="J52" s="347">
        <v>1.6000000000000001E-3</v>
      </c>
      <c r="K52" s="341">
        <v>1.6000000000000001E-3</v>
      </c>
      <c r="L52" s="341">
        <v>1.6000000000000001E-3</v>
      </c>
      <c r="M52" s="341">
        <v>1.6000000000000001E-3</v>
      </c>
      <c r="N52" s="338">
        <v>1.6000000000000001E-3</v>
      </c>
      <c r="O52" s="342" t="e">
        <f t="array" aca="1" ref="O52" ca="1">TREND(P52:Q52,upplow_bd_perc,MAF_crit_perc)</f>
        <v>#VALUE!</v>
      </c>
      <c r="P52" s="336" t="e">
        <f ca="1"/>
        <v>#REF!</v>
      </c>
      <c r="Q52" s="338" t="e">
        <f ca="1"/>
        <v>#REF!</v>
      </c>
    </row>
    <row r="53" spans="1:17" ht="25.5" x14ac:dyDescent="0.25">
      <c r="A53" s="64" t="s">
        <v>175</v>
      </c>
      <c r="B53" s="64">
        <v>10</v>
      </c>
      <c r="C53" s="336">
        <v>1.23E-2</v>
      </c>
      <c r="D53" s="347">
        <v>1.0700000000000001E-2</v>
      </c>
      <c r="E53" s="347">
        <v>1.0200000000000001E-2</v>
      </c>
      <c r="F53" s="347">
        <v>9.8999999999999991E-3</v>
      </c>
      <c r="G53" s="347">
        <v>9.7999999999999997E-3</v>
      </c>
      <c r="H53" s="347">
        <v>9.4999999999999998E-3</v>
      </c>
      <c r="I53" s="347">
        <v>9.3999999999999986E-3</v>
      </c>
      <c r="J53" s="347">
        <v>9.300000000000001E-3</v>
      </c>
      <c r="K53" s="341">
        <v>9.300000000000001E-3</v>
      </c>
      <c r="L53" s="341">
        <v>9.300000000000001E-3</v>
      </c>
      <c r="M53" s="341">
        <v>9.300000000000001E-3</v>
      </c>
      <c r="N53" s="338">
        <v>9.300000000000001E-3</v>
      </c>
      <c r="O53" s="342" t="e">
        <f t="array" aca="1" ref="O53" ca="1">TREND(P53:Q53,upplow_bd_perc,MAF_crit_perc)</f>
        <v>#VALUE!</v>
      </c>
      <c r="P53" s="336" t="e">
        <f ca="1"/>
        <v>#REF!</v>
      </c>
      <c r="Q53" s="338" t="e">
        <f ca="1"/>
        <v>#REF!</v>
      </c>
    </row>
    <row r="54" spans="1:17" ht="25.5" x14ac:dyDescent="0.25">
      <c r="A54" s="64" t="s">
        <v>176</v>
      </c>
      <c r="B54" s="64">
        <v>10</v>
      </c>
      <c r="C54" s="336">
        <v>0</v>
      </c>
      <c r="D54" s="341">
        <v>0</v>
      </c>
      <c r="E54" s="341">
        <v>0</v>
      </c>
      <c r="F54" s="341">
        <v>0</v>
      </c>
      <c r="G54" s="341">
        <v>0</v>
      </c>
      <c r="H54" s="341">
        <v>0</v>
      </c>
      <c r="I54" s="341">
        <v>0</v>
      </c>
      <c r="J54" s="341">
        <v>0</v>
      </c>
      <c r="K54" s="341">
        <v>0</v>
      </c>
      <c r="L54" s="341">
        <v>0</v>
      </c>
      <c r="M54" s="341">
        <v>0</v>
      </c>
      <c r="N54" s="338">
        <v>0</v>
      </c>
      <c r="O54" s="342" t="e">
        <f t="array" aca="1" ref="O54" ca="1">TREND(P54:Q54,upplow_bd_perc,MAF_crit_perc)</f>
        <v>#VALUE!</v>
      </c>
      <c r="P54" s="336" t="e">
        <f ca="1"/>
        <v>#REF!</v>
      </c>
      <c r="Q54" s="338" t="e">
        <f ca="1"/>
        <v>#REF!</v>
      </c>
    </row>
    <row r="55" spans="1:17" ht="15" x14ac:dyDescent="0.25">
      <c r="A55" s="64" t="s">
        <v>177</v>
      </c>
      <c r="B55" s="64">
        <v>10</v>
      </c>
      <c r="C55" s="336">
        <v>5.0000000000000002E-5</v>
      </c>
      <c r="D55" s="347">
        <v>3.0000000000000001E-5</v>
      </c>
      <c r="E55" s="347">
        <v>2.0000000000000002E-5</v>
      </c>
      <c r="F55" s="347">
        <v>2.0000000000000002E-5</v>
      </c>
      <c r="G55" s="347">
        <v>2.0000000000000002E-5</v>
      </c>
      <c r="H55" s="347">
        <v>2.0000000000000002E-5</v>
      </c>
      <c r="I55" s="347">
        <v>2.0000000000000002E-5</v>
      </c>
      <c r="J55" s="347">
        <v>1.0000000000000001E-5</v>
      </c>
      <c r="K55" s="341">
        <v>1.0000000000000001E-5</v>
      </c>
      <c r="L55" s="341">
        <v>1.0000000000000001E-5</v>
      </c>
      <c r="M55" s="341">
        <v>1.0000000000000001E-5</v>
      </c>
      <c r="N55" s="338">
        <v>1.0000000000000001E-5</v>
      </c>
      <c r="O55" s="342" t="e">
        <f t="array" aca="1" ref="O55" ca="1">TREND(P55:Q55,upplow_bd_perc,MAF_crit_perc)</f>
        <v>#VALUE!</v>
      </c>
      <c r="P55" s="336" t="e">
        <f ca="1"/>
        <v>#REF!</v>
      </c>
      <c r="Q55" s="338" t="e">
        <f ca="1"/>
        <v>#REF!</v>
      </c>
    </row>
    <row r="56" spans="1:17" ht="15" x14ac:dyDescent="0.25">
      <c r="A56" s="64" t="s">
        <v>178</v>
      </c>
      <c r="B56" s="64">
        <v>10</v>
      </c>
      <c r="C56" s="336">
        <v>2.9999999999999997E-4</v>
      </c>
      <c r="D56" s="347">
        <v>2.0000000000000001E-4</v>
      </c>
      <c r="E56" s="347">
        <v>2.0000000000000001E-4</v>
      </c>
      <c r="F56" s="347">
        <v>2.0000000000000001E-4</v>
      </c>
      <c r="G56" s="347">
        <v>2.0000000000000001E-4</v>
      </c>
      <c r="H56" s="347">
        <v>1.4000000000000001E-4</v>
      </c>
      <c r="I56" s="347">
        <v>1.4000000000000001E-4</v>
      </c>
      <c r="J56" s="347">
        <v>1.2999999999999999E-4</v>
      </c>
      <c r="K56" s="341">
        <v>1.2999999999999999E-4</v>
      </c>
      <c r="L56" s="341">
        <v>1.2999999999999999E-4</v>
      </c>
      <c r="M56" s="341">
        <v>1.2999999999999999E-4</v>
      </c>
      <c r="N56" s="338">
        <v>1.2999999999999999E-4</v>
      </c>
      <c r="O56" s="343" t="e">
        <f t="array" aca="1" ref="O56" ca="1">TREND(P56:Q56,upplow_bd_perc,MAF_crit_perc)</f>
        <v>#VALUE!</v>
      </c>
      <c r="P56" s="336" t="e">
        <f ca="1"/>
        <v>#REF!</v>
      </c>
      <c r="Q56" s="338" t="e">
        <f ca="1"/>
        <v>#REF!</v>
      </c>
    </row>
    <row r="57" spans="1:17" ht="15" x14ac:dyDescent="0.25">
      <c r="A57" s="64" t="s">
        <v>179</v>
      </c>
      <c r="B57" s="64">
        <v>10</v>
      </c>
      <c r="C57" s="336">
        <v>3.7000000000000002E-3</v>
      </c>
      <c r="D57" s="347">
        <v>2.2000000000000001E-3</v>
      </c>
      <c r="E57" s="347">
        <v>1.7000000000000001E-3</v>
      </c>
      <c r="F57" s="347">
        <v>1.6000000000000001E-3</v>
      </c>
      <c r="G57" s="347">
        <v>1.5E-3</v>
      </c>
      <c r="H57" s="347">
        <v>1.4000000000000002E-3</v>
      </c>
      <c r="I57" s="347">
        <v>1.2999999999999999E-3</v>
      </c>
      <c r="J57" s="347">
        <v>1.2999999999999999E-3</v>
      </c>
      <c r="K57" s="341">
        <v>1.2999999999999999E-3</v>
      </c>
      <c r="L57" s="341">
        <v>1.2999999999999999E-3</v>
      </c>
      <c r="M57" s="341">
        <v>1.2999999999999999E-3</v>
      </c>
      <c r="N57" s="338">
        <v>1.2999999999999999E-3</v>
      </c>
      <c r="O57" s="342" t="e">
        <f t="array" aca="1" ref="O57" ca="1">TREND(P57:Q57,upplow_bd_perc,MAF_crit_perc)</f>
        <v>#VALUE!</v>
      </c>
      <c r="P57" s="336" t="e">
        <f ca="1"/>
        <v>#REF!</v>
      </c>
      <c r="Q57" s="338" t="e">
        <f ca="1"/>
        <v>#REF!</v>
      </c>
    </row>
    <row r="58" spans="1:17" ht="15" x14ac:dyDescent="0.25">
      <c r="A58" s="64" t="s">
        <v>180</v>
      </c>
      <c r="B58" s="64">
        <v>10</v>
      </c>
      <c r="C58" s="336">
        <v>1.47E-2</v>
      </c>
      <c r="D58" s="347">
        <v>9.7000000000000003E-3</v>
      </c>
      <c r="E58" s="347">
        <v>7.4999999999999997E-3</v>
      </c>
      <c r="F58" s="347">
        <v>6.4000000000000003E-3</v>
      </c>
      <c r="G58" s="347">
        <v>5.6000000000000008E-3</v>
      </c>
      <c r="H58" s="347">
        <v>5.0000000000000001E-3</v>
      </c>
      <c r="I58" s="347">
        <v>4.5999999999999999E-3</v>
      </c>
      <c r="J58" s="347">
        <v>4.3E-3</v>
      </c>
      <c r="K58" s="341">
        <v>4.3E-3</v>
      </c>
      <c r="L58" s="341">
        <v>4.3E-3</v>
      </c>
      <c r="M58" s="341">
        <v>4.3E-3</v>
      </c>
      <c r="N58" s="338">
        <v>4.3E-3</v>
      </c>
      <c r="O58" s="342" t="e">
        <f t="array" aca="1" ref="O58" ca="1">TREND(P58:Q58,upplow_bd_perc,MAF_crit_perc)</f>
        <v>#VALUE!</v>
      </c>
      <c r="P58" s="336" t="e">
        <f ca="1"/>
        <v>#REF!</v>
      </c>
      <c r="Q58" s="338" t="e">
        <f ca="1"/>
        <v>#REF!</v>
      </c>
    </row>
    <row r="59" spans="1:17" ht="15" x14ac:dyDescent="0.25">
      <c r="A59" s="64" t="s">
        <v>181</v>
      </c>
      <c r="B59" s="64">
        <v>10</v>
      </c>
      <c r="C59" s="336">
        <v>1E-3</v>
      </c>
      <c r="D59" s="347">
        <v>5.9999999999999995E-4</v>
      </c>
      <c r="E59" s="347">
        <v>5.0000000000000001E-4</v>
      </c>
      <c r="F59" s="347">
        <v>4.0000000000000002E-4</v>
      </c>
      <c r="G59" s="347">
        <v>4.0000000000000002E-4</v>
      </c>
      <c r="H59" s="347">
        <v>2.9999999999999997E-4</v>
      </c>
      <c r="I59" s="347">
        <v>2.9999999999999997E-4</v>
      </c>
      <c r="J59" s="347">
        <v>2.9999999999999997E-4</v>
      </c>
      <c r="K59" s="341">
        <v>2.9999999999999997E-4</v>
      </c>
      <c r="L59" s="341">
        <v>2.9999999999999997E-4</v>
      </c>
      <c r="M59" s="341">
        <v>2.9999999999999997E-4</v>
      </c>
      <c r="N59" s="338">
        <v>2.9999999999999997E-4</v>
      </c>
      <c r="O59" s="342" t="e">
        <f t="array" aca="1" ref="O59" ca="1">TREND(P59:Q59,upplow_bd_perc,MAF_crit_perc)</f>
        <v>#VALUE!</v>
      </c>
      <c r="P59" s="336" t="e">
        <f ca="1"/>
        <v>#REF!</v>
      </c>
      <c r="Q59" s="338" t="e">
        <f ca="1"/>
        <v>#REF!</v>
      </c>
    </row>
    <row r="60" spans="1:17" ht="15" x14ac:dyDescent="0.25">
      <c r="A60" s="344" t="s">
        <v>182</v>
      </c>
      <c r="B60" s="344">
        <v>10</v>
      </c>
      <c r="C60" s="337">
        <v>0</v>
      </c>
      <c r="D60" s="345">
        <v>0</v>
      </c>
      <c r="E60" s="345">
        <v>0</v>
      </c>
      <c r="F60" s="345">
        <v>0</v>
      </c>
      <c r="G60" s="345">
        <v>0</v>
      </c>
      <c r="H60" s="345">
        <v>0</v>
      </c>
      <c r="I60" s="345">
        <v>0</v>
      </c>
      <c r="J60" s="345">
        <v>0</v>
      </c>
      <c r="K60" s="345">
        <v>0</v>
      </c>
      <c r="L60" s="345">
        <v>0</v>
      </c>
      <c r="M60" s="345">
        <v>0</v>
      </c>
      <c r="N60" s="339">
        <v>0</v>
      </c>
      <c r="O60" s="346" t="e">
        <f t="array" aca="1" ref="O60" ca="1">TREND(P60:Q60,upplow_bd_perc,MAF_crit_perc)</f>
        <v>#VALUE!</v>
      </c>
      <c r="P60" s="337" t="e">
        <f ca="1"/>
        <v>#REF!</v>
      </c>
      <c r="Q60" s="339" t="e">
        <f ca="1"/>
        <v>#REF!</v>
      </c>
    </row>
    <row r="61" spans="1:17" ht="15" x14ac:dyDescent="0.25">
      <c r="A61" s="331" t="s">
        <v>167</v>
      </c>
      <c r="B61" s="331">
        <v>15</v>
      </c>
      <c r="C61" s="332">
        <v>2E-3</v>
      </c>
      <c r="D61" s="348">
        <v>1.6000000000000001E-3</v>
      </c>
      <c r="E61" s="348">
        <v>1.4000000000000002E-3</v>
      </c>
      <c r="F61" s="348">
        <v>1.2999999999999999E-3</v>
      </c>
      <c r="G61" s="348">
        <v>1.1999999999999999E-3</v>
      </c>
      <c r="H61" s="348">
        <v>1.1000000000000001E-3</v>
      </c>
      <c r="I61" s="348">
        <v>1.1000000000000001E-3</v>
      </c>
      <c r="J61" s="348">
        <v>1.1000000000000001E-3</v>
      </c>
      <c r="K61" s="333">
        <v>1.1000000000000001E-3</v>
      </c>
      <c r="L61" s="333">
        <v>1.1000000000000001E-3</v>
      </c>
      <c r="M61" s="333">
        <v>1.1000000000000001E-3</v>
      </c>
      <c r="N61" s="334">
        <v>1.1000000000000001E-3</v>
      </c>
      <c r="O61" s="335" t="e">
        <f t="array" aca="1" ref="O61" ca="1">TREND(P61:Q61,upplow_bd_perc,MAF_crit_perc)</f>
        <v>#VALUE!</v>
      </c>
      <c r="P61" s="332" t="e">
        <f t="array" aca="1" ref="P61:P76" ca="1">INDEX([0]!drift_percent_15m,,2+MATCH(upper_bd_perc,{90;82;77;74;72;70;69;67},0))</f>
        <v>#REF!</v>
      </c>
      <c r="Q61" s="334" t="e">
        <f t="array" aca="1" ref="Q61:Q76" ca="1">INDEX([0]!drift_percent_15m,,2+MATCH(lower_bd_perc,{90;82;77;74;72;70;69;67},0))</f>
        <v>#REF!</v>
      </c>
    </row>
    <row r="62" spans="1:17" ht="15" x14ac:dyDescent="0.25">
      <c r="A62" s="64" t="s">
        <v>168</v>
      </c>
      <c r="B62" s="64">
        <v>15</v>
      </c>
      <c r="C62" s="336">
        <v>4.0000000000000001E-3</v>
      </c>
      <c r="D62" s="347">
        <v>3.2000000000000002E-3</v>
      </c>
      <c r="E62" s="347">
        <v>2.8000000000000004E-3</v>
      </c>
      <c r="F62" s="347">
        <v>2.5999999999999999E-3</v>
      </c>
      <c r="G62" s="347">
        <v>2.3999999999999998E-3</v>
      </c>
      <c r="H62" s="347">
        <v>2.2000000000000001E-3</v>
      </c>
      <c r="I62" s="347">
        <v>2.2000000000000001E-3</v>
      </c>
      <c r="J62" s="347">
        <v>2.2000000000000001E-3</v>
      </c>
      <c r="K62" s="341">
        <v>2.2000000000000001E-3</v>
      </c>
      <c r="L62" s="341">
        <v>2.2000000000000001E-3</v>
      </c>
      <c r="M62" s="341">
        <v>2.2000000000000001E-3</v>
      </c>
      <c r="N62" s="338">
        <v>2.2000000000000001E-3</v>
      </c>
      <c r="O62" s="342" t="e">
        <f t="array" aca="1" ref="O62" ca="1">TREND(P62:Q62,upplow_bd_perc,MAF_crit_perc)</f>
        <v>#VALUE!</v>
      </c>
      <c r="P62" s="336" t="e">
        <f ca="1"/>
        <v>#REF!</v>
      </c>
      <c r="Q62" s="338" t="e">
        <f ca="1"/>
        <v>#REF!</v>
      </c>
    </row>
    <row r="63" spans="1:17" ht="15" x14ac:dyDescent="0.25">
      <c r="A63" s="64" t="s">
        <v>169</v>
      </c>
      <c r="B63" s="64">
        <v>15</v>
      </c>
      <c r="C63" s="336">
        <v>2.0000000000000001E-4</v>
      </c>
      <c r="D63" s="347">
        <v>2.0000000000000001E-4</v>
      </c>
      <c r="E63" s="347">
        <v>2.0000000000000001E-4</v>
      </c>
      <c r="F63" s="347">
        <v>2.0000000000000001E-4</v>
      </c>
      <c r="G63" s="347">
        <v>1E-4</v>
      </c>
      <c r="H63" s="347">
        <v>1E-4</v>
      </c>
      <c r="I63" s="347">
        <v>1E-4</v>
      </c>
      <c r="J63" s="347">
        <v>1E-4</v>
      </c>
      <c r="K63" s="341">
        <v>1E-4</v>
      </c>
      <c r="L63" s="341">
        <v>1E-4</v>
      </c>
      <c r="M63" s="341">
        <v>1E-4</v>
      </c>
      <c r="N63" s="338">
        <v>1E-4</v>
      </c>
      <c r="O63" s="342" t="e">
        <f t="array" aca="1" ref="O63" ca="1">TREND(P63:Q63,upplow_bd_perc,MAF_crit_perc)</f>
        <v>#VALUE!</v>
      </c>
      <c r="P63" s="336" t="e">
        <f ca="1"/>
        <v>#REF!</v>
      </c>
      <c r="Q63" s="338" t="e">
        <f ca="1"/>
        <v>#REF!</v>
      </c>
    </row>
    <row r="64" spans="1:17" ht="15" x14ac:dyDescent="0.25">
      <c r="A64" s="64" t="s">
        <v>170</v>
      </c>
      <c r="B64" s="64">
        <v>15</v>
      </c>
      <c r="C64" s="336">
        <v>6.4999999999999997E-3</v>
      </c>
      <c r="D64" s="347">
        <v>5.6000000000000008E-3</v>
      </c>
      <c r="E64" s="347">
        <v>5.4000000000000003E-3</v>
      </c>
      <c r="F64" s="347">
        <v>5.1999999999999998E-3</v>
      </c>
      <c r="G64" s="347">
        <v>5.1000000000000004E-3</v>
      </c>
      <c r="H64" s="347">
        <v>5.0000000000000001E-3</v>
      </c>
      <c r="I64" s="347">
        <v>4.8999999999999998E-3</v>
      </c>
      <c r="J64" s="347">
        <v>4.8999999999999998E-3</v>
      </c>
      <c r="K64" s="341">
        <v>4.8999999999999998E-3</v>
      </c>
      <c r="L64" s="341">
        <v>4.8999999999999998E-3</v>
      </c>
      <c r="M64" s="341">
        <v>4.8999999999999998E-3</v>
      </c>
      <c r="N64" s="338">
        <v>4.8999999999999998E-3</v>
      </c>
      <c r="O64" s="342" t="e">
        <f t="array" aca="1" ref="O64" ca="1">TREND(P64:Q64,upplow_bd_perc,MAF_crit_perc)</f>
        <v>#VALUE!</v>
      </c>
      <c r="P64" s="336" t="e">
        <f ca="1"/>
        <v>#REF!</v>
      </c>
      <c r="Q64" s="338" t="e">
        <f ca="1"/>
        <v>#REF!</v>
      </c>
    </row>
    <row r="65" spans="1:17" ht="15" x14ac:dyDescent="0.25">
      <c r="A65" s="64" t="s">
        <v>171</v>
      </c>
      <c r="B65" s="64">
        <v>15</v>
      </c>
      <c r="C65" s="336">
        <v>5.5500000000000001E-2</v>
      </c>
      <c r="D65" s="347">
        <v>5.6100000000000004E-2</v>
      </c>
      <c r="E65" s="347">
        <v>5.2300000000000006E-2</v>
      </c>
      <c r="F65" s="347">
        <v>4.9100000000000005E-2</v>
      </c>
      <c r="G65" s="347">
        <v>4.6100000000000002E-2</v>
      </c>
      <c r="H65" s="347">
        <v>4.5100000000000001E-2</v>
      </c>
      <c r="I65" s="347">
        <v>4.4000000000000004E-2</v>
      </c>
      <c r="J65" s="347">
        <v>4.2099999999999999E-2</v>
      </c>
      <c r="K65" s="341">
        <v>4.2099999999999999E-2</v>
      </c>
      <c r="L65" s="341">
        <v>4.2099999999999999E-2</v>
      </c>
      <c r="M65" s="341">
        <v>4.2099999999999999E-2</v>
      </c>
      <c r="N65" s="338">
        <v>4.2099999999999999E-2</v>
      </c>
      <c r="O65" s="342" t="e">
        <f t="array" aca="1" ref="O65" ca="1">TREND(P65:Q65,upplow_bd_perc,MAF_crit_perc)</f>
        <v>#VALUE!</v>
      </c>
      <c r="P65" s="336" t="e">
        <f ca="1"/>
        <v>#REF!</v>
      </c>
      <c r="Q65" s="338" t="e">
        <f ca="1"/>
        <v>#REF!</v>
      </c>
    </row>
    <row r="66" spans="1:17" ht="15" x14ac:dyDescent="0.25">
      <c r="A66" s="64" t="s">
        <v>172</v>
      </c>
      <c r="B66" s="64">
        <v>15</v>
      </c>
      <c r="C66" s="336">
        <v>1.8100000000000002E-2</v>
      </c>
      <c r="D66" s="347">
        <v>1.5800000000000002E-2</v>
      </c>
      <c r="E66" s="347">
        <v>1.3899999999999999E-2</v>
      </c>
      <c r="F66" s="347">
        <v>1.2800000000000001E-2</v>
      </c>
      <c r="G66" s="347">
        <v>1.24E-2</v>
      </c>
      <c r="H66" s="347">
        <v>1.2E-2</v>
      </c>
      <c r="I66" s="347">
        <v>1.2E-2</v>
      </c>
      <c r="J66" s="347">
        <v>1.1399999999999999E-2</v>
      </c>
      <c r="K66" s="341">
        <v>1.1399999999999999E-2</v>
      </c>
      <c r="L66" s="341">
        <v>1.1399999999999999E-2</v>
      </c>
      <c r="M66" s="341">
        <v>1.1399999999999999E-2</v>
      </c>
      <c r="N66" s="338">
        <v>1.1399999999999999E-2</v>
      </c>
      <c r="O66" s="342" t="e">
        <f t="array" aca="1" ref="O66" ca="1">TREND(P66:Q66,upplow_bd_perc,MAF_crit_perc)</f>
        <v>#VALUE!</v>
      </c>
      <c r="P66" s="336" t="e">
        <f ca="1"/>
        <v>#REF!</v>
      </c>
      <c r="Q66" s="338" t="e">
        <f ca="1"/>
        <v>#REF!</v>
      </c>
    </row>
    <row r="67" spans="1:17" ht="15" x14ac:dyDescent="0.25">
      <c r="A67" s="64" t="s">
        <v>173</v>
      </c>
      <c r="B67" s="64">
        <v>15</v>
      </c>
      <c r="C67" s="336">
        <v>3.8399999999999997E-2</v>
      </c>
      <c r="D67" s="347">
        <v>2.5699999999999997E-2</v>
      </c>
      <c r="E67" s="347">
        <v>2.2599999999999999E-2</v>
      </c>
      <c r="F67" s="347">
        <v>2.1700000000000001E-2</v>
      </c>
      <c r="G67" s="347">
        <v>2.0299999999999999E-2</v>
      </c>
      <c r="H67" s="347">
        <v>1.9299999999999998E-2</v>
      </c>
      <c r="I67" s="347">
        <v>1.8600000000000002E-2</v>
      </c>
      <c r="J67" s="347">
        <v>1.8200000000000001E-2</v>
      </c>
      <c r="K67" s="341">
        <v>1.8200000000000001E-2</v>
      </c>
      <c r="L67" s="341">
        <v>1.8200000000000001E-2</v>
      </c>
      <c r="M67" s="341">
        <v>1.8200000000000001E-2</v>
      </c>
      <c r="N67" s="338">
        <v>1.8200000000000001E-2</v>
      </c>
      <c r="O67" s="342" t="e">
        <f t="array" aca="1" ref="O67" ca="1">TREND(P67:Q67,upplow_bd_perc,MAF_crit_perc)</f>
        <v>#VALUE!</v>
      </c>
      <c r="P67" s="336" t="e">
        <f ca="1"/>
        <v>#REF!</v>
      </c>
      <c r="Q67" s="338" t="e">
        <f ca="1"/>
        <v>#REF!</v>
      </c>
    </row>
    <row r="68" spans="1:17" ht="25.5" x14ac:dyDescent="0.25">
      <c r="A68" s="64" t="s">
        <v>174</v>
      </c>
      <c r="B68" s="64">
        <v>15</v>
      </c>
      <c r="C68" s="336">
        <v>2E-3</v>
      </c>
      <c r="D68" s="347">
        <v>1.6000000000000001E-3</v>
      </c>
      <c r="E68" s="347">
        <v>1.4000000000000002E-3</v>
      </c>
      <c r="F68" s="347">
        <v>1.2999999999999999E-3</v>
      </c>
      <c r="G68" s="347">
        <v>1.1999999999999999E-3</v>
      </c>
      <c r="H68" s="347">
        <v>1.1000000000000001E-3</v>
      </c>
      <c r="I68" s="347">
        <v>1.1000000000000001E-3</v>
      </c>
      <c r="J68" s="347">
        <v>1.1000000000000001E-3</v>
      </c>
      <c r="K68" s="341">
        <v>1.1000000000000001E-3</v>
      </c>
      <c r="L68" s="341">
        <v>1.1000000000000001E-3</v>
      </c>
      <c r="M68" s="341">
        <v>1.1000000000000001E-3</v>
      </c>
      <c r="N68" s="338">
        <v>1.1000000000000001E-3</v>
      </c>
      <c r="O68" s="342" t="e">
        <f t="array" aca="1" ref="O68" ca="1">TREND(P68:Q68,upplow_bd_perc,MAF_crit_perc)</f>
        <v>#VALUE!</v>
      </c>
      <c r="P68" s="336" t="e">
        <f ca="1"/>
        <v>#REF!</v>
      </c>
      <c r="Q68" s="338" t="e">
        <f ca="1"/>
        <v>#REF!</v>
      </c>
    </row>
    <row r="69" spans="1:17" ht="25.5" x14ac:dyDescent="0.25">
      <c r="A69" s="64" t="s">
        <v>175</v>
      </c>
      <c r="B69" s="64">
        <v>15</v>
      </c>
      <c r="C69" s="336">
        <v>6.4999999999999997E-3</v>
      </c>
      <c r="D69" s="347">
        <v>5.6000000000000008E-3</v>
      </c>
      <c r="E69" s="347">
        <v>5.4000000000000003E-3</v>
      </c>
      <c r="F69" s="347">
        <v>5.1999999999999998E-3</v>
      </c>
      <c r="G69" s="347">
        <v>5.1000000000000004E-3</v>
      </c>
      <c r="H69" s="347">
        <v>5.0000000000000001E-3</v>
      </c>
      <c r="I69" s="347">
        <v>4.8999999999999998E-3</v>
      </c>
      <c r="J69" s="347">
        <v>4.8999999999999998E-3</v>
      </c>
      <c r="K69" s="341">
        <v>4.8999999999999998E-3</v>
      </c>
      <c r="L69" s="341">
        <v>4.8999999999999998E-3</v>
      </c>
      <c r="M69" s="341">
        <v>4.8999999999999998E-3</v>
      </c>
      <c r="N69" s="338">
        <v>4.8999999999999998E-3</v>
      </c>
      <c r="O69" s="342" t="e">
        <f t="array" aca="1" ref="O69" ca="1">TREND(P69:Q69,upplow_bd_perc,MAF_crit_perc)</f>
        <v>#VALUE!</v>
      </c>
      <c r="P69" s="336" t="e">
        <f ca="1"/>
        <v>#REF!</v>
      </c>
      <c r="Q69" s="338" t="e">
        <f ca="1"/>
        <v>#REF!</v>
      </c>
    </row>
    <row r="70" spans="1:17" ht="25.5" x14ac:dyDescent="0.25">
      <c r="A70" s="64" t="s">
        <v>176</v>
      </c>
      <c r="B70" s="64">
        <v>15</v>
      </c>
      <c r="C70" s="336">
        <v>0</v>
      </c>
      <c r="D70" s="341">
        <v>0</v>
      </c>
      <c r="E70" s="341">
        <v>0</v>
      </c>
      <c r="F70" s="341">
        <v>0</v>
      </c>
      <c r="G70" s="341">
        <v>0</v>
      </c>
      <c r="H70" s="341">
        <v>0</v>
      </c>
      <c r="I70" s="341">
        <v>0</v>
      </c>
      <c r="J70" s="341">
        <v>0</v>
      </c>
      <c r="K70" s="341">
        <v>0</v>
      </c>
      <c r="L70" s="341">
        <v>0</v>
      </c>
      <c r="M70" s="341">
        <v>0</v>
      </c>
      <c r="N70" s="338">
        <v>0</v>
      </c>
      <c r="O70" s="342" t="e">
        <f t="array" aca="1" ref="O70" ca="1">TREND(P70:Q70,upplow_bd_perc,MAF_crit_perc)</f>
        <v>#VALUE!</v>
      </c>
      <c r="P70" s="336" t="e">
        <f ca="1"/>
        <v>#REF!</v>
      </c>
      <c r="Q70" s="338" t="e">
        <f ca="1"/>
        <v>#REF!</v>
      </c>
    </row>
    <row r="71" spans="1:17" ht="15" x14ac:dyDescent="0.25">
      <c r="A71" s="64" t="s">
        <v>177</v>
      </c>
      <c r="B71" s="64">
        <v>15</v>
      </c>
      <c r="C71" s="336">
        <v>2.0000000000000002E-5</v>
      </c>
      <c r="D71" s="347">
        <v>1.0000000000000001E-5</v>
      </c>
      <c r="E71" s="347">
        <v>1.0000000000000001E-5</v>
      </c>
      <c r="F71" s="347">
        <v>1.0000000000000001E-5</v>
      </c>
      <c r="G71" s="347">
        <v>1.0000000000000001E-5</v>
      </c>
      <c r="H71" s="347">
        <v>1.0000000000000001E-5</v>
      </c>
      <c r="I71" s="347">
        <v>1.0000000000000001E-5</v>
      </c>
      <c r="J71" s="347">
        <v>1.0000000000000001E-5</v>
      </c>
      <c r="K71" s="341">
        <v>1.0000000000000001E-5</v>
      </c>
      <c r="L71" s="341">
        <v>1.0000000000000001E-5</v>
      </c>
      <c r="M71" s="341">
        <v>1.0000000000000001E-5</v>
      </c>
      <c r="N71" s="338">
        <v>1.0000000000000001E-5</v>
      </c>
      <c r="O71" s="343" t="e">
        <f t="array" aca="1" ref="O71" ca="1">TREND(P71:Q71,upplow_bd_perc,MAF_crit_perc)</f>
        <v>#VALUE!</v>
      </c>
      <c r="P71" s="336" t="e">
        <f ca="1"/>
        <v>#REF!</v>
      </c>
      <c r="Q71" s="338" t="e">
        <f ca="1"/>
        <v>#REF!</v>
      </c>
    </row>
    <row r="72" spans="1:17" ht="15" x14ac:dyDescent="0.25">
      <c r="A72" s="64" t="s">
        <v>178</v>
      </c>
      <c r="B72" s="64">
        <v>15</v>
      </c>
      <c r="C72" s="336">
        <v>1E-4</v>
      </c>
      <c r="D72" s="347">
        <v>8.0000000000000007E-5</v>
      </c>
      <c r="E72" s="347">
        <v>6.0000000000000002E-5</v>
      </c>
      <c r="F72" s="347">
        <v>6.0000000000000002E-5</v>
      </c>
      <c r="G72" s="347">
        <v>5.0000000000000002E-5</v>
      </c>
      <c r="H72" s="347">
        <v>5.0000000000000002E-5</v>
      </c>
      <c r="I72" s="347">
        <v>5.0000000000000002E-5</v>
      </c>
      <c r="J72" s="347">
        <v>4.0000000000000003E-5</v>
      </c>
      <c r="K72" s="341">
        <v>4.0000000000000003E-5</v>
      </c>
      <c r="L72" s="341">
        <v>4.0000000000000003E-5</v>
      </c>
      <c r="M72" s="341">
        <v>4.0000000000000003E-5</v>
      </c>
      <c r="N72" s="338">
        <v>4.0000000000000003E-5</v>
      </c>
      <c r="O72" s="343" t="e">
        <f t="array" aca="1" ref="O72" ca="1">TREND(P72:Q72,upplow_bd_perc,MAF_crit_perc)</f>
        <v>#VALUE!</v>
      </c>
      <c r="P72" s="336" t="e">
        <f ca="1"/>
        <v>#REF!</v>
      </c>
      <c r="Q72" s="338" t="e">
        <f ca="1"/>
        <v>#REF!</v>
      </c>
    </row>
    <row r="73" spans="1:17" ht="15" x14ac:dyDescent="0.25">
      <c r="A73" s="64" t="s">
        <v>179</v>
      </c>
      <c r="B73" s="64">
        <v>15</v>
      </c>
      <c r="C73" s="336">
        <v>1.1000000000000001E-3</v>
      </c>
      <c r="D73" s="347">
        <v>5.9999999999999995E-4</v>
      </c>
      <c r="E73" s="347">
        <v>5.0000000000000001E-4</v>
      </c>
      <c r="F73" s="347">
        <v>4.0000000000000002E-4</v>
      </c>
      <c r="G73" s="347">
        <v>4.0000000000000002E-4</v>
      </c>
      <c r="H73" s="347">
        <v>4.0000000000000002E-4</v>
      </c>
      <c r="I73" s="347">
        <v>4.0000000000000002E-4</v>
      </c>
      <c r="J73" s="347">
        <v>2.9999999999999997E-4</v>
      </c>
      <c r="K73" s="341">
        <v>2.9999999999999997E-4</v>
      </c>
      <c r="L73" s="341">
        <v>2.9999999999999997E-4</v>
      </c>
      <c r="M73" s="341">
        <v>2.9999999999999997E-4</v>
      </c>
      <c r="N73" s="338">
        <v>2.9999999999999997E-4</v>
      </c>
      <c r="O73" s="342" t="e">
        <f t="array" aca="1" ref="O73" ca="1">TREND(P73:Q73,upplow_bd_perc,MAF_crit_perc)</f>
        <v>#VALUE!</v>
      </c>
      <c r="P73" s="336" t="e">
        <f ca="1"/>
        <v>#REF!</v>
      </c>
      <c r="Q73" s="338" t="e">
        <f ca="1"/>
        <v>#REF!</v>
      </c>
    </row>
    <row r="74" spans="1:17" ht="15" x14ac:dyDescent="0.25">
      <c r="A74" s="64" t="s">
        <v>180</v>
      </c>
      <c r="B74" s="64">
        <v>15</v>
      </c>
      <c r="C74" s="336">
        <v>4.8999999999999998E-3</v>
      </c>
      <c r="D74" s="347">
        <v>3.2000000000000002E-3</v>
      </c>
      <c r="E74" s="347">
        <v>2.3E-3</v>
      </c>
      <c r="F74" s="347">
        <v>2E-3</v>
      </c>
      <c r="G74" s="347">
        <v>1.7000000000000001E-3</v>
      </c>
      <c r="H74" s="347">
        <v>1.4000000000000002E-3</v>
      </c>
      <c r="I74" s="347">
        <v>1.2999999999999999E-3</v>
      </c>
      <c r="J74" s="347">
        <v>1.1999999999999999E-3</v>
      </c>
      <c r="K74" s="341">
        <v>1.1999999999999999E-3</v>
      </c>
      <c r="L74" s="341">
        <v>1.1999999999999999E-3</v>
      </c>
      <c r="M74" s="341">
        <v>1.1999999999999999E-3</v>
      </c>
      <c r="N74" s="338">
        <v>1.1999999999999999E-3</v>
      </c>
      <c r="O74" s="342" t="e">
        <f t="array" aca="1" ref="O74" ca="1">TREND(P74:Q74,upplow_bd_perc,MAF_crit_perc)</f>
        <v>#VALUE!</v>
      </c>
      <c r="P74" s="336" t="e">
        <f ca="1"/>
        <v>#REF!</v>
      </c>
      <c r="Q74" s="338" t="e">
        <f ca="1"/>
        <v>#REF!</v>
      </c>
    </row>
    <row r="75" spans="1:17" ht="15" x14ac:dyDescent="0.25">
      <c r="A75" s="64" t="s">
        <v>181</v>
      </c>
      <c r="B75" s="64">
        <v>15</v>
      </c>
      <c r="C75" s="336">
        <v>2.9999999999999997E-4</v>
      </c>
      <c r="D75" s="347">
        <v>2.0000000000000001E-4</v>
      </c>
      <c r="E75" s="347">
        <v>1E-4</v>
      </c>
      <c r="F75" s="347">
        <v>1E-4</v>
      </c>
      <c r="G75" s="347">
        <v>1E-4</v>
      </c>
      <c r="H75" s="347">
        <v>1E-4</v>
      </c>
      <c r="I75" s="347">
        <v>1E-4</v>
      </c>
      <c r="J75" s="347">
        <v>1E-4</v>
      </c>
      <c r="K75" s="341">
        <v>1E-4</v>
      </c>
      <c r="L75" s="341">
        <v>1E-4</v>
      </c>
      <c r="M75" s="341">
        <v>1E-4</v>
      </c>
      <c r="N75" s="338">
        <v>1E-4</v>
      </c>
      <c r="O75" s="342" t="e">
        <f t="array" aca="1" ref="O75" ca="1">TREND(P75:Q75,upplow_bd_perc,MAF_crit_perc)</f>
        <v>#VALUE!</v>
      </c>
      <c r="P75" s="336" t="e">
        <f ca="1"/>
        <v>#REF!</v>
      </c>
      <c r="Q75" s="338" t="e">
        <f ca="1"/>
        <v>#REF!</v>
      </c>
    </row>
    <row r="76" spans="1:17" ht="15" x14ac:dyDescent="0.25">
      <c r="A76" s="344" t="s">
        <v>182</v>
      </c>
      <c r="B76" s="344">
        <v>15</v>
      </c>
      <c r="C76" s="337">
        <v>0</v>
      </c>
      <c r="D76" s="345">
        <v>0</v>
      </c>
      <c r="E76" s="345">
        <v>0</v>
      </c>
      <c r="F76" s="345">
        <v>0</v>
      </c>
      <c r="G76" s="345">
        <v>0</v>
      </c>
      <c r="H76" s="345">
        <v>0</v>
      </c>
      <c r="I76" s="345">
        <v>0</v>
      </c>
      <c r="J76" s="345">
        <v>0</v>
      </c>
      <c r="K76" s="345">
        <v>0</v>
      </c>
      <c r="L76" s="345">
        <v>0</v>
      </c>
      <c r="M76" s="345">
        <v>0</v>
      </c>
      <c r="N76" s="339">
        <v>0</v>
      </c>
      <c r="O76" s="346" t="e">
        <f t="array" aca="1" ref="O76" ca="1">TREND(P76:Q76,upplow_bd_perc,MAF_crit_perc)</f>
        <v>#VALUE!</v>
      </c>
      <c r="P76" s="337" t="e">
        <f ca="1"/>
        <v>#REF!</v>
      </c>
      <c r="Q76" s="339" t="e">
        <f ca="1"/>
        <v>#REF!</v>
      </c>
    </row>
    <row r="77" spans="1:17" ht="15" x14ac:dyDescent="0.25">
      <c r="A77" s="331" t="s">
        <v>167</v>
      </c>
      <c r="B77" s="331">
        <v>20</v>
      </c>
      <c r="C77" s="332">
        <v>1.5E-3</v>
      </c>
      <c r="D77" s="348">
        <v>1.1999999999999999E-3</v>
      </c>
      <c r="E77" s="348">
        <v>1E-3</v>
      </c>
      <c r="F77" s="348">
        <v>1E-3</v>
      </c>
      <c r="G77" s="348">
        <v>8.9999999999999998E-4</v>
      </c>
      <c r="H77" s="348">
        <v>8.9999999999999998E-4</v>
      </c>
      <c r="I77" s="348">
        <v>8.0000000000000004E-4</v>
      </c>
      <c r="J77" s="348">
        <v>8.0000000000000004E-4</v>
      </c>
      <c r="K77" s="333">
        <v>8.0000000000000004E-4</v>
      </c>
      <c r="L77" s="333">
        <v>8.0000000000000004E-4</v>
      </c>
      <c r="M77" s="333">
        <v>8.0000000000000004E-4</v>
      </c>
      <c r="N77" s="334">
        <v>8.0000000000000004E-4</v>
      </c>
      <c r="O77" s="335" t="e">
        <f t="array" aca="1" ref="O77" ca="1">TREND(P77:Q77,upplow_bd_perc,MAF_crit_perc)</f>
        <v>#VALUE!</v>
      </c>
      <c r="P77" s="332" t="e">
        <f t="array" aca="1" ref="P77:P92" ca="1">INDEX([0]!drift_percent_20m,,2+MATCH(upper_bd_perc,{90;82;77;74;72;70;69;67},0))</f>
        <v>#REF!</v>
      </c>
      <c r="Q77" s="334" t="e">
        <f t="array" aca="1" ref="Q77:Q92" ca="1">INDEX([0]!drift_percent_20m,,2+MATCH(lower_bd_perc,{90;82;77;74;72;70;69;67},0))</f>
        <v>#REF!</v>
      </c>
    </row>
    <row r="78" spans="1:17" ht="15" x14ac:dyDescent="0.25">
      <c r="A78" s="64" t="s">
        <v>168</v>
      </c>
      <c r="B78" s="64">
        <v>20</v>
      </c>
      <c r="C78" s="336">
        <v>3.0000000000000001E-3</v>
      </c>
      <c r="D78" s="347">
        <v>2.3999999999999998E-3</v>
      </c>
      <c r="E78" s="347">
        <v>2E-3</v>
      </c>
      <c r="F78" s="347">
        <v>2E-3</v>
      </c>
      <c r="G78" s="347">
        <v>1.8E-3</v>
      </c>
      <c r="H78" s="347">
        <v>1.8E-3</v>
      </c>
      <c r="I78" s="347">
        <v>1.6000000000000001E-3</v>
      </c>
      <c r="J78" s="347">
        <v>1.6000000000000001E-3</v>
      </c>
      <c r="K78" s="341">
        <v>1.6000000000000001E-3</v>
      </c>
      <c r="L78" s="341">
        <v>1.6000000000000001E-3</v>
      </c>
      <c r="M78" s="341">
        <v>1.6000000000000001E-3</v>
      </c>
      <c r="N78" s="338">
        <v>1.6000000000000001E-3</v>
      </c>
      <c r="O78" s="342" t="e">
        <f t="array" aca="1" ref="O78" ca="1">TREND(P78:Q78,upplow_bd_perc,MAF_crit_perc)</f>
        <v>#VALUE!</v>
      </c>
      <c r="P78" s="336" t="e">
        <f ca="1"/>
        <v>#REF!</v>
      </c>
      <c r="Q78" s="338" t="e">
        <f ca="1"/>
        <v>#REF!</v>
      </c>
    </row>
    <row r="79" spans="1:17" ht="15" x14ac:dyDescent="0.25">
      <c r="A79" s="64" t="s">
        <v>169</v>
      </c>
      <c r="B79" s="64">
        <v>20</v>
      </c>
      <c r="C79" s="336">
        <v>1.2E-4</v>
      </c>
      <c r="D79" s="347">
        <v>1.0999999999999999E-4</v>
      </c>
      <c r="E79" s="347">
        <v>1E-4</v>
      </c>
      <c r="F79" s="347">
        <v>8.9999999999999992E-5</v>
      </c>
      <c r="G79" s="347">
        <v>8.0000000000000007E-5</v>
      </c>
      <c r="H79" s="347">
        <v>8.0000000000000007E-5</v>
      </c>
      <c r="I79" s="347">
        <v>8.0000000000000007E-5</v>
      </c>
      <c r="J79" s="347">
        <v>7.0000000000000007E-5</v>
      </c>
      <c r="K79" s="341">
        <v>7.0000000000000007E-5</v>
      </c>
      <c r="L79" s="341">
        <v>7.0000000000000007E-5</v>
      </c>
      <c r="M79" s="341">
        <v>7.0000000000000007E-5</v>
      </c>
      <c r="N79" s="338">
        <v>7.0000000000000007E-5</v>
      </c>
      <c r="O79" s="342" t="e">
        <f t="array" aca="1" ref="O79" ca="1">TREND(P79:Q79,upplow_bd_perc,MAF_crit_perc)</f>
        <v>#VALUE!</v>
      </c>
      <c r="P79" s="336" t="e">
        <f ca="1"/>
        <v>#REF!</v>
      </c>
      <c r="Q79" s="338" t="e">
        <f ca="1"/>
        <v>#REF!</v>
      </c>
    </row>
    <row r="80" spans="1:17" ht="15" x14ac:dyDescent="0.25">
      <c r="A80" s="64" t="s">
        <v>170</v>
      </c>
      <c r="B80" s="64">
        <v>20</v>
      </c>
      <c r="C80" s="336">
        <v>4.1999999999999997E-3</v>
      </c>
      <c r="D80" s="347">
        <v>3.5999999999999999E-3</v>
      </c>
      <c r="E80" s="347">
        <v>3.4000000000000002E-3</v>
      </c>
      <c r="F80" s="347">
        <v>3.3E-3</v>
      </c>
      <c r="G80" s="347">
        <v>3.3E-3</v>
      </c>
      <c r="H80" s="347">
        <v>3.2000000000000002E-3</v>
      </c>
      <c r="I80" s="347">
        <v>3.0999999999999999E-3</v>
      </c>
      <c r="J80" s="347">
        <v>3.0999999999999999E-3</v>
      </c>
      <c r="K80" s="341">
        <v>3.0999999999999999E-3</v>
      </c>
      <c r="L80" s="341">
        <v>3.0999999999999999E-3</v>
      </c>
      <c r="M80" s="341">
        <v>3.0999999999999999E-3</v>
      </c>
      <c r="N80" s="338">
        <v>3.0999999999999999E-3</v>
      </c>
      <c r="O80" s="342" t="e">
        <f t="array" aca="1" ref="O80" ca="1">TREND(P80:Q80,upplow_bd_perc,MAF_crit_perc)</f>
        <v>#VALUE!</v>
      </c>
      <c r="P80" s="336" t="e">
        <f ca="1"/>
        <v>#REF!</v>
      </c>
      <c r="Q80" s="338" t="e">
        <f ca="1"/>
        <v>#REF!</v>
      </c>
    </row>
    <row r="81" spans="1:17" ht="15" x14ac:dyDescent="0.25">
      <c r="A81" s="64" t="s">
        <v>171</v>
      </c>
      <c r="B81" s="64">
        <v>20</v>
      </c>
      <c r="C81" s="336">
        <v>2.7699999999999999E-2</v>
      </c>
      <c r="D81" s="347">
        <v>2.5899999999999999E-2</v>
      </c>
      <c r="E81" s="347">
        <v>2.3599999999999999E-2</v>
      </c>
      <c r="F81" s="347">
        <v>2.2099999999999998E-2</v>
      </c>
      <c r="G81" s="347">
        <v>2.0899999999999998E-2</v>
      </c>
      <c r="H81" s="347">
        <v>2.0400000000000001E-2</v>
      </c>
      <c r="I81" s="347">
        <v>1.9900000000000001E-2</v>
      </c>
      <c r="J81" s="347">
        <v>1.9099999999999999E-2</v>
      </c>
      <c r="K81" s="341">
        <v>1.9099999999999999E-2</v>
      </c>
      <c r="L81" s="341">
        <v>1.9099999999999999E-2</v>
      </c>
      <c r="M81" s="341">
        <v>1.9099999999999999E-2</v>
      </c>
      <c r="N81" s="338">
        <v>1.9099999999999999E-2</v>
      </c>
      <c r="O81" s="342" t="e">
        <f t="array" aca="1" ref="O81" ca="1">TREND(P81:Q81,upplow_bd_perc,MAF_crit_perc)</f>
        <v>#VALUE!</v>
      </c>
      <c r="P81" s="336" t="e">
        <f ca="1"/>
        <v>#REF!</v>
      </c>
      <c r="Q81" s="338" t="e">
        <f ca="1"/>
        <v>#REF!</v>
      </c>
    </row>
    <row r="82" spans="1:17" ht="15" x14ac:dyDescent="0.25">
      <c r="A82" s="64" t="s">
        <v>172</v>
      </c>
      <c r="B82" s="64">
        <v>20</v>
      </c>
      <c r="C82" s="336">
        <v>1.09E-2</v>
      </c>
      <c r="D82" s="347">
        <v>9.0000000000000011E-3</v>
      </c>
      <c r="E82" s="347">
        <v>8.0000000000000002E-3</v>
      </c>
      <c r="F82" s="347">
        <v>7.4999999999999997E-3</v>
      </c>
      <c r="G82" s="347">
        <v>7.1999999999999998E-3</v>
      </c>
      <c r="H82" s="347">
        <v>6.8000000000000005E-3</v>
      </c>
      <c r="I82" s="347">
        <v>6.7000000000000002E-3</v>
      </c>
      <c r="J82" s="347">
        <v>6.5000000000000006E-3</v>
      </c>
      <c r="K82" s="341">
        <v>6.5000000000000006E-3</v>
      </c>
      <c r="L82" s="341">
        <v>6.5000000000000006E-3</v>
      </c>
      <c r="M82" s="341">
        <v>6.5000000000000006E-3</v>
      </c>
      <c r="N82" s="338">
        <v>6.5000000000000006E-3</v>
      </c>
      <c r="O82" s="342" t="e">
        <f t="array" aca="1" ref="O82" ca="1">TREND(P82:Q82,upplow_bd_perc,MAF_crit_perc)</f>
        <v>#VALUE!</v>
      </c>
      <c r="P82" s="336" t="e">
        <f ca="1"/>
        <v>#REF!</v>
      </c>
      <c r="Q82" s="338" t="e">
        <f ca="1"/>
        <v>#REF!</v>
      </c>
    </row>
    <row r="83" spans="1:17" ht="15" x14ac:dyDescent="0.25">
      <c r="A83" s="64" t="s">
        <v>173</v>
      </c>
      <c r="B83" s="64">
        <v>20</v>
      </c>
      <c r="C83" s="336">
        <v>1.7899999999999999E-2</v>
      </c>
      <c r="D83" s="347">
        <v>1.21E-2</v>
      </c>
      <c r="E83" s="347">
        <v>1.0500000000000001E-2</v>
      </c>
      <c r="F83" s="347">
        <v>9.300000000000001E-3</v>
      </c>
      <c r="G83" s="347">
        <v>8.8000000000000005E-3</v>
      </c>
      <c r="H83" s="347">
        <v>8.3000000000000001E-3</v>
      </c>
      <c r="I83" s="347">
        <v>8.1000000000000013E-3</v>
      </c>
      <c r="J83" s="347">
        <v>7.8000000000000005E-3</v>
      </c>
      <c r="K83" s="341">
        <v>7.8000000000000005E-3</v>
      </c>
      <c r="L83" s="341">
        <v>7.8000000000000005E-3</v>
      </c>
      <c r="M83" s="341">
        <v>7.8000000000000005E-3</v>
      </c>
      <c r="N83" s="338">
        <v>7.8000000000000005E-3</v>
      </c>
      <c r="O83" s="342" t="e">
        <f t="array" aca="1" ref="O83" ca="1">TREND(P83:Q83,upplow_bd_perc,MAF_crit_perc)</f>
        <v>#VALUE!</v>
      </c>
      <c r="P83" s="336" t="e">
        <f ca="1"/>
        <v>#REF!</v>
      </c>
      <c r="Q83" s="338" t="e">
        <f ca="1"/>
        <v>#REF!</v>
      </c>
    </row>
    <row r="84" spans="1:17" ht="25.5" x14ac:dyDescent="0.25">
      <c r="A84" s="64" t="s">
        <v>174</v>
      </c>
      <c r="B84" s="64">
        <v>20</v>
      </c>
      <c r="C84" s="336">
        <v>1.5E-3</v>
      </c>
      <c r="D84" s="347">
        <v>1.1999999999999999E-3</v>
      </c>
      <c r="E84" s="347">
        <v>1E-3</v>
      </c>
      <c r="F84" s="347">
        <v>1E-3</v>
      </c>
      <c r="G84" s="347">
        <v>8.9999999999999998E-4</v>
      </c>
      <c r="H84" s="347">
        <v>8.9999999999999998E-4</v>
      </c>
      <c r="I84" s="347">
        <v>8.0000000000000004E-4</v>
      </c>
      <c r="J84" s="347">
        <v>8.0000000000000004E-4</v>
      </c>
      <c r="K84" s="341">
        <v>8.0000000000000004E-4</v>
      </c>
      <c r="L84" s="341">
        <v>8.0000000000000004E-4</v>
      </c>
      <c r="M84" s="341">
        <v>8.0000000000000004E-4</v>
      </c>
      <c r="N84" s="338">
        <v>8.0000000000000004E-4</v>
      </c>
      <c r="O84" s="342" t="e">
        <f t="array" aca="1" ref="O84" ca="1">TREND(P84:Q84,upplow_bd_perc,MAF_crit_perc)</f>
        <v>#VALUE!</v>
      </c>
      <c r="P84" s="336" t="e">
        <f ca="1"/>
        <v>#REF!</v>
      </c>
      <c r="Q84" s="338" t="e">
        <f ca="1"/>
        <v>#REF!</v>
      </c>
    </row>
    <row r="85" spans="1:17" ht="25.5" x14ac:dyDescent="0.25">
      <c r="A85" s="64" t="s">
        <v>175</v>
      </c>
      <c r="B85" s="64">
        <v>20</v>
      </c>
      <c r="C85" s="336">
        <v>4.1999999999999997E-3</v>
      </c>
      <c r="D85" s="347">
        <v>3.5999999999999999E-3</v>
      </c>
      <c r="E85" s="347">
        <v>3.4000000000000002E-3</v>
      </c>
      <c r="F85" s="347">
        <v>3.3E-3</v>
      </c>
      <c r="G85" s="347">
        <v>3.3E-3</v>
      </c>
      <c r="H85" s="347">
        <v>3.2000000000000002E-3</v>
      </c>
      <c r="I85" s="347">
        <v>3.0999999999999999E-3</v>
      </c>
      <c r="J85" s="347">
        <v>3.0999999999999999E-3</v>
      </c>
      <c r="K85" s="341">
        <v>3.0999999999999999E-3</v>
      </c>
      <c r="L85" s="341">
        <v>3.0999999999999999E-3</v>
      </c>
      <c r="M85" s="341">
        <v>3.0999999999999999E-3</v>
      </c>
      <c r="N85" s="338">
        <v>3.0999999999999999E-3</v>
      </c>
      <c r="O85" s="342" t="e">
        <f t="array" aca="1" ref="O85" ca="1">TREND(P85:Q85,upplow_bd_perc,MAF_crit_perc)</f>
        <v>#VALUE!</v>
      </c>
      <c r="P85" s="336" t="e">
        <f ca="1"/>
        <v>#REF!</v>
      </c>
      <c r="Q85" s="338" t="e">
        <f ca="1"/>
        <v>#REF!</v>
      </c>
    </row>
    <row r="86" spans="1:17" ht="25.5" x14ac:dyDescent="0.25">
      <c r="A86" s="64" t="s">
        <v>176</v>
      </c>
      <c r="B86" s="64">
        <v>20</v>
      </c>
      <c r="C86" s="336">
        <v>0</v>
      </c>
      <c r="D86" s="341">
        <v>0</v>
      </c>
      <c r="E86" s="341">
        <v>0</v>
      </c>
      <c r="F86" s="341">
        <v>0</v>
      </c>
      <c r="G86" s="341">
        <v>0</v>
      </c>
      <c r="H86" s="341">
        <v>0</v>
      </c>
      <c r="I86" s="341">
        <v>0</v>
      </c>
      <c r="J86" s="341">
        <v>0</v>
      </c>
      <c r="K86" s="341">
        <v>0</v>
      </c>
      <c r="L86" s="341">
        <v>0</v>
      </c>
      <c r="M86" s="341">
        <v>0</v>
      </c>
      <c r="N86" s="338">
        <v>0</v>
      </c>
      <c r="O86" s="342" t="e">
        <f t="array" aca="1" ref="O86" ca="1">TREND(P86:Q86,upplow_bd_perc,MAF_crit_perc)</f>
        <v>#VALUE!</v>
      </c>
      <c r="P86" s="336" t="e">
        <f ca="1"/>
        <v>#REF!</v>
      </c>
      <c r="Q86" s="338" t="e">
        <f ca="1"/>
        <v>#REF!</v>
      </c>
    </row>
    <row r="87" spans="1:17" ht="15" x14ac:dyDescent="0.25">
      <c r="A87" s="64" t="s">
        <v>177</v>
      </c>
      <c r="B87" s="64">
        <v>20</v>
      </c>
      <c r="C87" s="336">
        <v>1.0000000000000001E-5</v>
      </c>
      <c r="D87" s="347">
        <v>7.9999999999999996E-6</v>
      </c>
      <c r="E87" s="347">
        <v>5.9999999999999993E-6</v>
      </c>
      <c r="F87" s="347">
        <v>5.0000000000000004E-6</v>
      </c>
      <c r="G87" s="347">
        <v>5.0000000000000004E-6</v>
      </c>
      <c r="H87" s="347">
        <v>3.9999999999999998E-6</v>
      </c>
      <c r="I87" s="347">
        <v>3.9999999999999998E-6</v>
      </c>
      <c r="J87" s="347">
        <v>3.9999999999999998E-6</v>
      </c>
      <c r="K87" s="341">
        <v>3.9999999999999998E-6</v>
      </c>
      <c r="L87" s="341">
        <v>3.9999999999999998E-6</v>
      </c>
      <c r="M87" s="341">
        <v>3.9999999999999998E-6</v>
      </c>
      <c r="N87" s="338">
        <v>3.9999999999999998E-6</v>
      </c>
      <c r="O87" s="343" t="e">
        <f t="array" aca="1" ref="O87" ca="1">TREND(P87:Q87,upplow_bd_perc,MAF_crit_perc)</f>
        <v>#VALUE!</v>
      </c>
      <c r="P87" s="336" t="e">
        <f ca="1"/>
        <v>#REF!</v>
      </c>
      <c r="Q87" s="338" t="e">
        <f ca="1"/>
        <v>#REF!</v>
      </c>
    </row>
    <row r="88" spans="1:17" ht="15" x14ac:dyDescent="0.25">
      <c r="A88" s="64" t="s">
        <v>178</v>
      </c>
      <c r="B88" s="64">
        <v>20</v>
      </c>
      <c r="C88" s="336">
        <v>5.0000000000000002E-5</v>
      </c>
      <c r="D88" s="347">
        <v>4.0000000000000003E-5</v>
      </c>
      <c r="E88" s="347">
        <v>3.0000000000000001E-5</v>
      </c>
      <c r="F88" s="347">
        <v>3.0000000000000001E-5</v>
      </c>
      <c r="G88" s="347">
        <v>2.0000000000000002E-5</v>
      </c>
      <c r="H88" s="347">
        <v>2.0000000000000002E-5</v>
      </c>
      <c r="I88" s="347">
        <v>2.0000000000000002E-5</v>
      </c>
      <c r="J88" s="347">
        <v>2.0000000000000002E-5</v>
      </c>
      <c r="K88" s="341">
        <v>2.0000000000000002E-5</v>
      </c>
      <c r="L88" s="341">
        <v>2.0000000000000002E-5</v>
      </c>
      <c r="M88" s="341">
        <v>2.0000000000000002E-5</v>
      </c>
      <c r="N88" s="338">
        <v>2.0000000000000002E-5</v>
      </c>
      <c r="O88" s="343" t="e">
        <f t="array" aca="1" ref="O88" ca="1">TREND(P88:Q88,upplow_bd_perc,MAF_crit_perc)</f>
        <v>#VALUE!</v>
      </c>
      <c r="P88" s="336" t="e">
        <f ca="1"/>
        <v>#REF!</v>
      </c>
      <c r="Q88" s="338" t="e">
        <f ca="1"/>
        <v>#REF!</v>
      </c>
    </row>
    <row r="89" spans="1:17" ht="15" x14ac:dyDescent="0.25">
      <c r="A89" s="64" t="s">
        <v>179</v>
      </c>
      <c r="B89" s="64">
        <v>20</v>
      </c>
      <c r="C89" s="336">
        <v>5.0000000000000001E-4</v>
      </c>
      <c r="D89" s="347">
        <v>2.9999999999999997E-4</v>
      </c>
      <c r="E89" s="347">
        <v>2.0000000000000001E-4</v>
      </c>
      <c r="F89" s="347">
        <v>2.0000000000000001E-4</v>
      </c>
      <c r="G89" s="347">
        <v>2.0000000000000001E-4</v>
      </c>
      <c r="H89" s="347">
        <v>2.0000000000000001E-4</v>
      </c>
      <c r="I89" s="347">
        <v>2.0000000000000001E-4</v>
      </c>
      <c r="J89" s="347">
        <v>1E-4</v>
      </c>
      <c r="K89" s="341">
        <v>1E-4</v>
      </c>
      <c r="L89" s="341">
        <v>1E-4</v>
      </c>
      <c r="M89" s="341">
        <v>1E-4</v>
      </c>
      <c r="N89" s="338">
        <v>1E-4</v>
      </c>
      <c r="O89" s="342" t="e">
        <f t="array" aca="1" ref="O89" ca="1">TREND(P89:Q89,upplow_bd_perc,MAF_crit_perc)</f>
        <v>#VALUE!</v>
      </c>
      <c r="P89" s="336" t="e">
        <f ca="1"/>
        <v>#REF!</v>
      </c>
      <c r="Q89" s="338" t="e">
        <f ca="1"/>
        <v>#REF!</v>
      </c>
    </row>
    <row r="90" spans="1:17" ht="15" x14ac:dyDescent="0.25">
      <c r="A90" s="64" t="s">
        <v>180</v>
      </c>
      <c r="B90" s="64">
        <v>20</v>
      </c>
      <c r="C90" s="336">
        <v>2.3E-3</v>
      </c>
      <c r="D90" s="347">
        <v>1.4000000000000002E-3</v>
      </c>
      <c r="E90" s="347">
        <v>1E-3</v>
      </c>
      <c r="F90" s="347">
        <v>8.0000000000000004E-4</v>
      </c>
      <c r="G90" s="347">
        <v>7.000000000000001E-4</v>
      </c>
      <c r="H90" s="347">
        <v>5.9999999999999995E-4</v>
      </c>
      <c r="I90" s="347">
        <v>5.0000000000000001E-4</v>
      </c>
      <c r="J90" s="347">
        <v>5.0000000000000001E-4</v>
      </c>
      <c r="K90" s="341">
        <v>5.0000000000000001E-4</v>
      </c>
      <c r="L90" s="341">
        <v>5.0000000000000001E-4</v>
      </c>
      <c r="M90" s="341">
        <v>5.0000000000000001E-4</v>
      </c>
      <c r="N90" s="338">
        <v>5.0000000000000001E-4</v>
      </c>
      <c r="O90" s="342" t="e">
        <f t="array" aca="1" ref="O90" ca="1">TREND(P90:Q90,upplow_bd_perc,MAF_crit_perc)</f>
        <v>#VALUE!</v>
      </c>
      <c r="P90" s="336" t="e">
        <f ca="1"/>
        <v>#REF!</v>
      </c>
      <c r="Q90" s="338" t="e">
        <f ca="1"/>
        <v>#REF!</v>
      </c>
    </row>
    <row r="91" spans="1:17" ht="15" x14ac:dyDescent="0.25">
      <c r="A91" s="64" t="s">
        <v>181</v>
      </c>
      <c r="B91" s="64">
        <v>20</v>
      </c>
      <c r="C91" s="336">
        <v>1E-4</v>
      </c>
      <c r="D91" s="347">
        <v>8.0000000000000007E-5</v>
      </c>
      <c r="E91" s="347">
        <v>6.0000000000000002E-5</v>
      </c>
      <c r="F91" s="347">
        <v>5.0000000000000002E-5</v>
      </c>
      <c r="G91" s="347">
        <v>5.0000000000000002E-5</v>
      </c>
      <c r="H91" s="347">
        <v>5.0000000000000002E-5</v>
      </c>
      <c r="I91" s="347">
        <v>4.0000000000000003E-5</v>
      </c>
      <c r="J91" s="347">
        <v>4.0000000000000003E-5</v>
      </c>
      <c r="K91" s="341">
        <v>4.0000000000000003E-5</v>
      </c>
      <c r="L91" s="341">
        <v>4.0000000000000003E-5</v>
      </c>
      <c r="M91" s="341">
        <v>4.0000000000000003E-5</v>
      </c>
      <c r="N91" s="338">
        <v>4.0000000000000003E-5</v>
      </c>
      <c r="O91" s="343" t="e">
        <f t="array" aca="1" ref="O91" ca="1">TREND(P91:Q91,upplow_bd_perc,MAF_crit_perc)</f>
        <v>#VALUE!</v>
      </c>
      <c r="P91" s="336" t="e">
        <f ca="1"/>
        <v>#REF!</v>
      </c>
      <c r="Q91" s="338" t="e">
        <f ca="1"/>
        <v>#REF!</v>
      </c>
    </row>
    <row r="92" spans="1:17" ht="15" x14ac:dyDescent="0.25">
      <c r="A92" s="344" t="s">
        <v>182</v>
      </c>
      <c r="B92" s="344">
        <v>20</v>
      </c>
      <c r="C92" s="337">
        <v>0</v>
      </c>
      <c r="D92" s="345">
        <v>0</v>
      </c>
      <c r="E92" s="345">
        <v>0</v>
      </c>
      <c r="F92" s="345">
        <v>0</v>
      </c>
      <c r="G92" s="345">
        <v>0</v>
      </c>
      <c r="H92" s="345">
        <v>0</v>
      </c>
      <c r="I92" s="345">
        <v>0</v>
      </c>
      <c r="J92" s="345">
        <v>0</v>
      </c>
      <c r="K92" s="345">
        <v>0</v>
      </c>
      <c r="L92" s="345">
        <v>0</v>
      </c>
      <c r="M92" s="345">
        <v>0</v>
      </c>
      <c r="N92" s="339">
        <v>0</v>
      </c>
      <c r="O92" s="346" t="e">
        <f t="array" aca="1" ref="O92" ca="1">TREND(P92:Q92,upplow_bd_perc,MAF_crit_perc)</f>
        <v>#VALUE!</v>
      </c>
      <c r="P92" s="337" t="e">
        <f ca="1"/>
        <v>#REF!</v>
      </c>
      <c r="Q92" s="339" t="e">
        <f ca="1"/>
        <v>#REF!</v>
      </c>
    </row>
    <row r="93" spans="1:17" x14ac:dyDescent="0.2">
      <c r="C93" s="341"/>
      <c r="D93" s="341"/>
      <c r="E93" s="341"/>
      <c r="F93" s="341"/>
      <c r="G93" s="341"/>
      <c r="H93" s="341"/>
      <c r="I93" s="341"/>
      <c r="J93" s="341"/>
      <c r="K93" s="341"/>
      <c r="L93" s="341"/>
      <c r="M93" s="341"/>
      <c r="N93" s="341"/>
    </row>
    <row r="95" spans="1:17" x14ac:dyDescent="0.2">
      <c r="A95" s="349"/>
      <c r="B95" s="349"/>
    </row>
    <row r="96" spans="1:17" x14ac:dyDescent="0.2">
      <c r="A96" s="349"/>
      <c r="B96" s="349"/>
    </row>
    <row r="97" spans="1:2" x14ac:dyDescent="0.2">
      <c r="A97" s="349"/>
      <c r="B97" s="349"/>
    </row>
    <row r="98" spans="1:2" x14ac:dyDescent="0.2">
      <c r="A98" s="349"/>
      <c r="B98" s="349"/>
    </row>
    <row r="99" spans="1:2" x14ac:dyDescent="0.2">
      <c r="A99" s="349"/>
      <c r="B99" s="349"/>
    </row>
    <row r="100" spans="1:2" x14ac:dyDescent="0.2">
      <c r="A100" s="349"/>
      <c r="B100" s="349"/>
    </row>
    <row r="101" spans="1:2" x14ac:dyDescent="0.2">
      <c r="A101" s="349"/>
      <c r="B101" s="349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B6373-8424-4FBB-979C-83EF8EA4A0F7}">
  <sheetPr codeName="Tabelle21">
    <tabColor rgb="FFCCFFCC"/>
  </sheetPr>
  <dimension ref="A1:AB180"/>
  <sheetViews>
    <sheetView topLeftCell="A103" zoomScaleNormal="100" workbookViewId="0">
      <selection activeCell="B148" sqref="B148"/>
    </sheetView>
  </sheetViews>
  <sheetFormatPr defaultColWidth="11.42578125" defaultRowHeight="12.75" x14ac:dyDescent="0.2"/>
  <cols>
    <col min="1" max="1" width="25.7109375" style="36" customWidth="1"/>
    <col min="2" max="26" width="10.7109375" style="36" customWidth="1"/>
    <col min="27" max="16384" width="11.42578125" style="36"/>
  </cols>
  <sheetData>
    <row r="1" ht="12.75" customHeight="1" x14ac:dyDescent="0.2"/>
    <row r="2" ht="12.75" customHeight="1" x14ac:dyDescent="0.2"/>
    <row r="3" ht="12.75" customHeight="1" x14ac:dyDescent="0.2"/>
    <row r="4" ht="12.75" customHeight="1" x14ac:dyDescent="0.2"/>
    <row r="5" ht="12.75" customHeight="1" x14ac:dyDescent="0.2"/>
    <row r="6" ht="12.75" customHeight="1" x14ac:dyDescent="0.2"/>
    <row r="7" ht="12.75" customHeight="1" x14ac:dyDescent="0.2"/>
    <row r="8" ht="12.75" customHeight="1" x14ac:dyDescent="0.2"/>
    <row r="9" ht="12.75" customHeight="1" x14ac:dyDescent="0.2"/>
    <row r="10" ht="12.75" customHeight="1" x14ac:dyDescent="0.2"/>
    <row r="11" ht="12.75" customHeight="1" x14ac:dyDescent="0.2"/>
    <row r="12" ht="12.75" customHeight="1" x14ac:dyDescent="0.2"/>
    <row r="13" ht="12.75" customHeight="1" x14ac:dyDescent="0.2"/>
    <row r="14" ht="12.75" customHeight="1" x14ac:dyDescent="0.2"/>
    <row r="15" ht="12.75" customHeight="1" x14ac:dyDescent="0.2"/>
    <row r="16" ht="12.75" customHeight="1" x14ac:dyDescent="0.2"/>
    <row r="17" spans="1:13" ht="12.75" customHeight="1" x14ac:dyDescent="0.2"/>
    <row r="19" spans="1:13" x14ac:dyDescent="0.2">
      <c r="D19" s="37" t="s">
        <v>153</v>
      </c>
      <c r="E19" s="38">
        <v>0</v>
      </c>
      <c r="F19" s="39">
        <v>1.0000000000000001E-5</v>
      </c>
      <c r="G19" s="39">
        <v>1E-4</v>
      </c>
      <c r="H19" s="40">
        <v>5.0000000000000001E-3</v>
      </c>
    </row>
    <row r="20" spans="1:13" ht="25.5" x14ac:dyDescent="0.2">
      <c r="D20" s="41" t="s">
        <v>154</v>
      </c>
      <c r="E20" s="42" t="s">
        <v>155</v>
      </c>
      <c r="F20" s="43" t="s">
        <v>156</v>
      </c>
      <c r="G20" s="43" t="s">
        <v>157</v>
      </c>
      <c r="H20" s="44" t="s">
        <v>158</v>
      </c>
      <c r="M20" s="45"/>
    </row>
    <row r="21" spans="1:13" x14ac:dyDescent="0.2">
      <c r="D21" s="41" t="s">
        <v>159</v>
      </c>
      <c r="E21" s="42">
        <v>0</v>
      </c>
      <c r="F21" s="43">
        <v>1</v>
      </c>
      <c r="G21" s="43">
        <v>2</v>
      </c>
      <c r="H21" s="44">
        <v>3</v>
      </c>
    </row>
    <row r="22" spans="1:13" x14ac:dyDescent="0.2">
      <c r="D22" s="41" t="s">
        <v>160</v>
      </c>
      <c r="E22" s="46">
        <v>0</v>
      </c>
      <c r="F22" s="47">
        <v>8.8999999999999995E-4</v>
      </c>
      <c r="G22" s="47">
        <v>2.2100000000000002E-3</v>
      </c>
      <c r="H22" s="48">
        <v>1.555E-2</v>
      </c>
    </row>
    <row r="32" spans="1:13" ht="25.5" customHeight="1" x14ac:dyDescent="0.2">
      <c r="A32" s="49"/>
      <c r="B32" s="49"/>
      <c r="C32" s="49"/>
      <c r="D32" s="49"/>
      <c r="E32" s="383" t="s">
        <v>161</v>
      </c>
      <c r="F32" s="384"/>
      <c r="G32" s="384"/>
      <c r="H32" s="385"/>
      <c r="I32" s="383" t="s">
        <v>162</v>
      </c>
      <c r="J32" s="384"/>
      <c r="K32" s="384"/>
      <c r="L32" s="385"/>
    </row>
    <row r="33" spans="1:12" ht="25.5" x14ac:dyDescent="0.2">
      <c r="A33" s="52" t="s">
        <v>163</v>
      </c>
      <c r="B33" s="53" t="s">
        <v>164</v>
      </c>
      <c r="C33" s="53" t="s">
        <v>165</v>
      </c>
      <c r="D33" s="53" t="s">
        <v>166</v>
      </c>
      <c r="E33" s="54" t="s">
        <v>155</v>
      </c>
      <c r="F33" s="54" t="s">
        <v>156</v>
      </c>
      <c r="G33" s="54" t="s">
        <v>157</v>
      </c>
      <c r="H33" s="55" t="s">
        <v>158</v>
      </c>
      <c r="I33" s="54" t="s">
        <v>155</v>
      </c>
      <c r="J33" s="54" t="s">
        <v>156</v>
      </c>
      <c r="K33" s="54" t="s">
        <v>157</v>
      </c>
      <c r="L33" s="55" t="s">
        <v>158</v>
      </c>
    </row>
    <row r="34" spans="1:12" x14ac:dyDescent="0.2">
      <c r="A34" s="56" t="s">
        <v>167</v>
      </c>
      <c r="B34" s="57">
        <f t="shared" ref="B34" si="0">VLOOKUP(A34,drift_loss,2,FALSE)</f>
        <v>2.519200000000001E-3</v>
      </c>
      <c r="C34" s="56">
        <v>1</v>
      </c>
      <c r="D34" s="58">
        <v>1</v>
      </c>
      <c r="E34" s="59">
        <f t="array" ref="E34:H48">INDEX(volatility_class_def,4,MATCH(volatility_class,INDEX(volatility_class_def,2,0),0))
*EXP(-0.05446*(INDEX(vd_percent_01m,,3)-1))
*INDEX(vd_percent_01m,,4)</f>
        <v>0</v>
      </c>
      <c r="F34" s="60">
        <v>8.8999999999999995E-4</v>
      </c>
      <c r="G34" s="60">
        <v>2.2100000000000002E-3</v>
      </c>
      <c r="H34" s="61">
        <v>1.555E-2</v>
      </c>
      <c r="I34" s="59">
        <v>0</v>
      </c>
      <c r="J34" s="60">
        <v>0</v>
      </c>
      <c r="K34" s="60">
        <f t="array" ref="K34:L48">G34:H48/(3*D34:D48)</f>
        <v>7.3666666666666672E-4</v>
      </c>
      <c r="L34" s="61">
        <v>5.1833333333333332E-3</v>
      </c>
    </row>
    <row r="35" spans="1:12" x14ac:dyDescent="0.2">
      <c r="A35" s="56" t="s">
        <v>168</v>
      </c>
      <c r="B35" s="57">
        <f t="shared" ref="B35:B50" si="1">VLOOKUP(A35,drift_loss,2,FALSE)</f>
        <v>5.0384000000000019E-3</v>
      </c>
      <c r="C35" s="56">
        <v>1</v>
      </c>
      <c r="D35" s="58">
        <v>1</v>
      </c>
      <c r="E35" s="62">
        <v>0</v>
      </c>
      <c r="F35" s="45">
        <v>8.8999999999999995E-4</v>
      </c>
      <c r="G35" s="45">
        <v>2.2100000000000002E-3</v>
      </c>
      <c r="H35" s="63">
        <v>1.555E-2</v>
      </c>
      <c r="I35" s="62">
        <v>0</v>
      </c>
      <c r="J35" s="45">
        <v>0</v>
      </c>
      <c r="K35" s="45">
        <v>7.3666666666666672E-4</v>
      </c>
      <c r="L35" s="63">
        <v>5.1833333333333332E-3</v>
      </c>
    </row>
    <row r="36" spans="1:12" x14ac:dyDescent="0.2">
      <c r="A36" s="56" t="s">
        <v>169</v>
      </c>
      <c r="B36" s="57">
        <f t="shared" si="1"/>
        <v>1.930008E-3</v>
      </c>
      <c r="C36" s="56">
        <v>1</v>
      </c>
      <c r="D36" s="58">
        <v>1</v>
      </c>
      <c r="E36" s="62">
        <v>0</v>
      </c>
      <c r="F36" s="45">
        <v>8.8999999999999995E-4</v>
      </c>
      <c r="G36" s="45">
        <v>2.2100000000000002E-3</v>
      </c>
      <c r="H36" s="63">
        <v>1.555E-2</v>
      </c>
      <c r="I36" s="62">
        <v>0</v>
      </c>
      <c r="J36" s="45">
        <v>0</v>
      </c>
      <c r="K36" s="45">
        <v>7.3666666666666672E-4</v>
      </c>
      <c r="L36" s="63">
        <v>5.1833333333333332E-3</v>
      </c>
    </row>
    <row r="37" spans="1:12" x14ac:dyDescent="0.2">
      <c r="A37" s="56" t="s">
        <v>170</v>
      </c>
      <c r="B37" s="57">
        <f t="shared" si="1"/>
        <v>5.7772999999999974E-3</v>
      </c>
      <c r="C37" s="56">
        <v>3</v>
      </c>
      <c r="D37" s="58">
        <v>2</v>
      </c>
      <c r="E37" s="62">
        <v>0</v>
      </c>
      <c r="F37" s="45">
        <v>1.5963078426662234E-3</v>
      </c>
      <c r="G37" s="45">
        <v>3.9638655419015215E-3</v>
      </c>
      <c r="H37" s="63">
        <v>2.7890547138718847E-2</v>
      </c>
      <c r="I37" s="62">
        <v>0</v>
      </c>
      <c r="J37" s="45">
        <v>0</v>
      </c>
      <c r="K37" s="45">
        <v>6.6064425698358692E-4</v>
      </c>
      <c r="L37" s="63">
        <v>4.6484245231198078E-3</v>
      </c>
    </row>
    <row r="38" spans="1:12" x14ac:dyDescent="0.2">
      <c r="A38" s="56" t="s">
        <v>171</v>
      </c>
      <c r="B38" s="57">
        <f t="shared" si="1"/>
        <v>3.0183100000000001E-2</v>
      </c>
      <c r="C38" s="56">
        <v>3</v>
      </c>
      <c r="D38" s="58">
        <v>2</v>
      </c>
      <c r="E38" s="62">
        <v>0</v>
      </c>
      <c r="F38" s="45">
        <v>1.5963078426662234E-3</v>
      </c>
      <c r="G38" s="45">
        <v>3.9638655419015215E-3</v>
      </c>
      <c r="H38" s="63">
        <v>2.7890547138718847E-2</v>
      </c>
      <c r="I38" s="62">
        <v>0</v>
      </c>
      <c r="J38" s="45">
        <v>0</v>
      </c>
      <c r="K38" s="45">
        <v>6.6064425698358692E-4</v>
      </c>
      <c r="L38" s="63">
        <v>4.6484245231198078E-3</v>
      </c>
    </row>
    <row r="39" spans="1:12" x14ac:dyDescent="0.2">
      <c r="A39" s="56" t="s">
        <v>172</v>
      </c>
      <c r="B39" s="57">
        <f t="shared" si="1"/>
        <v>1.33048E-2</v>
      </c>
      <c r="C39" s="56">
        <v>3</v>
      </c>
      <c r="D39" s="58">
        <v>2</v>
      </c>
      <c r="E39" s="62">
        <v>0</v>
      </c>
      <c r="F39" s="45">
        <v>1.5963078426662234E-3</v>
      </c>
      <c r="G39" s="45">
        <v>3.9638655419015215E-3</v>
      </c>
      <c r="H39" s="63">
        <v>2.7890547138718847E-2</v>
      </c>
      <c r="I39" s="62">
        <v>0</v>
      </c>
      <c r="J39" s="45">
        <v>0</v>
      </c>
      <c r="K39" s="45">
        <v>6.6064425698358692E-4</v>
      </c>
      <c r="L39" s="63">
        <v>4.6484245231198078E-3</v>
      </c>
    </row>
    <row r="40" spans="1:12" x14ac:dyDescent="0.2">
      <c r="A40" s="56" t="s">
        <v>173</v>
      </c>
      <c r="B40" s="57">
        <f t="shared" si="1"/>
        <v>1.7593599999999997E-2</v>
      </c>
      <c r="C40" s="56">
        <v>3</v>
      </c>
      <c r="D40" s="58">
        <v>2</v>
      </c>
      <c r="E40" s="62">
        <v>0</v>
      </c>
      <c r="F40" s="45">
        <v>1.5963078426662234E-3</v>
      </c>
      <c r="G40" s="45">
        <v>3.9638655419015215E-3</v>
      </c>
      <c r="H40" s="63">
        <v>2.7890547138718847E-2</v>
      </c>
      <c r="I40" s="62">
        <v>0</v>
      </c>
      <c r="J40" s="45">
        <v>0</v>
      </c>
      <c r="K40" s="45">
        <v>6.6064425698358692E-4</v>
      </c>
      <c r="L40" s="63">
        <v>4.6484245231198078E-3</v>
      </c>
    </row>
    <row r="41" spans="1:12" ht="25.5" x14ac:dyDescent="0.2">
      <c r="A41" s="64" t="s">
        <v>174</v>
      </c>
      <c r="B41" s="57">
        <f t="shared" si="1"/>
        <v>2.519200000000001E-3</v>
      </c>
      <c r="C41" s="56">
        <v>1</v>
      </c>
      <c r="D41" s="58">
        <v>1</v>
      </c>
      <c r="E41" s="62">
        <v>0</v>
      </c>
      <c r="F41" s="45">
        <v>8.8999999999999995E-4</v>
      </c>
      <c r="G41" s="45">
        <v>2.2100000000000002E-3</v>
      </c>
      <c r="H41" s="63">
        <v>1.555E-2</v>
      </c>
      <c r="I41" s="62">
        <v>0</v>
      </c>
      <c r="J41" s="45">
        <v>0</v>
      </c>
      <c r="K41" s="45">
        <v>7.3666666666666672E-4</v>
      </c>
      <c r="L41" s="63">
        <v>5.1833333333333332E-3</v>
      </c>
    </row>
    <row r="42" spans="1:12" ht="25.5" x14ac:dyDescent="0.2">
      <c r="A42" s="64" t="s">
        <v>175</v>
      </c>
      <c r="B42" s="57">
        <f t="shared" si="1"/>
        <v>5.7772999999999974E-3</v>
      </c>
      <c r="C42" s="56">
        <v>3</v>
      </c>
      <c r="D42" s="58">
        <v>2</v>
      </c>
      <c r="E42" s="62">
        <v>0</v>
      </c>
      <c r="F42" s="45">
        <v>1.5963078426662234E-3</v>
      </c>
      <c r="G42" s="45">
        <v>3.9638655419015215E-3</v>
      </c>
      <c r="H42" s="63">
        <v>2.7890547138718847E-2</v>
      </c>
      <c r="I42" s="62">
        <v>0</v>
      </c>
      <c r="J42" s="45">
        <v>0</v>
      </c>
      <c r="K42" s="45">
        <v>6.6064425698358692E-4</v>
      </c>
      <c r="L42" s="63">
        <v>4.6484245231198078E-3</v>
      </c>
    </row>
    <row r="43" spans="1:12" ht="25.5" x14ac:dyDescent="0.2">
      <c r="A43" s="56" t="s">
        <v>176</v>
      </c>
      <c r="B43" s="57">
        <f t="shared" si="1"/>
        <v>3.1000000000000001E-5</v>
      </c>
      <c r="C43" s="56">
        <v>1</v>
      </c>
      <c r="D43" s="58">
        <v>1</v>
      </c>
      <c r="E43" s="62">
        <v>0</v>
      </c>
      <c r="F43" s="45">
        <v>8.8999999999999995E-4</v>
      </c>
      <c r="G43" s="45">
        <v>2.2100000000000002E-3</v>
      </c>
      <c r="H43" s="63">
        <v>1.555E-2</v>
      </c>
      <c r="I43" s="62">
        <v>0</v>
      </c>
      <c r="J43" s="45">
        <v>0</v>
      </c>
      <c r="K43" s="45">
        <v>7.3666666666666672E-4</v>
      </c>
      <c r="L43" s="63">
        <v>5.1833333333333332E-3</v>
      </c>
    </row>
    <row r="44" spans="1:12" x14ac:dyDescent="0.2">
      <c r="A44" s="56" t="s">
        <v>177</v>
      </c>
      <c r="B44" s="57">
        <f t="shared" si="1"/>
        <v>1.83E-4</v>
      </c>
      <c r="C44" s="56">
        <v>1</v>
      </c>
      <c r="D44" s="58">
        <v>1</v>
      </c>
      <c r="E44" s="62">
        <v>0</v>
      </c>
      <c r="F44" s="45">
        <v>8.8999999999999995E-4</v>
      </c>
      <c r="G44" s="45">
        <v>2.2100000000000002E-3</v>
      </c>
      <c r="H44" s="63">
        <v>1.555E-2</v>
      </c>
      <c r="I44" s="62">
        <v>0</v>
      </c>
      <c r="J44" s="45">
        <v>0</v>
      </c>
      <c r="K44" s="45">
        <v>7.3666666666666672E-4</v>
      </c>
      <c r="L44" s="63">
        <v>5.1833333333333332E-3</v>
      </c>
    </row>
    <row r="45" spans="1:12" x14ac:dyDescent="0.2">
      <c r="A45" s="56" t="s">
        <v>178</v>
      </c>
      <c r="B45" s="57">
        <f t="shared" si="1"/>
        <v>2.6899999999999998E-4</v>
      </c>
      <c r="C45" s="56">
        <v>3</v>
      </c>
      <c r="D45" s="58">
        <v>2</v>
      </c>
      <c r="E45" s="62">
        <v>0</v>
      </c>
      <c r="F45" s="45">
        <v>1.5963078426662234E-3</v>
      </c>
      <c r="G45" s="45">
        <v>3.9638655419015215E-3</v>
      </c>
      <c r="H45" s="63">
        <v>2.7890547138718847E-2</v>
      </c>
      <c r="I45" s="62">
        <v>0</v>
      </c>
      <c r="J45" s="45">
        <v>0</v>
      </c>
      <c r="K45" s="45">
        <v>6.6064425698358692E-4</v>
      </c>
      <c r="L45" s="63">
        <v>4.6484245231198078E-3</v>
      </c>
    </row>
    <row r="46" spans="1:12" x14ac:dyDescent="0.2">
      <c r="A46" s="56" t="s">
        <v>179</v>
      </c>
      <c r="B46" s="57">
        <f t="shared" si="1"/>
        <v>4.4789999999999995E-3</v>
      </c>
      <c r="C46" s="56">
        <v>3</v>
      </c>
      <c r="D46" s="58">
        <v>2</v>
      </c>
      <c r="E46" s="62">
        <v>0</v>
      </c>
      <c r="F46" s="45">
        <v>1.5963078426662234E-3</v>
      </c>
      <c r="G46" s="45">
        <v>3.9638655419015215E-3</v>
      </c>
      <c r="H46" s="63">
        <v>2.7890547138718847E-2</v>
      </c>
      <c r="I46" s="62">
        <v>0</v>
      </c>
      <c r="J46" s="45">
        <v>0</v>
      </c>
      <c r="K46" s="45">
        <v>6.6064425698358692E-4</v>
      </c>
      <c r="L46" s="63">
        <v>4.6484245231198078E-3</v>
      </c>
    </row>
    <row r="47" spans="1:12" x14ac:dyDescent="0.2">
      <c r="A47" s="56" t="s">
        <v>180</v>
      </c>
      <c r="B47" s="57">
        <f t="shared" si="1"/>
        <v>1.3787999999999998E-2</v>
      </c>
      <c r="C47" s="56">
        <v>3</v>
      </c>
      <c r="D47" s="58">
        <v>2</v>
      </c>
      <c r="E47" s="62">
        <v>0</v>
      </c>
      <c r="F47" s="45">
        <v>1.5963078426662234E-3</v>
      </c>
      <c r="G47" s="45">
        <v>3.9638655419015215E-3</v>
      </c>
      <c r="H47" s="63">
        <v>2.7890547138718847E-2</v>
      </c>
      <c r="I47" s="62">
        <v>0</v>
      </c>
      <c r="J47" s="45">
        <v>0</v>
      </c>
      <c r="K47" s="45">
        <v>6.6064425698358692E-4</v>
      </c>
      <c r="L47" s="63">
        <v>4.6484245231198078E-3</v>
      </c>
    </row>
    <row r="48" spans="1:12" x14ac:dyDescent="0.2">
      <c r="A48" s="56" t="s">
        <v>181</v>
      </c>
      <c r="B48" s="57">
        <f t="shared" si="1"/>
        <v>1.1710000000000002E-3</v>
      </c>
      <c r="C48" s="56">
        <v>3</v>
      </c>
      <c r="D48" s="58">
        <v>2</v>
      </c>
      <c r="E48" s="62">
        <v>0</v>
      </c>
      <c r="F48" s="45">
        <v>1.5963078426662234E-3</v>
      </c>
      <c r="G48" s="45">
        <v>3.9638655419015215E-3</v>
      </c>
      <c r="H48" s="63">
        <v>2.7890547138718847E-2</v>
      </c>
      <c r="I48" s="62">
        <v>0</v>
      </c>
      <c r="J48" s="45">
        <v>0</v>
      </c>
      <c r="K48" s="45">
        <v>6.6064425698358692E-4</v>
      </c>
      <c r="L48" s="63">
        <v>4.6484245231198078E-3</v>
      </c>
    </row>
    <row r="49" spans="1:12" x14ac:dyDescent="0.2">
      <c r="A49" s="65" t="s">
        <v>182</v>
      </c>
      <c r="B49" s="66">
        <f t="shared" si="1"/>
        <v>0</v>
      </c>
      <c r="C49" s="65">
        <v>1</v>
      </c>
      <c r="D49" s="67">
        <v>1</v>
      </c>
      <c r="E49" s="68">
        <v>0</v>
      </c>
      <c r="F49" s="69">
        <v>0</v>
      </c>
      <c r="G49" s="69">
        <f>grnhouse_dep_01m</f>
        <v>0</v>
      </c>
      <c r="H49" s="69">
        <f>grnhouse_dep_01m</f>
        <v>0</v>
      </c>
      <c r="I49" s="68">
        <v>0</v>
      </c>
      <c r="J49" s="69">
        <v>0</v>
      </c>
      <c r="K49" s="69">
        <f>grnhouse_dep_01m</f>
        <v>0</v>
      </c>
      <c r="L49" s="70">
        <f>grnhouse_dep_01m</f>
        <v>0</v>
      </c>
    </row>
    <row r="50" spans="1:12" x14ac:dyDescent="0.2">
      <c r="A50" s="71" t="s">
        <v>167</v>
      </c>
      <c r="B50" s="72">
        <f t="shared" si="1"/>
        <v>2.519200000000001E-3</v>
      </c>
      <c r="C50" s="71">
        <v>5</v>
      </c>
      <c r="D50" s="58">
        <v>1</v>
      </c>
      <c r="E50" s="59">
        <f t="array" ref="E50:H64">INDEX(volatility_class_def,4,MATCH(volatility_class,INDEX(volatility_class_def,2,0),0))
*EXP(-0.05446*(INDEX(vd_percent_05m,,3)-1))
*INDEX(vd_percent_05m,,4)</f>
        <v>0</v>
      </c>
      <c r="F50" s="60">
        <v>7.1578615970721701E-4</v>
      </c>
      <c r="G50" s="60">
        <v>1.7774015875875841E-3</v>
      </c>
      <c r="H50" s="61">
        <v>1.2506151442075534E-2</v>
      </c>
      <c r="I50" s="59">
        <v>0</v>
      </c>
      <c r="J50" s="60">
        <v>0</v>
      </c>
      <c r="K50" s="60">
        <f t="array" ref="K50:L64">G50:H64/(3*D50:D64)</f>
        <v>5.9246719586252808E-4</v>
      </c>
      <c r="L50" s="61">
        <v>4.1687171473585114E-3</v>
      </c>
    </row>
    <row r="51" spans="1:12" x14ac:dyDescent="0.2">
      <c r="A51" s="56" t="s">
        <v>168</v>
      </c>
      <c r="B51" s="57">
        <f t="shared" ref="B51:B66" si="2">VLOOKUP(A51,drift_loss,2,FALSE)</f>
        <v>5.0384000000000019E-3</v>
      </c>
      <c r="C51" s="56">
        <v>5</v>
      </c>
      <c r="D51" s="58">
        <v>1</v>
      </c>
      <c r="E51" s="62">
        <v>0</v>
      </c>
      <c r="F51" s="45">
        <v>7.1578615970721701E-4</v>
      </c>
      <c r="G51" s="45">
        <v>1.7774015875875841E-3</v>
      </c>
      <c r="H51" s="63">
        <v>1.2506151442075534E-2</v>
      </c>
      <c r="I51" s="62">
        <v>0</v>
      </c>
      <c r="J51" s="45">
        <v>0</v>
      </c>
      <c r="K51" s="45">
        <v>5.9246719586252808E-4</v>
      </c>
      <c r="L51" s="63">
        <v>4.1687171473585114E-3</v>
      </c>
    </row>
    <row r="52" spans="1:12" x14ac:dyDescent="0.2">
      <c r="A52" s="56" t="s">
        <v>169</v>
      </c>
      <c r="B52" s="57">
        <f t="shared" si="2"/>
        <v>1.930008E-3</v>
      </c>
      <c r="C52" s="56">
        <v>5</v>
      </c>
      <c r="D52" s="58">
        <v>1</v>
      </c>
      <c r="E52" s="62">
        <v>0</v>
      </c>
      <c r="F52" s="45">
        <v>7.1578615970721701E-4</v>
      </c>
      <c r="G52" s="45">
        <v>1.7774015875875841E-3</v>
      </c>
      <c r="H52" s="63">
        <v>1.2506151442075534E-2</v>
      </c>
      <c r="I52" s="62">
        <v>0</v>
      </c>
      <c r="J52" s="45">
        <v>0</v>
      </c>
      <c r="K52" s="45">
        <v>5.9246719586252808E-4</v>
      </c>
      <c r="L52" s="63">
        <v>4.1687171473585114E-3</v>
      </c>
    </row>
    <row r="53" spans="1:12" x14ac:dyDescent="0.2">
      <c r="A53" s="56" t="s">
        <v>170</v>
      </c>
      <c r="B53" s="57">
        <f t="shared" si="2"/>
        <v>5.7772999999999974E-3</v>
      </c>
      <c r="C53" s="56">
        <v>5</v>
      </c>
      <c r="D53" s="58">
        <v>2</v>
      </c>
      <c r="E53" s="62">
        <v>0</v>
      </c>
      <c r="F53" s="45">
        <v>1.431572319414434E-3</v>
      </c>
      <c r="G53" s="45">
        <v>3.5548031751751683E-3</v>
      </c>
      <c r="H53" s="63">
        <v>2.5012302884151068E-2</v>
      </c>
      <c r="I53" s="62">
        <v>0</v>
      </c>
      <c r="J53" s="45">
        <v>0</v>
      </c>
      <c r="K53" s="45">
        <v>5.9246719586252808E-4</v>
      </c>
      <c r="L53" s="63">
        <v>4.1687171473585114E-3</v>
      </c>
    </row>
    <row r="54" spans="1:12" x14ac:dyDescent="0.2">
      <c r="A54" s="56" t="s">
        <v>171</v>
      </c>
      <c r="B54" s="57">
        <f t="shared" si="2"/>
        <v>3.0183100000000001E-2</v>
      </c>
      <c r="C54" s="56">
        <v>5</v>
      </c>
      <c r="D54" s="58">
        <v>2</v>
      </c>
      <c r="E54" s="62">
        <v>0</v>
      </c>
      <c r="F54" s="45">
        <v>1.431572319414434E-3</v>
      </c>
      <c r="G54" s="45">
        <v>3.5548031751751683E-3</v>
      </c>
      <c r="H54" s="63">
        <v>2.5012302884151068E-2</v>
      </c>
      <c r="I54" s="62">
        <v>0</v>
      </c>
      <c r="J54" s="45">
        <v>0</v>
      </c>
      <c r="K54" s="45">
        <v>5.9246719586252808E-4</v>
      </c>
      <c r="L54" s="63">
        <v>4.1687171473585114E-3</v>
      </c>
    </row>
    <row r="55" spans="1:12" x14ac:dyDescent="0.2">
      <c r="A55" s="56" t="s">
        <v>172</v>
      </c>
      <c r="B55" s="57">
        <f t="shared" si="2"/>
        <v>1.33048E-2</v>
      </c>
      <c r="C55" s="56">
        <v>5</v>
      </c>
      <c r="D55" s="58">
        <v>2</v>
      </c>
      <c r="E55" s="62">
        <v>0</v>
      </c>
      <c r="F55" s="45">
        <v>1.431572319414434E-3</v>
      </c>
      <c r="G55" s="45">
        <v>3.5548031751751683E-3</v>
      </c>
      <c r="H55" s="63">
        <v>2.5012302884151068E-2</v>
      </c>
      <c r="I55" s="62">
        <v>0</v>
      </c>
      <c r="J55" s="45">
        <v>0</v>
      </c>
      <c r="K55" s="45">
        <v>5.9246719586252808E-4</v>
      </c>
      <c r="L55" s="63">
        <v>4.1687171473585114E-3</v>
      </c>
    </row>
    <row r="56" spans="1:12" x14ac:dyDescent="0.2">
      <c r="A56" s="56" t="s">
        <v>173</v>
      </c>
      <c r="B56" s="57">
        <f t="shared" si="2"/>
        <v>1.7593599999999997E-2</v>
      </c>
      <c r="C56" s="56">
        <v>5</v>
      </c>
      <c r="D56" s="58">
        <v>2</v>
      </c>
      <c r="E56" s="62">
        <v>0</v>
      </c>
      <c r="F56" s="45">
        <v>1.431572319414434E-3</v>
      </c>
      <c r="G56" s="45">
        <v>3.5548031751751683E-3</v>
      </c>
      <c r="H56" s="63">
        <v>2.5012302884151068E-2</v>
      </c>
      <c r="I56" s="62">
        <v>0</v>
      </c>
      <c r="J56" s="45">
        <v>0</v>
      </c>
      <c r="K56" s="45">
        <v>5.9246719586252808E-4</v>
      </c>
      <c r="L56" s="63">
        <v>4.1687171473585114E-3</v>
      </c>
    </row>
    <row r="57" spans="1:12" ht="25.5" x14ac:dyDescent="0.2">
      <c r="A57" s="64" t="s">
        <v>174</v>
      </c>
      <c r="B57" s="57">
        <f t="shared" si="2"/>
        <v>2.519200000000001E-3</v>
      </c>
      <c r="C57" s="56">
        <v>5</v>
      </c>
      <c r="D57" s="58">
        <v>1</v>
      </c>
      <c r="E57" s="62">
        <v>0</v>
      </c>
      <c r="F57" s="45">
        <v>7.1578615970721701E-4</v>
      </c>
      <c r="G57" s="45">
        <v>1.7774015875875841E-3</v>
      </c>
      <c r="H57" s="63">
        <v>1.2506151442075534E-2</v>
      </c>
      <c r="I57" s="62">
        <v>0</v>
      </c>
      <c r="J57" s="45">
        <v>0</v>
      </c>
      <c r="K57" s="45">
        <v>5.9246719586252808E-4</v>
      </c>
      <c r="L57" s="63">
        <v>4.1687171473585114E-3</v>
      </c>
    </row>
    <row r="58" spans="1:12" ht="25.5" x14ac:dyDescent="0.2">
      <c r="A58" s="64" t="s">
        <v>175</v>
      </c>
      <c r="B58" s="57">
        <f t="shared" si="2"/>
        <v>5.7772999999999974E-3</v>
      </c>
      <c r="C58" s="56">
        <v>5</v>
      </c>
      <c r="D58" s="58">
        <v>2</v>
      </c>
      <c r="E58" s="62">
        <v>0</v>
      </c>
      <c r="F58" s="45">
        <v>1.431572319414434E-3</v>
      </c>
      <c r="G58" s="45">
        <v>3.5548031751751683E-3</v>
      </c>
      <c r="H58" s="63">
        <v>2.5012302884151068E-2</v>
      </c>
      <c r="I58" s="62">
        <v>0</v>
      </c>
      <c r="J58" s="45">
        <v>0</v>
      </c>
      <c r="K58" s="45">
        <v>5.9246719586252808E-4</v>
      </c>
      <c r="L58" s="63">
        <v>4.1687171473585114E-3</v>
      </c>
    </row>
    <row r="59" spans="1:12" ht="25.5" x14ac:dyDescent="0.2">
      <c r="A59" s="56" t="s">
        <v>176</v>
      </c>
      <c r="B59" s="57">
        <f t="shared" si="2"/>
        <v>3.1000000000000001E-5</v>
      </c>
      <c r="C59" s="56">
        <v>5</v>
      </c>
      <c r="D59" s="58">
        <v>1</v>
      </c>
      <c r="E59" s="62">
        <v>0</v>
      </c>
      <c r="F59" s="45">
        <v>7.1578615970721701E-4</v>
      </c>
      <c r="G59" s="45">
        <v>1.7774015875875841E-3</v>
      </c>
      <c r="H59" s="63">
        <v>1.2506151442075534E-2</v>
      </c>
      <c r="I59" s="62">
        <v>0</v>
      </c>
      <c r="J59" s="45">
        <v>0</v>
      </c>
      <c r="K59" s="45">
        <v>5.9246719586252808E-4</v>
      </c>
      <c r="L59" s="63">
        <v>4.1687171473585114E-3</v>
      </c>
    </row>
    <row r="60" spans="1:12" x14ac:dyDescent="0.2">
      <c r="A60" s="56" t="s">
        <v>177</v>
      </c>
      <c r="B60" s="57">
        <f t="shared" si="2"/>
        <v>1.83E-4</v>
      </c>
      <c r="C60" s="56">
        <v>5</v>
      </c>
      <c r="D60" s="58">
        <v>1</v>
      </c>
      <c r="E60" s="62">
        <v>0</v>
      </c>
      <c r="F60" s="45">
        <v>7.1578615970721701E-4</v>
      </c>
      <c r="G60" s="45">
        <v>1.7774015875875841E-3</v>
      </c>
      <c r="H60" s="63">
        <v>1.2506151442075534E-2</v>
      </c>
      <c r="I60" s="62">
        <v>0</v>
      </c>
      <c r="J60" s="45">
        <v>0</v>
      </c>
      <c r="K60" s="45">
        <v>5.9246719586252808E-4</v>
      </c>
      <c r="L60" s="63">
        <v>4.1687171473585114E-3</v>
      </c>
    </row>
    <row r="61" spans="1:12" x14ac:dyDescent="0.2">
      <c r="A61" s="56" t="s">
        <v>178</v>
      </c>
      <c r="B61" s="57">
        <f t="shared" si="2"/>
        <v>2.6899999999999998E-4</v>
      </c>
      <c r="C61" s="56">
        <v>5</v>
      </c>
      <c r="D61" s="58">
        <v>2</v>
      </c>
      <c r="E61" s="62">
        <v>0</v>
      </c>
      <c r="F61" s="45">
        <v>1.431572319414434E-3</v>
      </c>
      <c r="G61" s="45">
        <v>3.5548031751751683E-3</v>
      </c>
      <c r="H61" s="63">
        <v>2.5012302884151068E-2</v>
      </c>
      <c r="I61" s="62">
        <v>0</v>
      </c>
      <c r="J61" s="45">
        <v>0</v>
      </c>
      <c r="K61" s="45">
        <v>5.9246719586252808E-4</v>
      </c>
      <c r="L61" s="63">
        <v>4.1687171473585114E-3</v>
      </c>
    </row>
    <row r="62" spans="1:12" x14ac:dyDescent="0.2">
      <c r="A62" s="56" t="s">
        <v>179</v>
      </c>
      <c r="B62" s="57">
        <f t="shared" si="2"/>
        <v>4.4789999999999995E-3</v>
      </c>
      <c r="C62" s="56">
        <v>5</v>
      </c>
      <c r="D62" s="58">
        <v>2</v>
      </c>
      <c r="E62" s="62">
        <v>0</v>
      </c>
      <c r="F62" s="45">
        <v>1.431572319414434E-3</v>
      </c>
      <c r="G62" s="45">
        <v>3.5548031751751683E-3</v>
      </c>
      <c r="H62" s="63">
        <v>2.5012302884151068E-2</v>
      </c>
      <c r="I62" s="62">
        <v>0</v>
      </c>
      <c r="J62" s="45">
        <v>0</v>
      </c>
      <c r="K62" s="45">
        <v>5.9246719586252808E-4</v>
      </c>
      <c r="L62" s="63">
        <v>4.1687171473585114E-3</v>
      </c>
    </row>
    <row r="63" spans="1:12" x14ac:dyDescent="0.2">
      <c r="A63" s="56" t="s">
        <v>180</v>
      </c>
      <c r="B63" s="57">
        <f t="shared" si="2"/>
        <v>1.3787999999999998E-2</v>
      </c>
      <c r="C63" s="56">
        <v>5</v>
      </c>
      <c r="D63" s="58">
        <v>2</v>
      </c>
      <c r="E63" s="62">
        <v>0</v>
      </c>
      <c r="F63" s="45">
        <v>1.431572319414434E-3</v>
      </c>
      <c r="G63" s="45">
        <v>3.5548031751751683E-3</v>
      </c>
      <c r="H63" s="63">
        <v>2.5012302884151068E-2</v>
      </c>
      <c r="I63" s="62">
        <v>0</v>
      </c>
      <c r="J63" s="45">
        <v>0</v>
      </c>
      <c r="K63" s="45">
        <v>5.9246719586252808E-4</v>
      </c>
      <c r="L63" s="63">
        <v>4.1687171473585114E-3</v>
      </c>
    </row>
    <row r="64" spans="1:12" x14ac:dyDescent="0.2">
      <c r="A64" s="56" t="s">
        <v>181</v>
      </c>
      <c r="B64" s="57">
        <f t="shared" si="2"/>
        <v>1.1710000000000002E-3</v>
      </c>
      <c r="C64" s="56">
        <v>5</v>
      </c>
      <c r="D64" s="58">
        <v>2</v>
      </c>
      <c r="E64" s="62">
        <v>0</v>
      </c>
      <c r="F64" s="45">
        <v>1.431572319414434E-3</v>
      </c>
      <c r="G64" s="45">
        <v>3.5548031751751683E-3</v>
      </c>
      <c r="H64" s="63">
        <v>2.5012302884151068E-2</v>
      </c>
      <c r="I64" s="62">
        <v>0</v>
      </c>
      <c r="J64" s="45">
        <v>0</v>
      </c>
      <c r="K64" s="45">
        <v>5.9246719586252808E-4</v>
      </c>
      <c r="L64" s="63">
        <v>4.1687171473585114E-3</v>
      </c>
    </row>
    <row r="65" spans="1:12" x14ac:dyDescent="0.2">
      <c r="A65" s="65" t="s">
        <v>182</v>
      </c>
      <c r="B65" s="66">
        <f t="shared" si="2"/>
        <v>0</v>
      </c>
      <c r="C65" s="65">
        <v>5</v>
      </c>
      <c r="D65" s="67">
        <v>1</v>
      </c>
      <c r="E65" s="68">
        <v>0</v>
      </c>
      <c r="F65" s="69">
        <v>0</v>
      </c>
      <c r="G65" s="69">
        <f>grnhouse_dep_05m</f>
        <v>0</v>
      </c>
      <c r="H65" s="69">
        <f>grnhouse_dep_05m</f>
        <v>0</v>
      </c>
      <c r="I65" s="68">
        <v>0</v>
      </c>
      <c r="J65" s="69">
        <v>0</v>
      </c>
      <c r="K65" s="69">
        <f>grnhouse_dep_05m</f>
        <v>0</v>
      </c>
      <c r="L65" s="70">
        <f>grnhouse_dep_05m</f>
        <v>0</v>
      </c>
    </row>
    <row r="66" spans="1:12" x14ac:dyDescent="0.2">
      <c r="A66" s="71" t="s">
        <v>167</v>
      </c>
      <c r="B66" s="72">
        <f t="shared" si="2"/>
        <v>2.519200000000001E-3</v>
      </c>
      <c r="C66" s="71">
        <v>10</v>
      </c>
      <c r="D66" s="58">
        <v>1</v>
      </c>
      <c r="E66" s="59">
        <f t="array" ref="E66:H80">INDEX(volatility_class_def,4,MATCH(volatility_class,INDEX(volatility_class_def,2,0),0))
*EXP(-0.05446*(INDEX(vd_percent_10m,,3)-1))
*INDEX(vd_percent_10m,,4)</f>
        <v>0</v>
      </c>
      <c r="F66" s="60">
        <v>5.4516116291849299E-4</v>
      </c>
      <c r="G66" s="60">
        <v>1.3537147978088422E-3</v>
      </c>
      <c r="H66" s="61">
        <v>9.5250068352613106E-3</v>
      </c>
      <c r="I66" s="59">
        <v>0</v>
      </c>
      <c r="J66" s="60">
        <v>0</v>
      </c>
      <c r="K66" s="60">
        <f t="array" ref="K66:L80">G66:H80/(3*D66:D80)</f>
        <v>4.5123826593628072E-4</v>
      </c>
      <c r="L66" s="61">
        <v>3.175002278420437E-3</v>
      </c>
    </row>
    <row r="67" spans="1:12" x14ac:dyDescent="0.2">
      <c r="A67" s="56" t="s">
        <v>168</v>
      </c>
      <c r="B67" s="57">
        <f t="shared" ref="B67:B69" si="3">VLOOKUP(A67,drift_loss,2,FALSE)</f>
        <v>5.0384000000000019E-3</v>
      </c>
      <c r="C67" s="56">
        <v>10</v>
      </c>
      <c r="D67" s="58">
        <v>1</v>
      </c>
      <c r="E67" s="62">
        <v>0</v>
      </c>
      <c r="F67" s="45">
        <v>5.4516116291849299E-4</v>
      </c>
      <c r="G67" s="45">
        <v>1.3537147978088422E-3</v>
      </c>
      <c r="H67" s="63">
        <v>9.5250068352613106E-3</v>
      </c>
      <c r="I67" s="62">
        <v>0</v>
      </c>
      <c r="J67" s="45">
        <v>0</v>
      </c>
      <c r="K67" s="45">
        <v>4.5123826593628072E-4</v>
      </c>
      <c r="L67" s="63">
        <v>3.175002278420437E-3</v>
      </c>
    </row>
    <row r="68" spans="1:12" x14ac:dyDescent="0.2">
      <c r="A68" s="56" t="s">
        <v>169</v>
      </c>
      <c r="B68" s="57">
        <f t="shared" si="3"/>
        <v>1.930008E-3</v>
      </c>
      <c r="C68" s="56">
        <v>10</v>
      </c>
      <c r="D68" s="58">
        <v>1</v>
      </c>
      <c r="E68" s="62">
        <v>0</v>
      </c>
      <c r="F68" s="45">
        <v>5.4516116291849299E-4</v>
      </c>
      <c r="G68" s="45">
        <v>1.3537147978088422E-3</v>
      </c>
      <c r="H68" s="63">
        <v>9.5250068352613106E-3</v>
      </c>
      <c r="I68" s="62">
        <v>0</v>
      </c>
      <c r="J68" s="45">
        <v>0</v>
      </c>
      <c r="K68" s="45">
        <v>4.5123826593628072E-4</v>
      </c>
      <c r="L68" s="63">
        <v>3.175002278420437E-3</v>
      </c>
    </row>
    <row r="69" spans="1:12" x14ac:dyDescent="0.2">
      <c r="A69" s="56" t="s">
        <v>170</v>
      </c>
      <c r="B69" s="57">
        <f t="shared" si="3"/>
        <v>5.7772999999999974E-3</v>
      </c>
      <c r="C69" s="56">
        <v>10</v>
      </c>
      <c r="D69" s="58">
        <v>2</v>
      </c>
      <c r="E69" s="62">
        <v>0</v>
      </c>
      <c r="F69" s="45">
        <v>1.090322325836986E-3</v>
      </c>
      <c r="G69" s="45">
        <v>2.7074295956176844E-3</v>
      </c>
      <c r="H69" s="63">
        <v>1.9050013670522621E-2</v>
      </c>
      <c r="I69" s="62">
        <v>0</v>
      </c>
      <c r="J69" s="45">
        <v>0</v>
      </c>
      <c r="K69" s="45">
        <v>4.5123826593628072E-4</v>
      </c>
      <c r="L69" s="63">
        <v>3.175002278420437E-3</v>
      </c>
    </row>
    <row r="70" spans="1:12" x14ac:dyDescent="0.2">
      <c r="A70" s="56" t="s">
        <v>171</v>
      </c>
      <c r="B70" s="57">
        <f t="shared" ref="B70:B82" si="4">VLOOKUP(A70,drift_loss,2,FALSE)</f>
        <v>3.0183100000000001E-2</v>
      </c>
      <c r="C70" s="56">
        <v>10</v>
      </c>
      <c r="D70" s="58">
        <v>2</v>
      </c>
      <c r="E70" s="62">
        <v>0</v>
      </c>
      <c r="F70" s="45">
        <v>1.090322325836986E-3</v>
      </c>
      <c r="G70" s="45">
        <v>2.7074295956176844E-3</v>
      </c>
      <c r="H70" s="63">
        <v>1.9050013670522621E-2</v>
      </c>
      <c r="I70" s="62">
        <v>0</v>
      </c>
      <c r="J70" s="45">
        <v>0</v>
      </c>
      <c r="K70" s="45">
        <v>4.5123826593628072E-4</v>
      </c>
      <c r="L70" s="63">
        <v>3.175002278420437E-3</v>
      </c>
    </row>
    <row r="71" spans="1:12" x14ac:dyDescent="0.2">
      <c r="A71" s="56" t="s">
        <v>172</v>
      </c>
      <c r="B71" s="57">
        <f t="shared" si="4"/>
        <v>1.33048E-2</v>
      </c>
      <c r="C71" s="56">
        <v>10</v>
      </c>
      <c r="D71" s="58">
        <v>2</v>
      </c>
      <c r="E71" s="62">
        <v>0</v>
      </c>
      <c r="F71" s="45">
        <v>1.090322325836986E-3</v>
      </c>
      <c r="G71" s="45">
        <v>2.7074295956176844E-3</v>
      </c>
      <c r="H71" s="63">
        <v>1.9050013670522621E-2</v>
      </c>
      <c r="I71" s="62">
        <v>0</v>
      </c>
      <c r="J71" s="45">
        <v>0</v>
      </c>
      <c r="K71" s="45">
        <v>4.5123826593628072E-4</v>
      </c>
      <c r="L71" s="63">
        <v>3.175002278420437E-3</v>
      </c>
    </row>
    <row r="72" spans="1:12" x14ac:dyDescent="0.2">
      <c r="A72" s="56" t="s">
        <v>173</v>
      </c>
      <c r="B72" s="57">
        <f t="shared" si="4"/>
        <v>1.7593599999999997E-2</v>
      </c>
      <c r="C72" s="56">
        <v>10</v>
      </c>
      <c r="D72" s="58">
        <v>2</v>
      </c>
      <c r="E72" s="62">
        <v>0</v>
      </c>
      <c r="F72" s="45">
        <v>1.090322325836986E-3</v>
      </c>
      <c r="G72" s="45">
        <v>2.7074295956176844E-3</v>
      </c>
      <c r="H72" s="63">
        <v>1.9050013670522621E-2</v>
      </c>
      <c r="I72" s="62">
        <v>0</v>
      </c>
      <c r="J72" s="45">
        <v>0</v>
      </c>
      <c r="K72" s="45">
        <v>4.5123826593628072E-4</v>
      </c>
      <c r="L72" s="63">
        <v>3.175002278420437E-3</v>
      </c>
    </row>
    <row r="73" spans="1:12" ht="25.5" x14ac:dyDescent="0.2">
      <c r="A73" s="64" t="s">
        <v>174</v>
      </c>
      <c r="B73" s="57">
        <f t="shared" si="4"/>
        <v>2.519200000000001E-3</v>
      </c>
      <c r="C73" s="56">
        <v>10</v>
      </c>
      <c r="D73" s="58">
        <v>1</v>
      </c>
      <c r="E73" s="62">
        <v>0</v>
      </c>
      <c r="F73" s="45">
        <v>5.4516116291849299E-4</v>
      </c>
      <c r="G73" s="45">
        <v>1.3537147978088422E-3</v>
      </c>
      <c r="H73" s="63">
        <v>9.5250068352613106E-3</v>
      </c>
      <c r="I73" s="62">
        <v>0</v>
      </c>
      <c r="J73" s="45">
        <v>0</v>
      </c>
      <c r="K73" s="45">
        <v>4.5123826593628072E-4</v>
      </c>
      <c r="L73" s="63">
        <v>3.175002278420437E-3</v>
      </c>
    </row>
    <row r="74" spans="1:12" ht="25.5" x14ac:dyDescent="0.2">
      <c r="A74" s="64" t="s">
        <v>175</v>
      </c>
      <c r="B74" s="57">
        <f t="shared" si="4"/>
        <v>5.7772999999999974E-3</v>
      </c>
      <c r="C74" s="56">
        <v>10</v>
      </c>
      <c r="D74" s="58">
        <v>2</v>
      </c>
      <c r="E74" s="62">
        <v>0</v>
      </c>
      <c r="F74" s="45">
        <v>1.090322325836986E-3</v>
      </c>
      <c r="G74" s="45">
        <v>2.7074295956176844E-3</v>
      </c>
      <c r="H74" s="63">
        <v>1.9050013670522621E-2</v>
      </c>
      <c r="I74" s="62">
        <v>0</v>
      </c>
      <c r="J74" s="45">
        <v>0</v>
      </c>
      <c r="K74" s="45">
        <v>4.5123826593628072E-4</v>
      </c>
      <c r="L74" s="63">
        <v>3.175002278420437E-3</v>
      </c>
    </row>
    <row r="75" spans="1:12" ht="25.5" x14ac:dyDescent="0.2">
      <c r="A75" s="56" t="s">
        <v>176</v>
      </c>
      <c r="B75" s="57">
        <f t="shared" si="4"/>
        <v>3.1000000000000001E-5</v>
      </c>
      <c r="C75" s="56">
        <v>10</v>
      </c>
      <c r="D75" s="58">
        <v>1</v>
      </c>
      <c r="E75" s="62">
        <v>0</v>
      </c>
      <c r="F75" s="45">
        <v>5.4516116291849299E-4</v>
      </c>
      <c r="G75" s="45">
        <v>1.3537147978088422E-3</v>
      </c>
      <c r="H75" s="63">
        <v>9.5250068352613106E-3</v>
      </c>
      <c r="I75" s="62">
        <v>0</v>
      </c>
      <c r="J75" s="45">
        <v>0</v>
      </c>
      <c r="K75" s="45">
        <v>4.5123826593628072E-4</v>
      </c>
      <c r="L75" s="63">
        <v>3.175002278420437E-3</v>
      </c>
    </row>
    <row r="76" spans="1:12" x14ac:dyDescent="0.2">
      <c r="A76" s="56" t="s">
        <v>177</v>
      </c>
      <c r="B76" s="57">
        <f t="shared" si="4"/>
        <v>1.83E-4</v>
      </c>
      <c r="C76" s="56">
        <v>10</v>
      </c>
      <c r="D76" s="58">
        <v>1</v>
      </c>
      <c r="E76" s="62">
        <v>0</v>
      </c>
      <c r="F76" s="45">
        <v>5.4516116291849299E-4</v>
      </c>
      <c r="G76" s="45">
        <v>1.3537147978088422E-3</v>
      </c>
      <c r="H76" s="63">
        <v>9.5250068352613106E-3</v>
      </c>
      <c r="I76" s="62">
        <v>0</v>
      </c>
      <c r="J76" s="45">
        <v>0</v>
      </c>
      <c r="K76" s="45">
        <v>4.5123826593628072E-4</v>
      </c>
      <c r="L76" s="63">
        <v>3.175002278420437E-3</v>
      </c>
    </row>
    <row r="77" spans="1:12" x14ac:dyDescent="0.2">
      <c r="A77" s="56" t="s">
        <v>178</v>
      </c>
      <c r="B77" s="57">
        <f t="shared" si="4"/>
        <v>2.6899999999999998E-4</v>
      </c>
      <c r="C77" s="56">
        <v>10</v>
      </c>
      <c r="D77" s="58">
        <v>2</v>
      </c>
      <c r="E77" s="62">
        <v>0</v>
      </c>
      <c r="F77" s="45">
        <v>1.090322325836986E-3</v>
      </c>
      <c r="G77" s="45">
        <v>2.7074295956176844E-3</v>
      </c>
      <c r="H77" s="63">
        <v>1.9050013670522621E-2</v>
      </c>
      <c r="I77" s="62">
        <v>0</v>
      </c>
      <c r="J77" s="45">
        <v>0</v>
      </c>
      <c r="K77" s="45">
        <v>4.5123826593628072E-4</v>
      </c>
      <c r="L77" s="63">
        <v>3.175002278420437E-3</v>
      </c>
    </row>
    <row r="78" spans="1:12" x14ac:dyDescent="0.2">
      <c r="A78" s="56" t="s">
        <v>179</v>
      </c>
      <c r="B78" s="57">
        <f t="shared" si="4"/>
        <v>4.4789999999999995E-3</v>
      </c>
      <c r="C78" s="56">
        <v>10</v>
      </c>
      <c r="D78" s="58">
        <v>2</v>
      </c>
      <c r="E78" s="62">
        <v>0</v>
      </c>
      <c r="F78" s="45">
        <v>1.090322325836986E-3</v>
      </c>
      <c r="G78" s="45">
        <v>2.7074295956176844E-3</v>
      </c>
      <c r="H78" s="63">
        <v>1.9050013670522621E-2</v>
      </c>
      <c r="I78" s="62">
        <v>0</v>
      </c>
      <c r="J78" s="45">
        <v>0</v>
      </c>
      <c r="K78" s="45">
        <v>4.5123826593628072E-4</v>
      </c>
      <c r="L78" s="63">
        <v>3.175002278420437E-3</v>
      </c>
    </row>
    <row r="79" spans="1:12" x14ac:dyDescent="0.2">
      <c r="A79" s="56" t="s">
        <v>180</v>
      </c>
      <c r="B79" s="57">
        <f t="shared" si="4"/>
        <v>1.3787999999999998E-2</v>
      </c>
      <c r="C79" s="56">
        <v>10</v>
      </c>
      <c r="D79" s="58">
        <v>2</v>
      </c>
      <c r="E79" s="62">
        <v>0</v>
      </c>
      <c r="F79" s="45">
        <v>1.090322325836986E-3</v>
      </c>
      <c r="G79" s="45">
        <v>2.7074295956176844E-3</v>
      </c>
      <c r="H79" s="63">
        <v>1.9050013670522621E-2</v>
      </c>
      <c r="I79" s="62">
        <v>0</v>
      </c>
      <c r="J79" s="45">
        <v>0</v>
      </c>
      <c r="K79" s="45">
        <v>4.5123826593628072E-4</v>
      </c>
      <c r="L79" s="63">
        <v>3.175002278420437E-3</v>
      </c>
    </row>
    <row r="80" spans="1:12" x14ac:dyDescent="0.2">
      <c r="A80" s="56" t="s">
        <v>181</v>
      </c>
      <c r="B80" s="57">
        <f t="shared" si="4"/>
        <v>1.1710000000000002E-3</v>
      </c>
      <c r="C80" s="56">
        <v>10</v>
      </c>
      <c r="D80" s="58">
        <v>2</v>
      </c>
      <c r="E80" s="62">
        <v>0</v>
      </c>
      <c r="F80" s="45">
        <v>1.090322325836986E-3</v>
      </c>
      <c r="G80" s="45">
        <v>2.7074295956176844E-3</v>
      </c>
      <c r="H80" s="63">
        <v>1.9050013670522621E-2</v>
      </c>
      <c r="I80" s="62">
        <v>0</v>
      </c>
      <c r="J80" s="45">
        <v>0</v>
      </c>
      <c r="K80" s="45">
        <v>4.5123826593628072E-4</v>
      </c>
      <c r="L80" s="63">
        <v>3.175002278420437E-3</v>
      </c>
    </row>
    <row r="81" spans="1:12" x14ac:dyDescent="0.2">
      <c r="A81" s="65" t="s">
        <v>182</v>
      </c>
      <c r="B81" s="66">
        <f t="shared" si="4"/>
        <v>0</v>
      </c>
      <c r="C81" s="65">
        <v>10</v>
      </c>
      <c r="D81" s="67">
        <v>1</v>
      </c>
      <c r="E81" s="68">
        <v>0</v>
      </c>
      <c r="F81" s="69">
        <v>0</v>
      </c>
      <c r="G81" s="69">
        <f>grnhouse_dep_10m</f>
        <v>0</v>
      </c>
      <c r="H81" s="69">
        <f>grnhouse_dep_10m</f>
        <v>0</v>
      </c>
      <c r="I81" s="68">
        <v>0</v>
      </c>
      <c r="J81" s="69">
        <v>0</v>
      </c>
      <c r="K81" s="69">
        <f>grnhouse_dep_10m</f>
        <v>0</v>
      </c>
      <c r="L81" s="70">
        <f>grnhouse_dep_10m</f>
        <v>0</v>
      </c>
    </row>
    <row r="82" spans="1:12" x14ac:dyDescent="0.2">
      <c r="A82" s="71" t="s">
        <v>167</v>
      </c>
      <c r="B82" s="72">
        <f t="shared" si="4"/>
        <v>2.519200000000001E-3</v>
      </c>
      <c r="C82" s="71">
        <v>15</v>
      </c>
      <c r="D82" s="58">
        <v>1</v>
      </c>
      <c r="E82" s="59">
        <f t="array" ref="E82:H96">INDEX(volatility_class_def,4,MATCH(volatility_class,INDEX(volatility_class_def,2,0),0))
*EXP(-0.05446*(INDEX(vd_percent_15m,,3)-1))
*INDEX(vd_percent_15m,,4)</f>
        <v>0</v>
      </c>
      <c r="F82" s="60">
        <v>4.1520877363179206E-4</v>
      </c>
      <c r="G82" s="60">
        <v>1.0310240334002927E-3</v>
      </c>
      <c r="H82" s="61">
        <v>7.2544903707577151E-3</v>
      </c>
      <c r="I82" s="59">
        <v>0</v>
      </c>
      <c r="J82" s="60">
        <v>0</v>
      </c>
      <c r="K82" s="60">
        <f t="array" ref="K82:L96">G82:H96/(3*D82:D96)</f>
        <v>3.4367467780009755E-4</v>
      </c>
      <c r="L82" s="61">
        <v>2.4181634569192382E-3</v>
      </c>
    </row>
    <row r="83" spans="1:12" x14ac:dyDescent="0.2">
      <c r="A83" s="56" t="s">
        <v>168</v>
      </c>
      <c r="B83" s="57">
        <f t="shared" ref="B83:B98" si="5">VLOOKUP(A83,drift_loss,2,FALSE)</f>
        <v>5.0384000000000019E-3</v>
      </c>
      <c r="C83" s="56">
        <v>15</v>
      </c>
      <c r="D83" s="58">
        <v>1</v>
      </c>
      <c r="E83" s="62">
        <v>0</v>
      </c>
      <c r="F83" s="45">
        <v>4.1520877363179206E-4</v>
      </c>
      <c r="G83" s="45">
        <v>1.0310240334002927E-3</v>
      </c>
      <c r="H83" s="63">
        <v>7.2544903707577151E-3</v>
      </c>
      <c r="I83" s="62">
        <v>0</v>
      </c>
      <c r="J83" s="45">
        <v>0</v>
      </c>
      <c r="K83" s="45">
        <v>3.4367467780009755E-4</v>
      </c>
      <c r="L83" s="63">
        <v>2.4181634569192382E-3</v>
      </c>
    </row>
    <row r="84" spans="1:12" x14ac:dyDescent="0.2">
      <c r="A84" s="56" t="s">
        <v>169</v>
      </c>
      <c r="B84" s="57">
        <f t="shared" si="5"/>
        <v>1.930008E-3</v>
      </c>
      <c r="C84" s="56">
        <v>15</v>
      </c>
      <c r="D84" s="58">
        <v>1</v>
      </c>
      <c r="E84" s="62">
        <v>0</v>
      </c>
      <c r="F84" s="45">
        <v>4.1520877363179206E-4</v>
      </c>
      <c r="G84" s="45">
        <v>1.0310240334002927E-3</v>
      </c>
      <c r="H84" s="63">
        <v>7.2544903707577151E-3</v>
      </c>
      <c r="I84" s="62">
        <v>0</v>
      </c>
      <c r="J84" s="45">
        <v>0</v>
      </c>
      <c r="K84" s="45">
        <v>3.4367467780009755E-4</v>
      </c>
      <c r="L84" s="63">
        <v>2.4181634569192382E-3</v>
      </c>
    </row>
    <row r="85" spans="1:12" x14ac:dyDescent="0.2">
      <c r="A85" s="56" t="s">
        <v>170</v>
      </c>
      <c r="B85" s="57">
        <f t="shared" si="5"/>
        <v>5.7772999999999974E-3</v>
      </c>
      <c r="C85" s="56">
        <v>15</v>
      </c>
      <c r="D85" s="58">
        <v>2</v>
      </c>
      <c r="E85" s="62">
        <v>0</v>
      </c>
      <c r="F85" s="45">
        <v>8.3041754726358413E-4</v>
      </c>
      <c r="G85" s="45">
        <v>2.0620480668005854E-3</v>
      </c>
      <c r="H85" s="63">
        <v>1.450898074151543E-2</v>
      </c>
      <c r="I85" s="62">
        <v>0</v>
      </c>
      <c r="J85" s="45">
        <v>0</v>
      </c>
      <c r="K85" s="45">
        <v>3.4367467780009755E-4</v>
      </c>
      <c r="L85" s="63">
        <v>2.4181634569192382E-3</v>
      </c>
    </row>
    <row r="86" spans="1:12" x14ac:dyDescent="0.2">
      <c r="A86" s="56" t="s">
        <v>171</v>
      </c>
      <c r="B86" s="57">
        <f t="shared" si="5"/>
        <v>3.0183100000000001E-2</v>
      </c>
      <c r="C86" s="56">
        <v>15</v>
      </c>
      <c r="D86" s="58">
        <v>2</v>
      </c>
      <c r="E86" s="62">
        <v>0</v>
      </c>
      <c r="F86" s="45">
        <v>8.3041754726358413E-4</v>
      </c>
      <c r="G86" s="45">
        <v>2.0620480668005854E-3</v>
      </c>
      <c r="H86" s="63">
        <v>1.450898074151543E-2</v>
      </c>
      <c r="I86" s="62">
        <v>0</v>
      </c>
      <c r="J86" s="45">
        <v>0</v>
      </c>
      <c r="K86" s="45">
        <v>3.4367467780009755E-4</v>
      </c>
      <c r="L86" s="63">
        <v>2.4181634569192382E-3</v>
      </c>
    </row>
    <row r="87" spans="1:12" x14ac:dyDescent="0.2">
      <c r="A87" s="56" t="s">
        <v>172</v>
      </c>
      <c r="B87" s="57">
        <f t="shared" si="5"/>
        <v>1.33048E-2</v>
      </c>
      <c r="C87" s="56">
        <v>15</v>
      </c>
      <c r="D87" s="58">
        <v>2</v>
      </c>
      <c r="E87" s="62">
        <v>0</v>
      </c>
      <c r="F87" s="45">
        <v>8.3041754726358413E-4</v>
      </c>
      <c r="G87" s="45">
        <v>2.0620480668005854E-3</v>
      </c>
      <c r="H87" s="63">
        <v>1.450898074151543E-2</v>
      </c>
      <c r="I87" s="62">
        <v>0</v>
      </c>
      <c r="J87" s="45">
        <v>0</v>
      </c>
      <c r="K87" s="45">
        <v>3.4367467780009755E-4</v>
      </c>
      <c r="L87" s="63">
        <v>2.4181634569192382E-3</v>
      </c>
    </row>
    <row r="88" spans="1:12" x14ac:dyDescent="0.2">
      <c r="A88" s="56" t="s">
        <v>173</v>
      </c>
      <c r="B88" s="57">
        <f t="shared" si="5"/>
        <v>1.7593599999999997E-2</v>
      </c>
      <c r="C88" s="56">
        <v>15</v>
      </c>
      <c r="D88" s="58">
        <v>2</v>
      </c>
      <c r="E88" s="62">
        <v>0</v>
      </c>
      <c r="F88" s="45">
        <v>8.3041754726358413E-4</v>
      </c>
      <c r="G88" s="45">
        <v>2.0620480668005854E-3</v>
      </c>
      <c r="H88" s="63">
        <v>1.450898074151543E-2</v>
      </c>
      <c r="I88" s="62">
        <v>0</v>
      </c>
      <c r="J88" s="45">
        <v>0</v>
      </c>
      <c r="K88" s="45">
        <v>3.4367467780009755E-4</v>
      </c>
      <c r="L88" s="63">
        <v>2.4181634569192382E-3</v>
      </c>
    </row>
    <row r="89" spans="1:12" ht="25.5" x14ac:dyDescent="0.2">
      <c r="A89" s="64" t="s">
        <v>174</v>
      </c>
      <c r="B89" s="57">
        <f t="shared" si="5"/>
        <v>2.519200000000001E-3</v>
      </c>
      <c r="C89" s="56">
        <v>15</v>
      </c>
      <c r="D89" s="58">
        <v>1</v>
      </c>
      <c r="E89" s="62">
        <v>0</v>
      </c>
      <c r="F89" s="45">
        <v>4.1520877363179206E-4</v>
      </c>
      <c r="G89" s="45">
        <v>1.0310240334002927E-3</v>
      </c>
      <c r="H89" s="63">
        <v>7.2544903707577151E-3</v>
      </c>
      <c r="I89" s="62">
        <v>0</v>
      </c>
      <c r="J89" s="45">
        <v>0</v>
      </c>
      <c r="K89" s="45">
        <v>3.4367467780009755E-4</v>
      </c>
      <c r="L89" s="63">
        <v>2.4181634569192382E-3</v>
      </c>
    </row>
    <row r="90" spans="1:12" ht="25.5" x14ac:dyDescent="0.2">
      <c r="A90" s="64" t="s">
        <v>175</v>
      </c>
      <c r="B90" s="57">
        <f t="shared" si="5"/>
        <v>5.7772999999999974E-3</v>
      </c>
      <c r="C90" s="56">
        <v>15</v>
      </c>
      <c r="D90" s="58">
        <v>2</v>
      </c>
      <c r="E90" s="62">
        <v>0</v>
      </c>
      <c r="F90" s="45">
        <v>8.3041754726358413E-4</v>
      </c>
      <c r="G90" s="45">
        <v>2.0620480668005854E-3</v>
      </c>
      <c r="H90" s="63">
        <v>1.450898074151543E-2</v>
      </c>
      <c r="I90" s="62">
        <v>0</v>
      </c>
      <c r="J90" s="45">
        <v>0</v>
      </c>
      <c r="K90" s="45">
        <v>3.4367467780009755E-4</v>
      </c>
      <c r="L90" s="63">
        <v>2.4181634569192382E-3</v>
      </c>
    </row>
    <row r="91" spans="1:12" ht="25.5" x14ac:dyDescent="0.2">
      <c r="A91" s="56" t="s">
        <v>176</v>
      </c>
      <c r="B91" s="57">
        <f t="shared" si="5"/>
        <v>3.1000000000000001E-5</v>
      </c>
      <c r="C91" s="56">
        <v>15</v>
      </c>
      <c r="D91" s="58">
        <v>1</v>
      </c>
      <c r="E91" s="62">
        <v>0</v>
      </c>
      <c r="F91" s="45">
        <v>4.1520877363179206E-4</v>
      </c>
      <c r="G91" s="45">
        <v>1.0310240334002927E-3</v>
      </c>
      <c r="H91" s="63">
        <v>7.2544903707577151E-3</v>
      </c>
      <c r="I91" s="62">
        <v>0</v>
      </c>
      <c r="J91" s="45">
        <v>0</v>
      </c>
      <c r="K91" s="45">
        <v>3.4367467780009755E-4</v>
      </c>
      <c r="L91" s="63">
        <v>2.4181634569192382E-3</v>
      </c>
    </row>
    <row r="92" spans="1:12" x14ac:dyDescent="0.2">
      <c r="A92" s="56" t="s">
        <v>177</v>
      </c>
      <c r="B92" s="57">
        <f t="shared" si="5"/>
        <v>1.83E-4</v>
      </c>
      <c r="C92" s="56">
        <v>15</v>
      </c>
      <c r="D92" s="58">
        <v>1</v>
      </c>
      <c r="E92" s="62">
        <v>0</v>
      </c>
      <c r="F92" s="45">
        <v>4.1520877363179206E-4</v>
      </c>
      <c r="G92" s="45">
        <v>1.0310240334002927E-3</v>
      </c>
      <c r="H92" s="63">
        <v>7.2544903707577151E-3</v>
      </c>
      <c r="I92" s="62">
        <v>0</v>
      </c>
      <c r="J92" s="45">
        <v>0</v>
      </c>
      <c r="K92" s="45">
        <v>3.4367467780009755E-4</v>
      </c>
      <c r="L92" s="63">
        <v>2.4181634569192382E-3</v>
      </c>
    </row>
    <row r="93" spans="1:12" x14ac:dyDescent="0.2">
      <c r="A93" s="56" t="s">
        <v>178</v>
      </c>
      <c r="B93" s="57">
        <f t="shared" si="5"/>
        <v>2.6899999999999998E-4</v>
      </c>
      <c r="C93" s="56">
        <v>15</v>
      </c>
      <c r="D93" s="58">
        <v>2</v>
      </c>
      <c r="E93" s="62">
        <v>0</v>
      </c>
      <c r="F93" s="45">
        <v>8.3041754726358413E-4</v>
      </c>
      <c r="G93" s="45">
        <v>2.0620480668005854E-3</v>
      </c>
      <c r="H93" s="63">
        <v>1.450898074151543E-2</v>
      </c>
      <c r="I93" s="62">
        <v>0</v>
      </c>
      <c r="J93" s="45">
        <v>0</v>
      </c>
      <c r="K93" s="45">
        <v>3.4367467780009755E-4</v>
      </c>
      <c r="L93" s="63">
        <v>2.4181634569192382E-3</v>
      </c>
    </row>
    <row r="94" spans="1:12" x14ac:dyDescent="0.2">
      <c r="A94" s="56" t="s">
        <v>179</v>
      </c>
      <c r="B94" s="57">
        <f t="shared" si="5"/>
        <v>4.4789999999999995E-3</v>
      </c>
      <c r="C94" s="56">
        <v>15</v>
      </c>
      <c r="D94" s="58">
        <v>2</v>
      </c>
      <c r="E94" s="62">
        <v>0</v>
      </c>
      <c r="F94" s="45">
        <v>8.3041754726358413E-4</v>
      </c>
      <c r="G94" s="45">
        <v>2.0620480668005854E-3</v>
      </c>
      <c r="H94" s="63">
        <v>1.450898074151543E-2</v>
      </c>
      <c r="I94" s="62">
        <v>0</v>
      </c>
      <c r="J94" s="45">
        <v>0</v>
      </c>
      <c r="K94" s="45">
        <v>3.4367467780009755E-4</v>
      </c>
      <c r="L94" s="63">
        <v>2.4181634569192382E-3</v>
      </c>
    </row>
    <row r="95" spans="1:12" x14ac:dyDescent="0.2">
      <c r="A95" s="56" t="s">
        <v>180</v>
      </c>
      <c r="B95" s="57">
        <f t="shared" si="5"/>
        <v>1.3787999999999998E-2</v>
      </c>
      <c r="C95" s="56">
        <v>15</v>
      </c>
      <c r="D95" s="58">
        <v>2</v>
      </c>
      <c r="E95" s="62">
        <v>0</v>
      </c>
      <c r="F95" s="45">
        <v>8.3041754726358413E-4</v>
      </c>
      <c r="G95" s="45">
        <v>2.0620480668005854E-3</v>
      </c>
      <c r="H95" s="63">
        <v>1.450898074151543E-2</v>
      </c>
      <c r="I95" s="62">
        <v>0</v>
      </c>
      <c r="J95" s="45">
        <v>0</v>
      </c>
      <c r="K95" s="45">
        <v>3.4367467780009755E-4</v>
      </c>
      <c r="L95" s="63">
        <v>2.4181634569192382E-3</v>
      </c>
    </row>
    <row r="96" spans="1:12" x14ac:dyDescent="0.2">
      <c r="A96" s="56" t="s">
        <v>181</v>
      </c>
      <c r="B96" s="57">
        <f t="shared" si="5"/>
        <v>1.1710000000000002E-3</v>
      </c>
      <c r="C96" s="56">
        <v>15</v>
      </c>
      <c r="D96" s="58">
        <v>2</v>
      </c>
      <c r="E96" s="62">
        <v>0</v>
      </c>
      <c r="F96" s="45">
        <v>8.3041754726358413E-4</v>
      </c>
      <c r="G96" s="45">
        <v>2.0620480668005854E-3</v>
      </c>
      <c r="H96" s="63">
        <v>1.450898074151543E-2</v>
      </c>
      <c r="I96" s="62">
        <v>0</v>
      </c>
      <c r="J96" s="45">
        <v>0</v>
      </c>
      <c r="K96" s="45">
        <v>3.4367467780009755E-4</v>
      </c>
      <c r="L96" s="63">
        <v>2.4181634569192382E-3</v>
      </c>
    </row>
    <row r="97" spans="1:12" x14ac:dyDescent="0.2">
      <c r="A97" s="65" t="s">
        <v>182</v>
      </c>
      <c r="B97" s="66">
        <f t="shared" si="5"/>
        <v>0</v>
      </c>
      <c r="C97" s="65">
        <v>15</v>
      </c>
      <c r="D97" s="67">
        <v>1</v>
      </c>
      <c r="E97" s="68">
        <v>0</v>
      </c>
      <c r="F97" s="69">
        <v>0</v>
      </c>
      <c r="G97" s="69">
        <f>grnhouse_dep_15m</f>
        <v>0</v>
      </c>
      <c r="H97" s="69">
        <f>grnhouse_dep_15m</f>
        <v>0</v>
      </c>
      <c r="I97" s="68">
        <v>0</v>
      </c>
      <c r="J97" s="69">
        <v>0</v>
      </c>
      <c r="K97" s="69">
        <f>grnhouse_dep_15m</f>
        <v>0</v>
      </c>
      <c r="L97" s="70">
        <f>grnhouse_dep_15m</f>
        <v>0</v>
      </c>
    </row>
    <row r="98" spans="1:12" x14ac:dyDescent="0.2">
      <c r="A98" s="71" t="s">
        <v>167</v>
      </c>
      <c r="B98" s="72">
        <f t="shared" si="5"/>
        <v>2.519200000000001E-3</v>
      </c>
      <c r="C98" s="71">
        <v>20</v>
      </c>
      <c r="D98" s="58">
        <v>1</v>
      </c>
      <c r="E98" s="59">
        <f t="array" ref="E98:H112">INDEX(volatility_class_def,4,MATCH(volatility_class,INDEX(volatility_class_def,2,0),0))
*EXP(-0.05446*(INDEX(vd_percent_20m,,3)-1))
*INDEX(vd_percent_20m,,4)</f>
        <v>0</v>
      </c>
      <c r="F98" s="60">
        <v>3.16233689094599E-4</v>
      </c>
      <c r="G98" s="60">
        <v>7.8525444145962243E-4</v>
      </c>
      <c r="H98" s="61">
        <v>5.5252065903606913E-3</v>
      </c>
      <c r="I98" s="59">
        <v>0</v>
      </c>
      <c r="J98" s="60">
        <v>0</v>
      </c>
      <c r="K98" s="60">
        <f t="array" ref="K98:L112">G98:H112/(3*D98:D112)</f>
        <v>2.6175148048654081E-4</v>
      </c>
      <c r="L98" s="61">
        <v>1.8417355301202304E-3</v>
      </c>
    </row>
    <row r="99" spans="1:12" x14ac:dyDescent="0.2">
      <c r="A99" s="56" t="s">
        <v>168</v>
      </c>
      <c r="B99" s="57">
        <f t="shared" ref="B99:B107" si="6">VLOOKUP(A99,drift_loss,2,FALSE)</f>
        <v>5.0384000000000019E-3</v>
      </c>
      <c r="C99" s="56">
        <v>20</v>
      </c>
      <c r="D99" s="58">
        <v>1</v>
      </c>
      <c r="E99" s="62">
        <v>0</v>
      </c>
      <c r="F99" s="45">
        <v>3.16233689094599E-4</v>
      </c>
      <c r="G99" s="45">
        <v>7.8525444145962243E-4</v>
      </c>
      <c r="H99" s="63">
        <v>5.5252065903606913E-3</v>
      </c>
      <c r="I99" s="62">
        <v>0</v>
      </c>
      <c r="J99" s="45">
        <v>0</v>
      </c>
      <c r="K99" s="45">
        <v>2.6175148048654081E-4</v>
      </c>
      <c r="L99" s="63">
        <v>1.8417355301202304E-3</v>
      </c>
    </row>
    <row r="100" spans="1:12" x14ac:dyDescent="0.2">
      <c r="A100" s="56" t="s">
        <v>169</v>
      </c>
      <c r="B100" s="57">
        <f t="shared" si="6"/>
        <v>1.930008E-3</v>
      </c>
      <c r="C100" s="56">
        <v>20</v>
      </c>
      <c r="D100" s="58">
        <v>1</v>
      </c>
      <c r="E100" s="62">
        <v>0</v>
      </c>
      <c r="F100" s="45">
        <v>3.16233689094599E-4</v>
      </c>
      <c r="G100" s="45">
        <v>7.8525444145962243E-4</v>
      </c>
      <c r="H100" s="63">
        <v>5.5252065903606913E-3</v>
      </c>
      <c r="I100" s="62">
        <v>0</v>
      </c>
      <c r="J100" s="45">
        <v>0</v>
      </c>
      <c r="K100" s="45">
        <v>2.6175148048654081E-4</v>
      </c>
      <c r="L100" s="63">
        <v>1.8417355301202304E-3</v>
      </c>
    </row>
    <row r="101" spans="1:12" x14ac:dyDescent="0.2">
      <c r="A101" s="56" t="s">
        <v>170</v>
      </c>
      <c r="B101" s="57">
        <f t="shared" si="6"/>
        <v>5.7772999999999974E-3</v>
      </c>
      <c r="C101" s="56">
        <v>20</v>
      </c>
      <c r="D101" s="58">
        <v>2</v>
      </c>
      <c r="E101" s="62">
        <v>0</v>
      </c>
      <c r="F101" s="45">
        <v>6.32467378189198E-4</v>
      </c>
      <c r="G101" s="45">
        <v>1.5705088829192449E-3</v>
      </c>
      <c r="H101" s="63">
        <v>1.1050413180721383E-2</v>
      </c>
      <c r="I101" s="62">
        <v>0</v>
      </c>
      <c r="J101" s="45">
        <v>0</v>
      </c>
      <c r="K101" s="45">
        <v>2.6175148048654081E-4</v>
      </c>
      <c r="L101" s="63">
        <v>1.8417355301202304E-3</v>
      </c>
    </row>
    <row r="102" spans="1:12" x14ac:dyDescent="0.2">
      <c r="A102" s="56" t="s">
        <v>171</v>
      </c>
      <c r="B102" s="57">
        <f t="shared" si="6"/>
        <v>3.0183100000000001E-2</v>
      </c>
      <c r="C102" s="56">
        <v>20</v>
      </c>
      <c r="D102" s="58">
        <v>2</v>
      </c>
      <c r="E102" s="62">
        <v>0</v>
      </c>
      <c r="F102" s="45">
        <v>6.32467378189198E-4</v>
      </c>
      <c r="G102" s="45">
        <v>1.5705088829192449E-3</v>
      </c>
      <c r="H102" s="63">
        <v>1.1050413180721383E-2</v>
      </c>
      <c r="I102" s="62">
        <v>0</v>
      </c>
      <c r="J102" s="45">
        <v>0</v>
      </c>
      <c r="K102" s="45">
        <v>2.6175148048654081E-4</v>
      </c>
      <c r="L102" s="63">
        <v>1.8417355301202304E-3</v>
      </c>
    </row>
    <row r="103" spans="1:12" x14ac:dyDescent="0.2">
      <c r="A103" s="56" t="s">
        <v>172</v>
      </c>
      <c r="B103" s="57">
        <f t="shared" si="6"/>
        <v>1.33048E-2</v>
      </c>
      <c r="C103" s="56">
        <v>20</v>
      </c>
      <c r="D103" s="58">
        <v>2</v>
      </c>
      <c r="E103" s="62">
        <v>0</v>
      </c>
      <c r="F103" s="45">
        <v>6.32467378189198E-4</v>
      </c>
      <c r="G103" s="45">
        <v>1.5705088829192449E-3</v>
      </c>
      <c r="H103" s="63">
        <v>1.1050413180721383E-2</v>
      </c>
      <c r="I103" s="62">
        <v>0</v>
      </c>
      <c r="J103" s="45">
        <v>0</v>
      </c>
      <c r="K103" s="45">
        <v>2.6175148048654081E-4</v>
      </c>
      <c r="L103" s="63">
        <v>1.8417355301202304E-3</v>
      </c>
    </row>
    <row r="104" spans="1:12" x14ac:dyDescent="0.2">
      <c r="A104" s="56" t="s">
        <v>173</v>
      </c>
      <c r="B104" s="57">
        <f t="shared" si="6"/>
        <v>1.7593599999999997E-2</v>
      </c>
      <c r="C104" s="56">
        <v>20</v>
      </c>
      <c r="D104" s="58">
        <v>2</v>
      </c>
      <c r="E104" s="62">
        <v>0</v>
      </c>
      <c r="F104" s="45">
        <v>6.32467378189198E-4</v>
      </c>
      <c r="G104" s="45">
        <v>1.5705088829192449E-3</v>
      </c>
      <c r="H104" s="63">
        <v>1.1050413180721383E-2</v>
      </c>
      <c r="I104" s="62">
        <v>0</v>
      </c>
      <c r="J104" s="45">
        <v>0</v>
      </c>
      <c r="K104" s="45">
        <v>2.6175148048654081E-4</v>
      </c>
      <c r="L104" s="63">
        <v>1.8417355301202304E-3</v>
      </c>
    </row>
    <row r="105" spans="1:12" ht="25.5" x14ac:dyDescent="0.2">
      <c r="A105" s="64" t="s">
        <v>174</v>
      </c>
      <c r="B105" s="57">
        <f t="shared" si="6"/>
        <v>2.519200000000001E-3</v>
      </c>
      <c r="C105" s="56">
        <v>20</v>
      </c>
      <c r="D105" s="58">
        <v>1</v>
      </c>
      <c r="E105" s="62">
        <v>0</v>
      </c>
      <c r="F105" s="45">
        <v>3.16233689094599E-4</v>
      </c>
      <c r="G105" s="45">
        <v>7.8525444145962243E-4</v>
      </c>
      <c r="H105" s="63">
        <v>5.5252065903606913E-3</v>
      </c>
      <c r="I105" s="62">
        <v>0</v>
      </c>
      <c r="J105" s="45">
        <v>0</v>
      </c>
      <c r="K105" s="45">
        <v>2.6175148048654081E-4</v>
      </c>
      <c r="L105" s="63">
        <v>1.8417355301202304E-3</v>
      </c>
    </row>
    <row r="106" spans="1:12" ht="25.5" x14ac:dyDescent="0.2">
      <c r="A106" s="64" t="s">
        <v>175</v>
      </c>
      <c r="B106" s="57">
        <f t="shared" si="6"/>
        <v>5.7772999999999974E-3</v>
      </c>
      <c r="C106" s="56">
        <v>20</v>
      </c>
      <c r="D106" s="58">
        <v>2</v>
      </c>
      <c r="E106" s="62">
        <v>0</v>
      </c>
      <c r="F106" s="45">
        <v>6.32467378189198E-4</v>
      </c>
      <c r="G106" s="45">
        <v>1.5705088829192449E-3</v>
      </c>
      <c r="H106" s="63">
        <v>1.1050413180721383E-2</v>
      </c>
      <c r="I106" s="62">
        <v>0</v>
      </c>
      <c r="J106" s="45">
        <v>0</v>
      </c>
      <c r="K106" s="45">
        <v>2.6175148048654081E-4</v>
      </c>
      <c r="L106" s="63">
        <v>1.8417355301202304E-3</v>
      </c>
    </row>
    <row r="107" spans="1:12" ht="25.5" x14ac:dyDescent="0.2">
      <c r="A107" s="56" t="s">
        <v>176</v>
      </c>
      <c r="B107" s="57">
        <f t="shared" si="6"/>
        <v>3.1000000000000001E-5</v>
      </c>
      <c r="C107" s="56">
        <v>20</v>
      </c>
      <c r="D107" s="58">
        <v>1</v>
      </c>
      <c r="E107" s="62">
        <v>0</v>
      </c>
      <c r="F107" s="45">
        <v>3.16233689094599E-4</v>
      </c>
      <c r="G107" s="45">
        <v>7.8525444145962243E-4</v>
      </c>
      <c r="H107" s="63">
        <v>5.5252065903606913E-3</v>
      </c>
      <c r="I107" s="62">
        <v>0</v>
      </c>
      <c r="J107" s="45">
        <v>0</v>
      </c>
      <c r="K107" s="45">
        <v>2.6175148048654081E-4</v>
      </c>
      <c r="L107" s="63">
        <v>1.8417355301202304E-3</v>
      </c>
    </row>
    <row r="108" spans="1:12" x14ac:dyDescent="0.2">
      <c r="A108" s="56" t="s">
        <v>177</v>
      </c>
      <c r="B108" s="57">
        <f t="shared" ref="B108:B113" si="7">VLOOKUP(A108,drift_loss,2,FALSE)</f>
        <v>1.83E-4</v>
      </c>
      <c r="C108" s="56">
        <v>20</v>
      </c>
      <c r="D108" s="58">
        <v>1</v>
      </c>
      <c r="E108" s="62">
        <v>0</v>
      </c>
      <c r="F108" s="45">
        <v>3.16233689094599E-4</v>
      </c>
      <c r="G108" s="45">
        <v>7.8525444145962243E-4</v>
      </c>
      <c r="H108" s="63">
        <v>5.5252065903606913E-3</v>
      </c>
      <c r="I108" s="62">
        <v>0</v>
      </c>
      <c r="J108" s="45">
        <v>0</v>
      </c>
      <c r="K108" s="45">
        <v>2.6175148048654081E-4</v>
      </c>
      <c r="L108" s="63">
        <v>1.8417355301202304E-3</v>
      </c>
    </row>
    <row r="109" spans="1:12" x14ac:dyDescent="0.2">
      <c r="A109" s="56" t="s">
        <v>178</v>
      </c>
      <c r="B109" s="57">
        <f t="shared" si="7"/>
        <v>2.6899999999999998E-4</v>
      </c>
      <c r="C109" s="56">
        <v>20</v>
      </c>
      <c r="D109" s="58">
        <v>2</v>
      </c>
      <c r="E109" s="62">
        <v>0</v>
      </c>
      <c r="F109" s="45">
        <v>6.32467378189198E-4</v>
      </c>
      <c r="G109" s="45">
        <v>1.5705088829192449E-3</v>
      </c>
      <c r="H109" s="63">
        <v>1.1050413180721383E-2</v>
      </c>
      <c r="I109" s="62">
        <v>0</v>
      </c>
      <c r="J109" s="45">
        <v>0</v>
      </c>
      <c r="K109" s="45">
        <v>2.6175148048654081E-4</v>
      </c>
      <c r="L109" s="63">
        <v>1.8417355301202304E-3</v>
      </c>
    </row>
    <row r="110" spans="1:12" x14ac:dyDescent="0.2">
      <c r="A110" s="56" t="s">
        <v>179</v>
      </c>
      <c r="B110" s="57">
        <f t="shared" si="7"/>
        <v>4.4789999999999995E-3</v>
      </c>
      <c r="C110" s="56">
        <v>20</v>
      </c>
      <c r="D110" s="58">
        <v>2</v>
      </c>
      <c r="E110" s="62">
        <v>0</v>
      </c>
      <c r="F110" s="45">
        <v>6.32467378189198E-4</v>
      </c>
      <c r="G110" s="45">
        <v>1.5705088829192449E-3</v>
      </c>
      <c r="H110" s="63">
        <v>1.1050413180721383E-2</v>
      </c>
      <c r="I110" s="62">
        <v>0</v>
      </c>
      <c r="J110" s="45">
        <v>0</v>
      </c>
      <c r="K110" s="45">
        <v>2.6175148048654081E-4</v>
      </c>
      <c r="L110" s="63">
        <v>1.8417355301202304E-3</v>
      </c>
    </row>
    <row r="111" spans="1:12" x14ac:dyDescent="0.2">
      <c r="A111" s="56" t="s">
        <v>180</v>
      </c>
      <c r="B111" s="57">
        <f t="shared" si="7"/>
        <v>1.3787999999999998E-2</v>
      </c>
      <c r="C111" s="56">
        <v>20</v>
      </c>
      <c r="D111" s="58">
        <v>2</v>
      </c>
      <c r="E111" s="62">
        <v>0</v>
      </c>
      <c r="F111" s="45">
        <v>6.32467378189198E-4</v>
      </c>
      <c r="G111" s="45">
        <v>1.5705088829192449E-3</v>
      </c>
      <c r="H111" s="63">
        <v>1.1050413180721383E-2</v>
      </c>
      <c r="I111" s="62">
        <v>0</v>
      </c>
      <c r="J111" s="45">
        <v>0</v>
      </c>
      <c r="K111" s="45">
        <v>2.6175148048654081E-4</v>
      </c>
      <c r="L111" s="63">
        <v>1.8417355301202304E-3</v>
      </c>
    </row>
    <row r="112" spans="1:12" x14ac:dyDescent="0.2">
      <c r="A112" s="56" t="s">
        <v>181</v>
      </c>
      <c r="B112" s="57">
        <f t="shared" si="7"/>
        <v>1.1710000000000002E-3</v>
      </c>
      <c r="C112" s="56">
        <v>20</v>
      </c>
      <c r="D112" s="58">
        <v>2</v>
      </c>
      <c r="E112" s="62">
        <v>0</v>
      </c>
      <c r="F112" s="45">
        <v>6.32467378189198E-4</v>
      </c>
      <c r="G112" s="45">
        <v>1.5705088829192449E-3</v>
      </c>
      <c r="H112" s="63">
        <v>1.1050413180721383E-2</v>
      </c>
      <c r="I112" s="62">
        <v>0</v>
      </c>
      <c r="J112" s="45">
        <v>0</v>
      </c>
      <c r="K112" s="45">
        <v>2.6175148048654081E-4</v>
      </c>
      <c r="L112" s="63">
        <v>1.8417355301202304E-3</v>
      </c>
    </row>
    <row r="113" spans="1:19" x14ac:dyDescent="0.2">
      <c r="A113" s="65" t="s">
        <v>182</v>
      </c>
      <c r="B113" s="66">
        <f t="shared" si="7"/>
        <v>0</v>
      </c>
      <c r="C113" s="65">
        <v>20</v>
      </c>
      <c r="D113" s="67">
        <v>1</v>
      </c>
      <c r="E113" s="68">
        <v>0</v>
      </c>
      <c r="F113" s="69">
        <v>0</v>
      </c>
      <c r="G113" s="69">
        <f>grnhouse_dep_20m</f>
        <v>0</v>
      </c>
      <c r="H113" s="69">
        <f>grnhouse_dep_20m</f>
        <v>0</v>
      </c>
      <c r="I113" s="68">
        <v>0</v>
      </c>
      <c r="J113" s="69">
        <v>0</v>
      </c>
      <c r="K113" s="69">
        <f>grnhouse_dep_20m</f>
        <v>0</v>
      </c>
      <c r="L113" s="70">
        <f>grnhouse_dep_20m</f>
        <v>0</v>
      </c>
    </row>
    <row r="115" spans="1:19" x14ac:dyDescent="0.2">
      <c r="A115" s="73"/>
    </row>
    <row r="116" spans="1:19" x14ac:dyDescent="0.2">
      <c r="A116" s="73"/>
    </row>
    <row r="118" spans="1:19" x14ac:dyDescent="0.2">
      <c r="A118" s="74"/>
      <c r="B118" s="75" t="s">
        <v>165</v>
      </c>
      <c r="C118" s="76">
        <v>1</v>
      </c>
      <c r="D118" s="76">
        <v>3</v>
      </c>
      <c r="E118" s="76">
        <v>5</v>
      </c>
      <c r="F118" s="76">
        <v>10</v>
      </c>
      <c r="G118" s="76">
        <v>15</v>
      </c>
      <c r="H118" s="76">
        <v>20</v>
      </c>
      <c r="I118" s="76">
        <v>30</v>
      </c>
      <c r="J118" s="76">
        <v>40</v>
      </c>
      <c r="K118" s="76">
        <v>50</v>
      </c>
      <c r="L118" s="76">
        <v>75</v>
      </c>
      <c r="M118" s="76">
        <v>100</v>
      </c>
      <c r="N118" s="76">
        <v>125</v>
      </c>
      <c r="O118" s="76">
        <v>150</v>
      </c>
      <c r="P118" s="76">
        <v>175</v>
      </c>
      <c r="Q118" s="76">
        <v>200</v>
      </c>
      <c r="R118" s="76">
        <v>225</v>
      </c>
      <c r="S118" s="77">
        <v>250</v>
      </c>
    </row>
    <row r="119" spans="1:19" x14ac:dyDescent="0.2">
      <c r="A119" s="78"/>
      <c r="B119" s="75" t="s">
        <v>183</v>
      </c>
      <c r="C119" s="79">
        <v>4</v>
      </c>
      <c r="D119" s="79">
        <v>2</v>
      </c>
      <c r="E119" s="79">
        <v>5</v>
      </c>
      <c r="F119" s="79">
        <v>5</v>
      </c>
      <c r="G119" s="79">
        <v>5</v>
      </c>
      <c r="H119" s="79">
        <v>10</v>
      </c>
      <c r="I119" s="79">
        <v>10</v>
      </c>
      <c r="J119" s="79">
        <v>10</v>
      </c>
      <c r="K119" s="79">
        <v>25</v>
      </c>
      <c r="L119" s="79">
        <v>25</v>
      </c>
      <c r="M119" s="79">
        <v>25</v>
      </c>
      <c r="N119" s="79">
        <v>25</v>
      </c>
      <c r="O119" s="79">
        <v>25</v>
      </c>
      <c r="P119" s="79">
        <v>25</v>
      </c>
      <c r="Q119" s="79">
        <v>25</v>
      </c>
      <c r="R119" s="79">
        <v>25</v>
      </c>
      <c r="S119" s="80">
        <v>1</v>
      </c>
    </row>
    <row r="120" spans="1:19" x14ac:dyDescent="0.2">
      <c r="A120" s="81" t="s">
        <v>163</v>
      </c>
      <c r="B120" s="37" t="s">
        <v>184</v>
      </c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82"/>
      <c r="P120" s="82"/>
      <c r="Q120" s="82"/>
      <c r="R120" s="82"/>
      <c r="S120" s="83"/>
    </row>
    <row r="121" spans="1:19" x14ac:dyDescent="0.2">
      <c r="A121" s="84" t="s">
        <v>167</v>
      </c>
      <c r="B121" s="85">
        <f t="shared" ref="B121:B136" si="8">SUMPRODUCT(integration_factor,C121:S121)/100</f>
        <v>2.519200000000001E-3</v>
      </c>
      <c r="C121" s="86">
        <v>2.7699999999999999E-2</v>
      </c>
      <c r="D121" s="86">
        <v>0</v>
      </c>
      <c r="E121" s="86">
        <v>5.7000000000000002E-3</v>
      </c>
      <c r="F121" s="87">
        <v>2.8999999999999998E-3</v>
      </c>
      <c r="G121" s="87">
        <v>2E-3</v>
      </c>
      <c r="H121" s="87">
        <v>1.5E-3</v>
      </c>
      <c r="I121" s="87">
        <v>1E-3</v>
      </c>
      <c r="J121" s="87">
        <v>6.9999999999999999E-4</v>
      </c>
      <c r="K121" s="87">
        <v>5.9999999999999995E-4</v>
      </c>
      <c r="L121" s="87">
        <v>4.0000000000000002E-4</v>
      </c>
      <c r="M121" s="87">
        <v>2.9999999999999997E-4</v>
      </c>
      <c r="N121" s="87">
        <v>2.5000000000000001E-4</v>
      </c>
      <c r="O121" s="87">
        <v>2.1000000000000001E-4</v>
      </c>
      <c r="P121" s="87">
        <v>1.8000000000000001E-4</v>
      </c>
      <c r="Q121" s="87">
        <v>1.6000000000000001E-4</v>
      </c>
      <c r="R121" s="87">
        <v>1.3999999999999999E-4</v>
      </c>
      <c r="S121" s="88">
        <v>1.2E-4</v>
      </c>
    </row>
    <row r="122" spans="1:19" x14ac:dyDescent="0.2">
      <c r="A122" s="58" t="s">
        <v>168</v>
      </c>
      <c r="B122" s="89">
        <f t="shared" si="8"/>
        <v>5.0384000000000019E-3</v>
      </c>
      <c r="C122" s="90">
        <v>5.5399999999999998E-2</v>
      </c>
      <c r="D122" s="90">
        <v>0</v>
      </c>
      <c r="E122" s="90">
        <v>1.14E-2</v>
      </c>
      <c r="F122" s="91">
        <v>5.7999999999999996E-3</v>
      </c>
      <c r="G122" s="91">
        <v>4.0000000000000001E-3</v>
      </c>
      <c r="H122" s="91">
        <v>3.0000000000000001E-3</v>
      </c>
      <c r="I122" s="91">
        <v>2E-3</v>
      </c>
      <c r="J122" s="91">
        <v>1.4E-3</v>
      </c>
      <c r="K122" s="91">
        <v>1.1999999999999999E-3</v>
      </c>
      <c r="L122" s="91">
        <v>8.0000000000000004E-4</v>
      </c>
      <c r="M122" s="91">
        <v>5.9999999999999995E-4</v>
      </c>
      <c r="N122" s="91">
        <v>5.0000000000000001E-4</v>
      </c>
      <c r="O122" s="91">
        <v>4.2000000000000002E-4</v>
      </c>
      <c r="P122" s="91">
        <v>3.6000000000000002E-4</v>
      </c>
      <c r="Q122" s="91">
        <v>3.2000000000000003E-4</v>
      </c>
      <c r="R122" s="91">
        <v>2.7999999999999998E-4</v>
      </c>
      <c r="S122" s="92">
        <v>2.4000000000000001E-4</v>
      </c>
    </row>
    <row r="123" spans="1:19" x14ac:dyDescent="0.2">
      <c r="A123" s="58" t="s">
        <v>169</v>
      </c>
      <c r="B123" s="89">
        <f t="shared" si="8"/>
        <v>1.930008E-3</v>
      </c>
      <c r="C123" s="90">
        <v>4.4400000000000002E-2</v>
      </c>
      <c r="D123" s="90">
        <v>0</v>
      </c>
      <c r="E123" s="90">
        <v>1.8E-3</v>
      </c>
      <c r="F123" s="91">
        <v>5.0000000000000001E-4</v>
      </c>
      <c r="G123" s="91">
        <v>2.0000000000000001E-4</v>
      </c>
      <c r="H123" s="91">
        <v>1E-4</v>
      </c>
      <c r="I123" s="91">
        <v>5.0000000000000002E-5</v>
      </c>
      <c r="J123" s="91">
        <v>3.0000000000000001E-5</v>
      </c>
      <c r="K123" s="91">
        <v>2.0000000000000002E-5</v>
      </c>
      <c r="L123" s="91">
        <v>1.0000000000000001E-5</v>
      </c>
      <c r="M123" s="91">
        <v>5.0000000000000004E-6</v>
      </c>
      <c r="N123" s="91">
        <v>3.0000000000000001E-6</v>
      </c>
      <c r="O123" s="91">
        <v>2.2000000000000001E-6</v>
      </c>
      <c r="P123" s="91">
        <v>1.5999999999999999E-6</v>
      </c>
      <c r="Q123" s="91">
        <v>1.1999999999999999E-6</v>
      </c>
      <c r="R123" s="91">
        <v>9.9999999999999995E-7</v>
      </c>
      <c r="S123" s="92">
        <v>7.9999999999999996E-7</v>
      </c>
    </row>
    <row r="124" spans="1:19" x14ac:dyDescent="0.2">
      <c r="A124" s="58" t="s">
        <v>170</v>
      </c>
      <c r="B124" s="89">
        <f t="shared" si="8"/>
        <v>5.7772999999999974E-3</v>
      </c>
      <c r="C124" s="90">
        <v>0</v>
      </c>
      <c r="D124" s="90">
        <v>8.0199999999999994E-2</v>
      </c>
      <c r="E124" s="90">
        <v>3.6200000000000003E-2</v>
      </c>
      <c r="F124" s="91">
        <v>1.23E-2</v>
      </c>
      <c r="G124" s="91">
        <v>6.4999999999999997E-3</v>
      </c>
      <c r="H124" s="91">
        <v>4.1999999999999997E-3</v>
      </c>
      <c r="I124" s="91">
        <v>2.2000000000000001E-3</v>
      </c>
      <c r="J124" s="91">
        <v>1.4E-3</v>
      </c>
      <c r="K124" s="91">
        <v>1E-3</v>
      </c>
      <c r="L124" s="91">
        <v>5.0000000000000001E-4</v>
      </c>
      <c r="M124" s="91">
        <v>2.9999999999999997E-4</v>
      </c>
      <c r="N124" s="91">
        <v>2.4000000000000001E-4</v>
      </c>
      <c r="O124" s="91">
        <v>1.8000000000000001E-4</v>
      </c>
      <c r="P124" s="91">
        <v>1.3999999999999999E-4</v>
      </c>
      <c r="Q124" s="91">
        <v>1.1E-4</v>
      </c>
      <c r="R124" s="91">
        <v>1E-4</v>
      </c>
      <c r="S124" s="92">
        <v>8.0000000000000007E-5</v>
      </c>
    </row>
    <row r="125" spans="1:19" x14ac:dyDescent="0.2">
      <c r="A125" s="58" t="s">
        <v>171</v>
      </c>
      <c r="B125" s="89">
        <f t="shared" si="8"/>
        <v>3.0183100000000001E-2</v>
      </c>
      <c r="C125" s="90">
        <v>0</v>
      </c>
      <c r="D125" s="90">
        <v>0.29199999999999998</v>
      </c>
      <c r="E125" s="90">
        <v>0.19889999999999999</v>
      </c>
      <c r="F125" s="91">
        <v>0.1181</v>
      </c>
      <c r="G125" s="91">
        <v>5.5500000000000001E-2</v>
      </c>
      <c r="H125" s="91">
        <v>2.7699999999999999E-2</v>
      </c>
      <c r="I125" s="91">
        <v>1.04E-2</v>
      </c>
      <c r="J125" s="91">
        <v>5.1999999999999998E-3</v>
      </c>
      <c r="K125" s="91">
        <v>3.0000000000000001E-3</v>
      </c>
      <c r="L125" s="91">
        <v>1.1000000000000001E-3</v>
      </c>
      <c r="M125" s="91">
        <v>5.9999999999999995E-4</v>
      </c>
      <c r="N125" s="91">
        <v>2.9999999999999997E-4</v>
      </c>
      <c r="O125" s="91">
        <v>2.1000000000000001E-4</v>
      </c>
      <c r="P125" s="91">
        <v>1.4999999999999999E-4</v>
      </c>
      <c r="Q125" s="91">
        <v>1.1E-4</v>
      </c>
      <c r="R125" s="91">
        <v>8.0000000000000007E-5</v>
      </c>
      <c r="S125" s="92">
        <v>6.0000000000000002E-5</v>
      </c>
    </row>
    <row r="126" spans="1:19" x14ac:dyDescent="0.2">
      <c r="A126" s="58" t="s">
        <v>172</v>
      </c>
      <c r="B126" s="89">
        <f t="shared" si="8"/>
        <v>1.33048E-2</v>
      </c>
      <c r="C126" s="90">
        <v>0</v>
      </c>
      <c r="D126" s="90">
        <v>0.1573</v>
      </c>
      <c r="E126" s="90">
        <v>8.4099999999999994E-2</v>
      </c>
      <c r="F126" s="91">
        <v>3.5999999999999997E-2</v>
      </c>
      <c r="G126" s="91">
        <v>1.8100000000000002E-2</v>
      </c>
      <c r="H126" s="91">
        <v>1.09E-2</v>
      </c>
      <c r="I126" s="91">
        <v>5.4000000000000003E-3</v>
      </c>
      <c r="J126" s="91">
        <v>3.2000000000000002E-3</v>
      </c>
      <c r="K126" s="91">
        <v>2.2000000000000001E-3</v>
      </c>
      <c r="L126" s="91">
        <v>1.1000000000000001E-3</v>
      </c>
      <c r="M126" s="91">
        <v>5.9999999999999995E-4</v>
      </c>
      <c r="N126" s="91">
        <v>4.0000000000000002E-4</v>
      </c>
      <c r="O126" s="91">
        <v>2.9999999999999997E-4</v>
      </c>
      <c r="P126" s="91">
        <v>2.4000000000000001E-4</v>
      </c>
      <c r="Q126" s="91">
        <v>1.9000000000000001E-4</v>
      </c>
      <c r="R126" s="91">
        <v>1.6000000000000001E-4</v>
      </c>
      <c r="S126" s="92">
        <v>1.2999999999999999E-4</v>
      </c>
    </row>
    <row r="127" spans="1:19" x14ac:dyDescent="0.2">
      <c r="A127" s="58" t="s">
        <v>173</v>
      </c>
      <c r="B127" s="89">
        <f t="shared" si="8"/>
        <v>1.7593599999999997E-2</v>
      </c>
      <c r="C127" s="90">
        <v>0</v>
      </c>
      <c r="D127" s="90">
        <v>0.1933</v>
      </c>
      <c r="E127" s="90">
        <v>0.1157</v>
      </c>
      <c r="F127" s="91">
        <v>5.7700000000000001E-2</v>
      </c>
      <c r="G127" s="91">
        <v>3.8399999999999997E-2</v>
      </c>
      <c r="H127" s="91">
        <v>1.7899999999999999E-2</v>
      </c>
      <c r="I127" s="91">
        <v>5.5999999999999999E-3</v>
      </c>
      <c r="J127" s="91">
        <v>2.5000000000000001E-3</v>
      </c>
      <c r="K127" s="91">
        <v>1.2999999999999999E-3</v>
      </c>
      <c r="L127" s="91">
        <v>4.0000000000000002E-4</v>
      </c>
      <c r="M127" s="91">
        <v>2.0000000000000001E-4</v>
      </c>
      <c r="N127" s="91">
        <v>1E-4</v>
      </c>
      <c r="O127" s="91">
        <v>6.0000000000000002E-5</v>
      </c>
      <c r="P127" s="91">
        <v>4.0000000000000003E-5</v>
      </c>
      <c r="Q127" s="91">
        <v>3.0000000000000001E-5</v>
      </c>
      <c r="R127" s="91">
        <v>2.0000000000000002E-5</v>
      </c>
      <c r="S127" s="92">
        <v>1.0000000000000001E-5</v>
      </c>
    </row>
    <row r="128" spans="1:19" ht="25.5" x14ac:dyDescent="0.2">
      <c r="A128" s="64" t="s">
        <v>174</v>
      </c>
      <c r="B128" s="89">
        <f t="shared" ref="B128:B129" si="9">SUMPRODUCT(integration_factor,C128:S128)/100</f>
        <v>2.519200000000001E-3</v>
      </c>
      <c r="C128" s="90">
        <v>2.7699999999999999E-2</v>
      </c>
      <c r="D128" s="90">
        <v>0</v>
      </c>
      <c r="E128" s="90">
        <v>5.7000000000000002E-3</v>
      </c>
      <c r="F128" s="91">
        <v>2.8999999999999998E-3</v>
      </c>
      <c r="G128" s="91">
        <v>2E-3</v>
      </c>
      <c r="H128" s="91">
        <v>1.5E-3</v>
      </c>
      <c r="I128" s="91">
        <v>1E-3</v>
      </c>
      <c r="J128" s="91">
        <v>6.9999999999999999E-4</v>
      </c>
      <c r="K128" s="91">
        <v>5.9999999999999995E-4</v>
      </c>
      <c r="L128" s="91">
        <v>4.0000000000000002E-4</v>
      </c>
      <c r="M128" s="91">
        <v>2.9999999999999997E-4</v>
      </c>
      <c r="N128" s="91">
        <v>2.5000000000000001E-4</v>
      </c>
      <c r="O128" s="91">
        <v>2.1000000000000001E-4</v>
      </c>
      <c r="P128" s="91">
        <v>1.8000000000000001E-4</v>
      </c>
      <c r="Q128" s="91">
        <v>1.6000000000000001E-4</v>
      </c>
      <c r="R128" s="91">
        <v>1.3999999999999999E-4</v>
      </c>
      <c r="S128" s="92">
        <v>1.2E-4</v>
      </c>
    </row>
    <row r="129" spans="1:19" ht="25.5" x14ac:dyDescent="0.2">
      <c r="A129" s="64" t="s">
        <v>175</v>
      </c>
      <c r="B129" s="89">
        <f t="shared" si="9"/>
        <v>5.7772999999999974E-3</v>
      </c>
      <c r="C129" s="90">
        <v>0</v>
      </c>
      <c r="D129" s="90">
        <v>8.0199999999999994E-2</v>
      </c>
      <c r="E129" s="90">
        <v>3.6200000000000003E-2</v>
      </c>
      <c r="F129" s="91">
        <v>1.23E-2</v>
      </c>
      <c r="G129" s="91">
        <v>6.4999999999999997E-3</v>
      </c>
      <c r="H129" s="91">
        <v>4.1999999999999997E-3</v>
      </c>
      <c r="I129" s="91">
        <v>2.2000000000000001E-3</v>
      </c>
      <c r="J129" s="91">
        <v>1.4E-3</v>
      </c>
      <c r="K129" s="91">
        <v>1E-3</v>
      </c>
      <c r="L129" s="91">
        <v>5.0000000000000001E-4</v>
      </c>
      <c r="M129" s="91">
        <v>2.9999999999999997E-4</v>
      </c>
      <c r="N129" s="91">
        <v>2.4000000000000001E-4</v>
      </c>
      <c r="O129" s="91">
        <v>1.8000000000000001E-4</v>
      </c>
      <c r="P129" s="91">
        <v>1.3999999999999999E-4</v>
      </c>
      <c r="Q129" s="91">
        <v>1.1E-4</v>
      </c>
      <c r="R129" s="91">
        <v>1E-4</v>
      </c>
      <c r="S129" s="92">
        <v>8.0000000000000007E-5</v>
      </c>
    </row>
    <row r="130" spans="1:19" ht="25.5" x14ac:dyDescent="0.2">
      <c r="A130" s="64" t="s">
        <v>176</v>
      </c>
      <c r="B130" s="89">
        <f t="shared" si="8"/>
        <v>3.1000000000000001E-5</v>
      </c>
      <c r="C130" s="90">
        <v>5.9999999999999995E-4</v>
      </c>
      <c r="D130" s="90">
        <v>1E-4</v>
      </c>
      <c r="E130" s="90">
        <v>1E-4</v>
      </c>
      <c r="F130" s="91">
        <v>0</v>
      </c>
      <c r="G130" s="91">
        <v>0</v>
      </c>
      <c r="H130" s="91">
        <v>0</v>
      </c>
      <c r="I130" s="91">
        <v>0</v>
      </c>
      <c r="J130" s="91">
        <v>0</v>
      </c>
      <c r="K130" s="91">
        <v>0</v>
      </c>
      <c r="L130" s="91">
        <v>0</v>
      </c>
      <c r="M130" s="91">
        <v>0</v>
      </c>
      <c r="N130" s="91">
        <v>0</v>
      </c>
      <c r="O130" s="91">
        <v>0</v>
      </c>
      <c r="P130" s="91">
        <v>0</v>
      </c>
      <c r="Q130" s="91">
        <v>0</v>
      </c>
      <c r="R130" s="91">
        <v>0</v>
      </c>
      <c r="S130" s="92">
        <v>0</v>
      </c>
    </row>
    <row r="131" spans="1:19" x14ac:dyDescent="0.2">
      <c r="A131" s="58" t="s">
        <v>177</v>
      </c>
      <c r="B131" s="89">
        <f t="shared" si="8"/>
        <v>1.83E-4</v>
      </c>
      <c r="C131" s="90">
        <v>4.1999999999999997E-3</v>
      </c>
      <c r="D131" s="90">
        <v>0</v>
      </c>
      <c r="E131" s="90">
        <v>2.0000000000000001E-4</v>
      </c>
      <c r="F131" s="91">
        <v>1E-4</v>
      </c>
      <c r="G131" s="91">
        <v>0</v>
      </c>
      <c r="H131" s="91">
        <v>0</v>
      </c>
      <c r="I131" s="91">
        <v>0</v>
      </c>
      <c r="J131" s="91">
        <v>0</v>
      </c>
      <c r="K131" s="91">
        <v>0</v>
      </c>
      <c r="L131" s="91">
        <v>0</v>
      </c>
      <c r="M131" s="91">
        <v>0</v>
      </c>
      <c r="N131" s="91">
        <v>0</v>
      </c>
      <c r="O131" s="91">
        <v>0</v>
      </c>
      <c r="P131" s="91">
        <v>0</v>
      </c>
      <c r="Q131" s="91">
        <v>0</v>
      </c>
      <c r="R131" s="91">
        <v>0</v>
      </c>
      <c r="S131" s="92">
        <v>0</v>
      </c>
    </row>
    <row r="132" spans="1:19" x14ac:dyDescent="0.2">
      <c r="A132" s="58" t="s">
        <v>178</v>
      </c>
      <c r="B132" s="89">
        <f t="shared" si="8"/>
        <v>2.6899999999999998E-4</v>
      </c>
      <c r="C132" s="90">
        <v>0</v>
      </c>
      <c r="D132" s="90">
        <v>7.1999999999999998E-3</v>
      </c>
      <c r="E132" s="90">
        <v>1.9E-3</v>
      </c>
      <c r="F132" s="91">
        <v>2.9999999999999997E-4</v>
      </c>
      <c r="G132" s="91">
        <v>1E-4</v>
      </c>
      <c r="H132" s="91">
        <v>1E-4</v>
      </c>
      <c r="I132" s="91">
        <v>0</v>
      </c>
      <c r="J132" s="91">
        <v>0</v>
      </c>
      <c r="K132" s="91">
        <v>0</v>
      </c>
      <c r="L132" s="91">
        <v>0</v>
      </c>
      <c r="M132" s="91">
        <v>0</v>
      </c>
      <c r="N132" s="91">
        <v>0</v>
      </c>
      <c r="O132" s="91">
        <v>0</v>
      </c>
      <c r="P132" s="91">
        <v>0</v>
      </c>
      <c r="Q132" s="91">
        <v>0</v>
      </c>
      <c r="R132" s="91">
        <v>0</v>
      </c>
      <c r="S132" s="92">
        <v>0</v>
      </c>
    </row>
    <row r="133" spans="1:19" x14ac:dyDescent="0.2">
      <c r="A133" s="58" t="s">
        <v>179</v>
      </c>
      <c r="B133" s="89">
        <f t="shared" si="8"/>
        <v>4.4789999999999995E-3</v>
      </c>
      <c r="C133" s="90">
        <v>0</v>
      </c>
      <c r="D133" s="90">
        <v>0.13519999999999999</v>
      </c>
      <c r="E133" s="90">
        <v>2.93E-2</v>
      </c>
      <c r="F133" s="91">
        <v>3.7000000000000002E-3</v>
      </c>
      <c r="G133" s="91">
        <v>1.1000000000000001E-3</v>
      </c>
      <c r="H133" s="91">
        <v>5.0000000000000001E-4</v>
      </c>
      <c r="I133" s="91">
        <v>1E-4</v>
      </c>
      <c r="J133" s="91">
        <v>1E-4</v>
      </c>
      <c r="K133" s="91">
        <v>0</v>
      </c>
      <c r="L133" s="91">
        <v>0</v>
      </c>
      <c r="M133" s="91">
        <v>0</v>
      </c>
      <c r="N133" s="91">
        <v>0</v>
      </c>
      <c r="O133" s="91">
        <v>0</v>
      </c>
      <c r="P133" s="91">
        <v>0</v>
      </c>
      <c r="Q133" s="91">
        <v>0</v>
      </c>
      <c r="R133" s="91">
        <v>0</v>
      </c>
      <c r="S133" s="92">
        <v>0</v>
      </c>
    </row>
    <row r="134" spans="1:19" x14ac:dyDescent="0.2">
      <c r="A134" s="58" t="s">
        <v>180</v>
      </c>
      <c r="B134" s="89">
        <f t="shared" si="8"/>
        <v>1.3787999999999998E-2</v>
      </c>
      <c r="C134" s="90">
        <v>0</v>
      </c>
      <c r="D134" s="90">
        <v>0.38090000000000002</v>
      </c>
      <c r="E134" s="90">
        <v>9.5799999999999996E-2</v>
      </c>
      <c r="F134" s="91">
        <v>1.47E-2</v>
      </c>
      <c r="G134" s="91">
        <v>4.8999999999999998E-3</v>
      </c>
      <c r="H134" s="91">
        <v>2.3E-3</v>
      </c>
      <c r="I134" s="91">
        <v>8.0000000000000004E-4</v>
      </c>
      <c r="J134" s="91">
        <v>4.0000000000000002E-4</v>
      </c>
      <c r="K134" s="91">
        <v>2.0000000000000001E-4</v>
      </c>
      <c r="L134" s="91">
        <v>0</v>
      </c>
      <c r="M134" s="91">
        <v>0</v>
      </c>
      <c r="N134" s="91">
        <v>0</v>
      </c>
      <c r="O134" s="91">
        <v>0</v>
      </c>
      <c r="P134" s="91">
        <v>0</v>
      </c>
      <c r="Q134" s="91">
        <v>0</v>
      </c>
      <c r="R134" s="91">
        <v>0</v>
      </c>
      <c r="S134" s="92">
        <v>0</v>
      </c>
    </row>
    <row r="135" spans="1:19" x14ac:dyDescent="0.2">
      <c r="A135" s="58" t="s">
        <v>181</v>
      </c>
      <c r="B135" s="89">
        <f t="shared" si="8"/>
        <v>1.1710000000000002E-3</v>
      </c>
      <c r="C135" s="90">
        <v>0</v>
      </c>
      <c r="D135" s="90">
        <v>3.5299999999999998E-2</v>
      </c>
      <c r="E135" s="90">
        <v>7.7999999999999996E-3</v>
      </c>
      <c r="F135" s="91">
        <v>1E-3</v>
      </c>
      <c r="G135" s="91">
        <v>2.9999999999999997E-4</v>
      </c>
      <c r="H135" s="91">
        <v>1E-4</v>
      </c>
      <c r="I135" s="91">
        <v>0</v>
      </c>
      <c r="J135" s="91">
        <v>0</v>
      </c>
      <c r="K135" s="91">
        <v>0</v>
      </c>
      <c r="L135" s="91">
        <v>0</v>
      </c>
      <c r="M135" s="91">
        <v>0</v>
      </c>
      <c r="N135" s="91">
        <v>0</v>
      </c>
      <c r="O135" s="91">
        <v>0</v>
      </c>
      <c r="P135" s="91">
        <v>0</v>
      </c>
      <c r="Q135" s="91">
        <v>0</v>
      </c>
      <c r="R135" s="91">
        <v>0</v>
      </c>
      <c r="S135" s="92">
        <v>0</v>
      </c>
    </row>
    <row r="136" spans="1:19" x14ac:dyDescent="0.2">
      <c r="A136" s="65" t="s">
        <v>182</v>
      </c>
      <c r="B136" s="93">
        <f t="shared" si="8"/>
        <v>0</v>
      </c>
      <c r="C136" s="94">
        <v>0</v>
      </c>
      <c r="D136" s="94">
        <v>0</v>
      </c>
      <c r="E136" s="94">
        <v>0</v>
      </c>
      <c r="F136" s="95">
        <v>0</v>
      </c>
      <c r="G136" s="95">
        <v>0</v>
      </c>
      <c r="H136" s="95">
        <v>0</v>
      </c>
      <c r="I136" s="95">
        <v>0</v>
      </c>
      <c r="J136" s="95">
        <v>0</v>
      </c>
      <c r="K136" s="95">
        <v>0</v>
      </c>
      <c r="L136" s="95">
        <v>0</v>
      </c>
      <c r="M136" s="95">
        <v>0</v>
      </c>
      <c r="N136" s="95">
        <v>0</v>
      </c>
      <c r="O136" s="95">
        <v>0</v>
      </c>
      <c r="P136" s="95">
        <v>0</v>
      </c>
      <c r="Q136" s="95">
        <v>0</v>
      </c>
      <c r="R136" s="95">
        <v>0</v>
      </c>
      <c r="S136" s="96">
        <v>0</v>
      </c>
    </row>
    <row r="146" spans="1:28" x14ac:dyDescent="0.2">
      <c r="E146" s="97"/>
      <c r="F146" s="97"/>
      <c r="G146" s="97"/>
      <c r="H146" s="97"/>
    </row>
    <row r="147" spans="1:28" x14ac:dyDescent="0.2">
      <c r="A147" s="98" t="s">
        <v>185</v>
      </c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1"/>
      <c r="AA147" s="97"/>
      <c r="AB147" s="97"/>
    </row>
    <row r="148" spans="1:28" x14ac:dyDescent="0.2">
      <c r="A148" s="99" t="s">
        <v>186</v>
      </c>
      <c r="B148" s="36">
        <f>dt50_value</f>
        <v>20</v>
      </c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1" t="str">
        <f>IF(dt50_value&gt;=1,"no reduction of v/d amount","")</f>
        <v>no reduction of v/d amount</v>
      </c>
    </row>
    <row r="149" spans="1:28" x14ac:dyDescent="0.2">
      <c r="A149" s="102" t="s">
        <v>187</v>
      </c>
      <c r="B149" s="36">
        <f>(INT((B148*24)/1)+(MOD(B148*24,1)&gt;0))*1</f>
        <v>480</v>
      </c>
      <c r="Z149" s="103"/>
    </row>
    <row r="150" spans="1:28" x14ac:dyDescent="0.2">
      <c r="A150" s="104" t="s">
        <v>188</v>
      </c>
      <c r="B150" s="105">
        <f>LN(2)/B149</f>
        <v>1.4440566261665526E-3</v>
      </c>
      <c r="C150" s="105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6"/>
    </row>
    <row r="151" spans="1:28" x14ac:dyDescent="0.2">
      <c r="A151" s="98" t="s">
        <v>189</v>
      </c>
      <c r="B151" s="50">
        <v>0</v>
      </c>
      <c r="C151" s="50">
        <v>1</v>
      </c>
      <c r="D151" s="50">
        <v>2</v>
      </c>
      <c r="E151" s="50">
        <v>3</v>
      </c>
      <c r="F151" s="50">
        <v>4</v>
      </c>
      <c r="G151" s="50">
        <v>5</v>
      </c>
      <c r="H151" s="50">
        <v>6</v>
      </c>
      <c r="I151" s="50">
        <v>7</v>
      </c>
      <c r="J151" s="50">
        <v>8</v>
      </c>
      <c r="K151" s="50">
        <v>9</v>
      </c>
      <c r="L151" s="50">
        <v>10</v>
      </c>
      <c r="M151" s="50">
        <v>11</v>
      </c>
      <c r="N151" s="50">
        <v>12</v>
      </c>
      <c r="O151" s="50">
        <v>13</v>
      </c>
      <c r="P151" s="50">
        <v>14</v>
      </c>
      <c r="Q151" s="50">
        <v>15</v>
      </c>
      <c r="R151" s="50">
        <v>16</v>
      </c>
      <c r="S151" s="50">
        <v>17</v>
      </c>
      <c r="T151" s="50">
        <v>18</v>
      </c>
      <c r="U151" s="50">
        <v>19</v>
      </c>
      <c r="V151" s="50">
        <v>20</v>
      </c>
      <c r="W151" s="50">
        <v>21</v>
      </c>
      <c r="X151" s="50">
        <v>22</v>
      </c>
      <c r="Y151" s="50">
        <v>23</v>
      </c>
      <c r="Z151" s="51">
        <v>24</v>
      </c>
    </row>
    <row r="152" spans="1:28" ht="15" x14ac:dyDescent="0.25">
      <c r="A152" s="99" t="s">
        <v>190</v>
      </c>
      <c r="B152" s="107">
        <f>0/11</f>
        <v>0</v>
      </c>
      <c r="C152" s="107">
        <f>4/44</f>
        <v>9.0909090909090912E-2</v>
      </c>
      <c r="D152" s="107">
        <f t="shared" ref="D152:F152" si="10">4/44</f>
        <v>9.0909090909090912E-2</v>
      </c>
      <c r="E152" s="107">
        <f t="shared" si="10"/>
        <v>9.0909090909090912E-2</v>
      </c>
      <c r="F152" s="107">
        <f t="shared" si="10"/>
        <v>9.0909090909090912E-2</v>
      </c>
      <c r="G152" s="107">
        <f>2/44</f>
        <v>4.5454545454545456E-2</v>
      </c>
      <c r="H152" s="107">
        <f t="shared" ref="H152:N152" si="11">2/44</f>
        <v>4.5454545454545456E-2</v>
      </c>
      <c r="I152" s="107">
        <f t="shared" si="11"/>
        <v>4.5454545454545456E-2</v>
      </c>
      <c r="J152" s="107">
        <f t="shared" si="11"/>
        <v>4.5454545454545456E-2</v>
      </c>
      <c r="K152" s="107">
        <f t="shared" si="11"/>
        <v>4.5454545454545456E-2</v>
      </c>
      <c r="L152" s="107">
        <f t="shared" si="11"/>
        <v>4.5454545454545456E-2</v>
      </c>
      <c r="M152" s="107">
        <f t="shared" si="11"/>
        <v>4.5454545454545456E-2</v>
      </c>
      <c r="N152" s="107">
        <f t="shared" si="11"/>
        <v>4.5454545454545456E-2</v>
      </c>
      <c r="O152" s="107">
        <f t="shared" ref="O152:Z152" si="12">1/44</f>
        <v>2.2727272727272728E-2</v>
      </c>
      <c r="P152" s="107">
        <f t="shared" si="12"/>
        <v>2.2727272727272728E-2</v>
      </c>
      <c r="Q152" s="107">
        <f t="shared" si="12"/>
        <v>2.2727272727272728E-2</v>
      </c>
      <c r="R152" s="107">
        <f t="shared" si="12"/>
        <v>2.2727272727272728E-2</v>
      </c>
      <c r="S152" s="107">
        <f t="shared" si="12"/>
        <v>2.2727272727272728E-2</v>
      </c>
      <c r="T152" s="107">
        <f t="shared" si="12"/>
        <v>2.2727272727272728E-2</v>
      </c>
      <c r="U152" s="107">
        <f t="shared" si="12"/>
        <v>2.2727272727272728E-2</v>
      </c>
      <c r="V152" s="107">
        <f t="shared" si="12"/>
        <v>2.2727272727272728E-2</v>
      </c>
      <c r="W152" s="107">
        <f t="shared" si="12"/>
        <v>2.2727272727272728E-2</v>
      </c>
      <c r="X152" s="107">
        <f t="shared" si="12"/>
        <v>2.2727272727272728E-2</v>
      </c>
      <c r="Y152" s="107">
        <f t="shared" si="12"/>
        <v>2.2727272727272728E-2</v>
      </c>
      <c r="Z152" s="108">
        <f t="shared" si="12"/>
        <v>2.2727272727272728E-2</v>
      </c>
    </row>
    <row r="153" spans="1:28" ht="15" x14ac:dyDescent="0.25">
      <c r="A153" s="104" t="s">
        <v>191</v>
      </c>
      <c r="B153" s="109">
        <v>0</v>
      </c>
      <c r="C153" s="110">
        <f t="shared" ref="C153:Z153" si="13">((B153*k_deg_hour)
+(INDEX(vd_dynamics_arable,,COLUMN()-COLUMN(col_zero))
/(INDEX(vd_dynamics_time,,COLUMN()-COLUMN(col_zero))-INDEX(vd_dynamics_time,,COLUMN()-COLUMN(col_zero)-1)))
*(EXP(k_deg_hour*(INDEX(vd_dynamics_time,,COLUMN()-COLUMN(col_zero))-INDEX(vd_dynamics_time,,COLUMN()-COLUMN(col_zero)-1)))-1))
/(k_deg_hour
*EXP(k_deg_hour*(INDEX(vd_dynamics_time,,COLUMN()-COLUMN(col_zero))-INDEX(vd_dynamics_time,,COLUMN()-COLUMN(col_zero)-1))))</f>
        <v>9.0843483555581597E-2</v>
      </c>
      <c r="D153" s="110">
        <f t="shared" si="13"/>
        <v>0.18155587864915168</v>
      </c>
      <c r="E153" s="110">
        <f t="shared" si="13"/>
        <v>0.27213737444325886</v>
      </c>
      <c r="F153" s="110">
        <f t="shared" si="13"/>
        <v>0.36258815982748749</v>
      </c>
      <c r="G153" s="110">
        <f t="shared" si="13"/>
        <v>0.40748668164106056</v>
      </c>
      <c r="H153" s="110">
        <f t="shared" si="13"/>
        <v>0.45232041423761143</v>
      </c>
      <c r="I153" s="110">
        <f t="shared" si="13"/>
        <v>0.49708945110891833</v>
      </c>
      <c r="J153" s="110">
        <f t="shared" si="13"/>
        <v>0.54179388561184949</v>
      </c>
      <c r="K153" s="110">
        <f t="shared" si="13"/>
        <v>0.58643381096855784</v>
      </c>
      <c r="L153" s="110">
        <f t="shared" si="13"/>
        <v>0.63100932026667522</v>
      </c>
      <c r="M153" s="110">
        <f t="shared" si="13"/>
        <v>0.67552050645950679</v>
      </c>
      <c r="N153" s="110">
        <f t="shared" si="13"/>
        <v>0.71996746236622489</v>
      </c>
      <c r="O153" s="110">
        <f t="shared" si="13"/>
        <v>0.74163940978316689</v>
      </c>
      <c r="P153" s="110">
        <f t="shared" si="13"/>
        <v>0.76328008426621763</v>
      </c>
      <c r="Q153" s="110">
        <f t="shared" si="13"/>
        <v>0.78488953094267355</v>
      </c>
      <c r="R153" s="110">
        <f t="shared" si="13"/>
        <v>0.80646779487471154</v>
      </c>
      <c r="S153" s="110">
        <f t="shared" si="13"/>
        <v>0.82801492105948349</v>
      </c>
      <c r="T153" s="110">
        <f t="shared" si="13"/>
        <v>0.84953095442920934</v>
      </c>
      <c r="U153" s="110">
        <f t="shared" si="13"/>
        <v>0.87101593985127157</v>
      </c>
      <c r="V153" s="110">
        <f t="shared" si="13"/>
        <v>0.89246992212830811</v>
      </c>
      <c r="W153" s="110">
        <f t="shared" si="13"/>
        <v>0.91389294599830595</v>
      </c>
      <c r="X153" s="110">
        <f t="shared" si="13"/>
        <v>0.9352850561346947</v>
      </c>
      <c r="Y153" s="110">
        <f t="shared" si="13"/>
        <v>0.95664629714643967</v>
      </c>
      <c r="Z153" s="111">
        <f t="shared" si="13"/>
        <v>0.97797671357813465</v>
      </c>
    </row>
    <row r="154" spans="1:28" ht="15" x14ac:dyDescent="0.25">
      <c r="A154" s="99" t="s">
        <v>192</v>
      </c>
      <c r="B154" s="107">
        <v>0</v>
      </c>
      <c r="C154" s="107">
        <f>8/48</f>
        <v>0.16666666666666666</v>
      </c>
      <c r="D154" s="107">
        <f>4/48</f>
        <v>8.3333333333333329E-2</v>
      </c>
      <c r="E154" s="107">
        <f t="shared" ref="E154:F154" si="14">4/48</f>
        <v>8.3333333333333329E-2</v>
      </c>
      <c r="F154" s="107">
        <f t="shared" si="14"/>
        <v>8.3333333333333329E-2</v>
      </c>
      <c r="G154" s="107">
        <f>2/48</f>
        <v>4.1666666666666664E-2</v>
      </c>
      <c r="H154" s="107">
        <f t="shared" ref="H154:N154" si="15">2/48</f>
        <v>4.1666666666666664E-2</v>
      </c>
      <c r="I154" s="107">
        <f t="shared" si="15"/>
        <v>4.1666666666666664E-2</v>
      </c>
      <c r="J154" s="107">
        <f t="shared" si="15"/>
        <v>4.1666666666666664E-2</v>
      </c>
      <c r="K154" s="107">
        <f t="shared" si="15"/>
        <v>4.1666666666666664E-2</v>
      </c>
      <c r="L154" s="107">
        <f t="shared" si="15"/>
        <v>4.1666666666666664E-2</v>
      </c>
      <c r="M154" s="107">
        <f t="shared" si="15"/>
        <v>4.1666666666666664E-2</v>
      </c>
      <c r="N154" s="107">
        <f t="shared" si="15"/>
        <v>4.1666666666666664E-2</v>
      </c>
      <c r="O154" s="107">
        <f t="shared" ref="O154:Z154" si="16">1/48</f>
        <v>2.0833333333333332E-2</v>
      </c>
      <c r="P154" s="107">
        <f t="shared" si="16"/>
        <v>2.0833333333333332E-2</v>
      </c>
      <c r="Q154" s="107">
        <f t="shared" si="16"/>
        <v>2.0833333333333332E-2</v>
      </c>
      <c r="R154" s="107">
        <f t="shared" si="16"/>
        <v>2.0833333333333332E-2</v>
      </c>
      <c r="S154" s="107">
        <f t="shared" si="16"/>
        <v>2.0833333333333332E-2</v>
      </c>
      <c r="T154" s="107">
        <f t="shared" si="16"/>
        <v>2.0833333333333332E-2</v>
      </c>
      <c r="U154" s="107">
        <f t="shared" si="16"/>
        <v>2.0833333333333332E-2</v>
      </c>
      <c r="V154" s="107">
        <f t="shared" si="16"/>
        <v>2.0833333333333332E-2</v>
      </c>
      <c r="W154" s="107">
        <f t="shared" si="16"/>
        <v>2.0833333333333332E-2</v>
      </c>
      <c r="X154" s="107">
        <f t="shared" si="16"/>
        <v>2.0833333333333332E-2</v>
      </c>
      <c r="Y154" s="107">
        <f t="shared" si="16"/>
        <v>2.0833333333333332E-2</v>
      </c>
      <c r="Z154" s="108">
        <f t="shared" si="16"/>
        <v>2.0833333333333332E-2</v>
      </c>
    </row>
    <row r="155" spans="1:28" ht="15" x14ac:dyDescent="0.25">
      <c r="A155" s="104" t="s">
        <v>191</v>
      </c>
      <c r="B155" s="109">
        <v>0</v>
      </c>
      <c r="C155" s="110">
        <f t="shared" ref="C155:Z155" si="17">((B155*k_deg_hour)
+(INDEX(vd_dynamics_high,,COLUMN()-COLUMN(col_zero))
/(INDEX(vd_dynamics_time,,COLUMN()-COLUMN(col_zero))-INDEX(vd_dynamics_time,,COLUMN()-COLUMN(col_zero)-1)))
*(EXP(k_deg_hour*(INDEX(vd_dynamics_time,,COLUMN()-COLUMN(col_zero))-INDEX(vd_dynamics_time,,COLUMN()-COLUMN(col_zero)-1)))-1))
/(k_deg_hour
*EXP(k_deg_hour*(INDEX(vd_dynamics_time,,COLUMN()-COLUMN(col_zero))-INDEX(vd_dynamics_time,,COLUMN()-COLUMN(col_zero)-1))))</f>
        <v>0.16654638651856626</v>
      </c>
      <c r="D155" s="110">
        <f t="shared" si="17"/>
        <v>0.24957925093082831</v>
      </c>
      <c r="E155" s="110">
        <f t="shared" si="17"/>
        <v>0.33249229771758559</v>
      </c>
      <c r="F155" s="110">
        <f t="shared" si="17"/>
        <v>0.41528569977740637</v>
      </c>
      <c r="G155" s="110">
        <f t="shared" si="17"/>
        <v>0.45632303312972233</v>
      </c>
      <c r="H155" s="110">
        <f t="shared" si="17"/>
        <v>0.49730114901586842</v>
      </c>
      <c r="I155" s="110">
        <f t="shared" si="17"/>
        <v>0.5382201328875057</v>
      </c>
      <c r="J155" s="110">
        <f t="shared" si="17"/>
        <v>0.57908007007298712</v>
      </c>
      <c r="K155" s="110">
        <f t="shared" si="17"/>
        <v>0.61988104577753578</v>
      </c>
      <c r="L155" s="110">
        <f t="shared" si="17"/>
        <v>0.66062314508342224</v>
      </c>
      <c r="M155" s="110">
        <f t="shared" si="17"/>
        <v>0.70130645295014216</v>
      </c>
      <c r="N155" s="110">
        <f t="shared" si="17"/>
        <v>0.7419310542145936</v>
      </c>
      <c r="O155" s="110">
        <f t="shared" si="17"/>
        <v>0.76167873527643282</v>
      </c>
      <c r="P155" s="110">
        <f t="shared" si="17"/>
        <v>0.78139792014859089</v>
      </c>
      <c r="Q155" s="110">
        <f t="shared" si="17"/>
        <v>0.8010886499514821</v>
      </c>
      <c r="R155" s="110">
        <f t="shared" si="17"/>
        <v>0.82075096574618356</v>
      </c>
      <c r="S155" s="110">
        <f t="shared" si="17"/>
        <v>0.8403849085345203</v>
      </c>
      <c r="T155" s="110">
        <f t="shared" si="17"/>
        <v>0.85999051925915115</v>
      </c>
      <c r="U155" s="110">
        <f t="shared" si="17"/>
        <v>0.87956783880365463</v>
      </c>
      <c r="V155" s="110">
        <f t="shared" si="17"/>
        <v>0.8991169079926129</v>
      </c>
      <c r="W155" s="110">
        <f t="shared" si="17"/>
        <v>0.91863776759169824</v>
      </c>
      <c r="X155" s="110">
        <f t="shared" si="17"/>
        <v>0.93813045830775721</v>
      </c>
      <c r="Y155" s="110">
        <f t="shared" si="17"/>
        <v>0.95759502078889591</v>
      </c>
      <c r="Z155" s="111">
        <f t="shared" si="17"/>
        <v>0.97703149562456437</v>
      </c>
    </row>
    <row r="156" spans="1:28" ht="15" x14ac:dyDescent="0.25">
      <c r="A156" s="112" t="s">
        <v>193</v>
      </c>
      <c r="B156" s="113">
        <f>MAX(B153:Z153)</f>
        <v>0.97797671357813465</v>
      </c>
      <c r="C156" s="107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8"/>
    </row>
    <row r="157" spans="1:28" ht="15" x14ac:dyDescent="0.25">
      <c r="A157" s="114" t="s">
        <v>194</v>
      </c>
      <c r="B157" s="115">
        <f>MAX(B155:Z155)</f>
        <v>0.97703149562456437</v>
      </c>
      <c r="C157" s="116"/>
      <c r="D157" s="116"/>
      <c r="E157" s="116"/>
      <c r="F157" s="116"/>
      <c r="G157" s="116"/>
      <c r="H157" s="116"/>
      <c r="I157" s="116"/>
      <c r="J157" s="116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6"/>
      <c r="X157" s="116"/>
      <c r="Y157" s="116"/>
      <c r="Z157" s="117"/>
    </row>
    <row r="158" spans="1:28" ht="15" x14ac:dyDescent="0.25">
      <c r="A158" s="118" t="s">
        <v>195</v>
      </c>
      <c r="B158" s="119">
        <f>ROUND(AVERAGE(B156:B157),2)</f>
        <v>0.98</v>
      </c>
      <c r="C158" s="105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20" t="str">
        <f>IF(dt50_value&gt;=1,"reduction factor not relevant","")</f>
        <v>reduction factor not relevant</v>
      </c>
    </row>
    <row r="160" spans="1:28" x14ac:dyDescent="0.2">
      <c r="A160" s="98" t="s">
        <v>196</v>
      </c>
      <c r="B160" s="50"/>
      <c r="C160" s="51"/>
    </row>
    <row r="161" spans="1:4" x14ac:dyDescent="0.2">
      <c r="A161" s="121" t="s">
        <v>197</v>
      </c>
      <c r="B161" s="122">
        <f>vapour_pressure_20</f>
        <v>1.9999999999999999E-7</v>
      </c>
      <c r="C161" s="123" t="str">
        <f>IF(vapour_pressure_20&gt;=0.0001,"","not ")&amp;"relevant"</f>
        <v>not relevant</v>
      </c>
      <c r="D161" s="124"/>
    </row>
    <row r="162" spans="1:4" x14ac:dyDescent="0.2">
      <c r="A162" s="125" t="s">
        <v>198</v>
      </c>
      <c r="B162" s="126"/>
      <c r="C162" s="127"/>
    </row>
    <row r="163" spans="1:4" ht="42.75" x14ac:dyDescent="0.25">
      <c r="A163" s="128" t="s">
        <v>199</v>
      </c>
      <c r="B163" s="129">
        <f>IF(vapour_pressure_20&gt;=0.0001,18.95*vapour_pressure_20^2+0.057*vapour_pressure_20+0.00003,0)</f>
        <v>0</v>
      </c>
      <c r="C163" s="44" t="s">
        <v>200</v>
      </c>
    </row>
    <row r="164" spans="1:4" x14ac:dyDescent="0.2">
      <c r="A164" s="125" t="s">
        <v>201</v>
      </c>
      <c r="B164" s="126"/>
      <c r="C164" s="127"/>
    </row>
    <row r="165" spans="1:4" x14ac:dyDescent="0.2">
      <c r="A165" s="121" t="s">
        <v>202</v>
      </c>
      <c r="B165" s="130">
        <f>grnhouse_amount</f>
        <v>0.44886000000000004</v>
      </c>
      <c r="C165" s="131" t="str">
        <f>LEFT(applic_rate_unit,SEARCH("/",applic_rate_unit)-1)</f>
        <v>g</v>
      </c>
    </row>
    <row r="166" spans="1:4" x14ac:dyDescent="0.2">
      <c r="A166" s="121" t="s">
        <v>203</v>
      </c>
      <c r="B166" s="130">
        <f>grnhouse_exchange</f>
        <v>24.5</v>
      </c>
      <c r="C166" s="131" t="s">
        <v>204</v>
      </c>
    </row>
    <row r="167" spans="1:4" ht="27.75" x14ac:dyDescent="0.25">
      <c r="A167" s="128" t="s">
        <v>205</v>
      </c>
      <c r="B167" s="132">
        <f>grnhouse_f_air*grnhouse_amount*grnhouse_exchange*24</f>
        <v>0</v>
      </c>
      <c r="C167" s="131" t="str">
        <f>LEFT(applic_rate_unit,SEARCH("/",applic_rate_unit)-1)</f>
        <v>g</v>
      </c>
    </row>
    <row r="168" spans="1:4" ht="25.5" x14ac:dyDescent="0.2">
      <c r="A168" s="128" t="s">
        <v>206</v>
      </c>
      <c r="B168" s="132">
        <f>(grnhouse_q_em&lt;=grnhouse_amount*0.8)*grnhouse_q_em+(grnhouse_q_em&gt;grnhouse_amount*0.8)*(grnhouse_amount*0.8)</f>
        <v>0</v>
      </c>
      <c r="C168" s="131" t="str">
        <f>LEFT(applic_rate_unit,SEARCH("/",applic_rate_unit)-1)</f>
        <v>g</v>
      </c>
    </row>
    <row r="169" spans="1:4" ht="38.25" x14ac:dyDescent="0.2">
      <c r="A169" s="121" t="s">
        <v>201</v>
      </c>
      <c r="B169" s="129">
        <f>((grnhouse_q_em&lt;=grnhouse_amount*0.8)*grnhouse_q_em+(grnhouse_q_em&gt;grnhouse_amount*0.8)*(grnhouse_amount*0.8))/grnhouse_amount</f>
        <v>0</v>
      </c>
      <c r="C169" s="44" t="s">
        <v>200</v>
      </c>
    </row>
    <row r="170" spans="1:4" x14ac:dyDescent="0.2">
      <c r="A170" s="98" t="s">
        <v>207</v>
      </c>
      <c r="B170" s="50"/>
      <c r="C170" s="51"/>
    </row>
    <row r="171" spans="1:4" ht="42.75" x14ac:dyDescent="0.25">
      <c r="A171" s="128" t="s">
        <v>208</v>
      </c>
      <c r="B171" s="129">
        <f>IF(vapour_pressure_20&gt;=0.0001,0.00002*(grnhouse_q_em_act/grnhouse_amount)+0.0000003,0)</f>
        <v>0</v>
      </c>
      <c r="C171" s="44" t="s">
        <v>200</v>
      </c>
    </row>
    <row r="172" spans="1:4" x14ac:dyDescent="0.2">
      <c r="A172" s="128" t="s">
        <v>209</v>
      </c>
      <c r="B172" s="133">
        <f>dep_5m*grnhouse_amount
*IF(RIGHT(applic_rate_unit,2)="ha",10000,1)</f>
        <v>0</v>
      </c>
      <c r="C172" s="131" t="str">
        <f>applic_rate_unit</f>
        <v>g/ha</v>
      </c>
    </row>
    <row r="173" spans="1:4" ht="38.25" x14ac:dyDescent="0.2">
      <c r="A173" s="128" t="s">
        <v>210</v>
      </c>
      <c r="B173" s="134">
        <f>dep_5m*grnhouse_amount
*IF(RIGHT(applic_rate_unit,2)="ha",10000,1)
/applic_rate_vd</f>
        <v>0</v>
      </c>
      <c r="C173" s="44" t="s">
        <v>211</v>
      </c>
    </row>
    <row r="174" spans="1:4" x14ac:dyDescent="0.2">
      <c r="A174" s="135" t="s">
        <v>212</v>
      </c>
      <c r="B174" s="136"/>
      <c r="C174" s="137"/>
    </row>
    <row r="175" spans="1:4" x14ac:dyDescent="0.2">
      <c r="A175" s="138" t="s">
        <v>213</v>
      </c>
      <c r="B175" s="139"/>
      <c r="C175" s="140"/>
    </row>
    <row r="176" spans="1:4" ht="15" x14ac:dyDescent="0.25">
      <c r="A176" s="141" t="s">
        <v>214</v>
      </c>
      <c r="B176" s="142">
        <f>dep_5m_perc*EXP(-0.0358*1)/EXP(-0.0358*5)</f>
        <v>0</v>
      </c>
      <c r="C176" s="143"/>
    </row>
    <row r="177" spans="1:3" ht="15" x14ac:dyDescent="0.25">
      <c r="A177" s="144" t="s">
        <v>215</v>
      </c>
      <c r="B177" s="145">
        <f>dep_5m_perc*EXP(-0.0358*5)/EXP(-0.0358*5)</f>
        <v>0</v>
      </c>
      <c r="C177" s="103"/>
    </row>
    <row r="178" spans="1:3" ht="15" x14ac:dyDescent="0.25">
      <c r="A178" s="144" t="s">
        <v>216</v>
      </c>
      <c r="B178" s="145">
        <f>dep_5m_perc*EXP(-0.0358*10)/EXP(-0.0358*5)</f>
        <v>0</v>
      </c>
      <c r="C178" s="103"/>
    </row>
    <row r="179" spans="1:3" ht="15" x14ac:dyDescent="0.25">
      <c r="A179" s="144" t="s">
        <v>217</v>
      </c>
      <c r="B179" s="145">
        <f>dep_5m_perc*EXP(-0.0358*15)/EXP(-0.0358*5)</f>
        <v>0</v>
      </c>
      <c r="C179" s="103"/>
    </row>
    <row r="180" spans="1:3" ht="15" x14ac:dyDescent="0.25">
      <c r="A180" s="146" t="s">
        <v>218</v>
      </c>
      <c r="B180" s="147">
        <f>dep_5m_perc*EXP(-0.0358*20)/EXP(-0.0358*5)</f>
        <v>0</v>
      </c>
      <c r="C180" s="106"/>
    </row>
  </sheetData>
  <mergeCells count="2">
    <mergeCell ref="E32:H32"/>
    <mergeCell ref="I32:L3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CBA90-E06B-4F37-A169-8D1ACCBF2E74}">
  <sheetPr codeName="Tabelle14"/>
  <dimension ref="A1:L18"/>
  <sheetViews>
    <sheetView workbookViewId="0">
      <selection activeCell="M32" sqref="M32"/>
    </sheetView>
  </sheetViews>
  <sheetFormatPr defaultColWidth="11.42578125" defaultRowHeight="12.75" x14ac:dyDescent="0.2"/>
  <cols>
    <col min="1" max="12" width="12.7109375" style="36" customWidth="1"/>
    <col min="13" max="16384" width="11.42578125" style="36"/>
  </cols>
  <sheetData>
    <row r="1" spans="1:12" x14ac:dyDescent="0.2">
      <c r="A1" s="148" t="s">
        <v>333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</row>
    <row r="2" spans="1:12" x14ac:dyDescent="0.2">
      <c r="A2" s="36">
        <f>applic_rate1</f>
        <v>15</v>
      </c>
    </row>
    <row r="4" spans="1:12" x14ac:dyDescent="0.2">
      <c r="A4" s="148" t="s">
        <v>334</v>
      </c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</row>
    <row r="5" spans="1:12" x14ac:dyDescent="0.2">
      <c r="A5" s="350" t="e">
        <f t="array" ref="A5:L5">IF(no_applic&gt;=(COLUMN()),
INDEX(factor,MAX(((factor1:INDEX(factor,COLUMN()))&lt;&gt;"")*(COLUMN(factor1:INDEX(factor,COLUMN()))-2))),
"")</f>
        <v>#VALUE!</v>
      </c>
      <c r="B5" s="350" t="str">
        <v/>
      </c>
      <c r="C5" s="350" t="str">
        <v/>
      </c>
      <c r="D5" s="350" t="str">
        <v/>
      </c>
      <c r="E5" s="350" t="str">
        <v/>
      </c>
      <c r="F5" s="350" t="str">
        <v/>
      </c>
      <c r="G5" s="350" t="str">
        <v/>
      </c>
      <c r="H5" s="350" t="str">
        <v/>
      </c>
      <c r="I5" s="350" t="str">
        <v/>
      </c>
      <c r="J5" s="350" t="str">
        <v/>
      </c>
      <c r="K5" s="350" t="str">
        <v/>
      </c>
      <c r="L5" s="350" t="str">
        <v/>
      </c>
    </row>
    <row r="7" spans="1:12" x14ac:dyDescent="0.2">
      <c r="A7" s="148" t="s">
        <v>335</v>
      </c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</row>
    <row r="8" spans="1:12" x14ac:dyDescent="0.2">
      <c r="A8" s="36">
        <f>interval_applic1</f>
        <v>7</v>
      </c>
    </row>
    <row r="10" spans="1:12" x14ac:dyDescent="0.2">
      <c r="A10" s="148" t="s">
        <v>336</v>
      </c>
    </row>
    <row r="11" spans="1:12" x14ac:dyDescent="0.2">
      <c r="A11" s="36">
        <f>k_deg</f>
        <v>3.4657359027997263E-2</v>
      </c>
    </row>
    <row r="13" spans="1:12" x14ac:dyDescent="0.2">
      <c r="A13" s="148" t="s">
        <v>337</v>
      </c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</row>
    <row r="14" spans="1:12" x14ac:dyDescent="0.2">
      <c r="A14" s="196">
        <f t="array" ref="A14">IF(act_applic_rate&lt;&gt;"",act_applic_rate,"")</f>
        <v>15</v>
      </c>
      <c r="B14" s="196" t="str">
        <f t="array" aca="1" ref="B14:L14" ca="1">IF(OFFSET(act_applic_rate,,1)&lt;&gt;"",OFFSET(act_applic_rate,,1)+deg_amount_applic,"")</f>
        <v/>
      </c>
      <c r="C14" s="196" t="str">
        <f ca="1"/>
        <v/>
      </c>
      <c r="D14" s="196" t="str">
        <f ca="1"/>
        <v/>
      </c>
      <c r="E14" s="196" t="str">
        <f ca="1"/>
        <v/>
      </c>
      <c r="F14" s="196" t="str">
        <f ca="1"/>
        <v/>
      </c>
      <c r="G14" s="196" t="str">
        <f ca="1"/>
        <v/>
      </c>
      <c r="H14" s="196" t="str">
        <f ca="1"/>
        <v/>
      </c>
      <c r="I14" s="196" t="str">
        <f ca="1"/>
        <v/>
      </c>
      <c r="J14" s="196" t="str">
        <f ca="1"/>
        <v/>
      </c>
      <c r="K14" s="196" t="str">
        <f ca="1"/>
        <v/>
      </c>
      <c r="L14" s="196" t="str">
        <f ca="1"/>
        <v/>
      </c>
    </row>
    <row r="15" spans="1:12" ht="15" x14ac:dyDescent="0.25">
      <c r="A15" s="364">
        <f t="array" ref="A15:L15">IF(act_interval_applic&lt;&gt;"",peak_amount_applic*EXP(-k_deg_copy*act_interval_applic),"")</f>
        <v>11.768761468451261</v>
      </c>
      <c r="B15" s="364" t="str">
        <v/>
      </c>
      <c r="C15" s="364" t="str">
        <v/>
      </c>
      <c r="D15" s="364" t="str">
        <v/>
      </c>
      <c r="E15" s="364" t="str">
        <v/>
      </c>
      <c r="F15" s="364" t="str">
        <v/>
      </c>
      <c r="G15" s="364" t="str">
        <v/>
      </c>
      <c r="H15" s="364" t="str">
        <v/>
      </c>
      <c r="I15" s="364" t="str">
        <v/>
      </c>
      <c r="J15" s="364" t="str">
        <v/>
      </c>
      <c r="K15" s="364" t="str">
        <v/>
      </c>
      <c r="L15" s="364" t="str">
        <v/>
      </c>
    </row>
    <row r="17" spans="1:1" x14ac:dyDescent="0.2">
      <c r="A17" s="148" t="s">
        <v>338</v>
      </c>
    </row>
    <row r="18" spans="1:1" x14ac:dyDescent="0.2">
      <c r="A18" s="196">
        <f ca="1">MAX(A14:L14)/MAX(act_applic_rate)</f>
        <v>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05730-2395-4B43-93C0-D896347CFB5E}">
  <sheetPr codeName="Tabelle22"/>
  <dimension ref="A1:G69"/>
  <sheetViews>
    <sheetView topLeftCell="A13" workbookViewId="0">
      <selection activeCell="C10" sqref="C10"/>
    </sheetView>
  </sheetViews>
  <sheetFormatPr defaultColWidth="11.42578125" defaultRowHeight="12.75" x14ac:dyDescent="0.2"/>
  <cols>
    <col min="1" max="7" width="25.7109375" style="36" customWidth="1"/>
    <col min="8" max="16384" width="11.42578125" style="36"/>
  </cols>
  <sheetData>
    <row r="1" spans="1:4" x14ac:dyDescent="0.2">
      <c r="A1" s="148" t="s">
        <v>339</v>
      </c>
      <c r="B1" s="148"/>
      <c r="C1" s="148"/>
      <c r="D1" s="148"/>
    </row>
    <row r="2" spans="1:4" x14ac:dyDescent="0.2">
      <c r="A2" s="36" t="s">
        <v>271</v>
      </c>
      <c r="B2" s="36" t="s">
        <v>340</v>
      </c>
      <c r="C2" s="36" t="s">
        <v>341</v>
      </c>
      <c r="D2" s="36" t="s">
        <v>342</v>
      </c>
    </row>
    <row r="3" spans="1:4" x14ac:dyDescent="0.2">
      <c r="A3" s="36" t="s">
        <v>343</v>
      </c>
      <c r="B3" s="36" t="s">
        <v>343</v>
      </c>
      <c r="C3" s="36" t="s">
        <v>343</v>
      </c>
      <c r="D3" s="36" t="s">
        <v>343</v>
      </c>
    </row>
    <row r="4" spans="1:4" x14ac:dyDescent="0.2">
      <c r="A4" s="36" t="s">
        <v>344</v>
      </c>
      <c r="B4" s="36" t="s">
        <v>344</v>
      </c>
      <c r="C4" s="36" t="s">
        <v>344</v>
      </c>
      <c r="D4" s="36" t="s">
        <v>344</v>
      </c>
    </row>
    <row r="5" spans="1:4" x14ac:dyDescent="0.2">
      <c r="A5" s="350" t="s">
        <v>345</v>
      </c>
      <c r="B5" s="350" t="s">
        <v>345</v>
      </c>
      <c r="C5" s="350" t="s">
        <v>345</v>
      </c>
      <c r="D5" s="350" t="s">
        <v>345</v>
      </c>
    </row>
    <row r="6" spans="1:4" x14ac:dyDescent="0.2">
      <c r="A6" s="36" t="s">
        <v>346</v>
      </c>
      <c r="B6" s="36" t="s">
        <v>347</v>
      </c>
      <c r="C6" s="36" t="s">
        <v>348</v>
      </c>
      <c r="D6" s="36" t="s">
        <v>348</v>
      </c>
    </row>
    <row r="7" spans="1:4" x14ac:dyDescent="0.2">
      <c r="A7" s="36" t="s">
        <v>349</v>
      </c>
      <c r="B7" s="36" t="s">
        <v>349</v>
      </c>
      <c r="C7" s="36" t="s">
        <v>349</v>
      </c>
      <c r="D7" s="36" t="s">
        <v>349</v>
      </c>
    </row>
    <row r="8" spans="1:4" x14ac:dyDescent="0.2">
      <c r="A8" s="350" t="s">
        <v>350</v>
      </c>
      <c r="B8" s="350" t="s">
        <v>350</v>
      </c>
      <c r="C8" s="36" t="s">
        <v>351</v>
      </c>
      <c r="D8" s="36" t="s">
        <v>352</v>
      </c>
    </row>
    <row r="10" spans="1:4" x14ac:dyDescent="0.2">
      <c r="A10" s="148" t="s">
        <v>353</v>
      </c>
      <c r="B10" s="148" t="s">
        <v>354</v>
      </c>
      <c r="C10" s="148" t="s">
        <v>355</v>
      </c>
    </row>
    <row r="11" spans="1:4" x14ac:dyDescent="0.2">
      <c r="A11" s="36" t="s">
        <v>278</v>
      </c>
      <c r="B11" s="36">
        <v>1</v>
      </c>
      <c r="C11" s="351">
        <v>0</v>
      </c>
    </row>
    <row r="12" spans="1:4" x14ac:dyDescent="0.2">
      <c r="A12" s="36" t="s">
        <v>356</v>
      </c>
      <c r="B12" s="36">
        <v>5</v>
      </c>
      <c r="C12" s="351">
        <v>0.5</v>
      </c>
    </row>
    <row r="13" spans="1:4" x14ac:dyDescent="0.2">
      <c r="B13" s="36">
        <v>10</v>
      </c>
    </row>
    <row r="15" spans="1:4" x14ac:dyDescent="0.2">
      <c r="A15" s="148" t="s">
        <v>357</v>
      </c>
    </row>
    <row r="16" spans="1:4" x14ac:dyDescent="0.2">
      <c r="A16" s="36" t="s">
        <v>258</v>
      </c>
    </row>
    <row r="17" spans="1:3" x14ac:dyDescent="0.2">
      <c r="A17" s="36" t="s">
        <v>358</v>
      </c>
    </row>
    <row r="18" spans="1:3" x14ac:dyDescent="0.2">
      <c r="A18" s="36" t="s">
        <v>263</v>
      </c>
    </row>
    <row r="19" spans="1:3" x14ac:dyDescent="0.2">
      <c r="A19" s="36" t="s">
        <v>359</v>
      </c>
    </row>
    <row r="20" spans="1:3" x14ac:dyDescent="0.2">
      <c r="A20" s="36" t="s">
        <v>360</v>
      </c>
    </row>
    <row r="21" spans="1:3" x14ac:dyDescent="0.2">
      <c r="A21" s="36" t="s">
        <v>361</v>
      </c>
    </row>
    <row r="23" spans="1:3" x14ac:dyDescent="0.2">
      <c r="A23" s="148" t="s">
        <v>362</v>
      </c>
      <c r="B23" s="148" t="s">
        <v>363</v>
      </c>
      <c r="C23" s="148" t="s">
        <v>364</v>
      </c>
    </row>
    <row r="24" spans="1:3" x14ac:dyDescent="0.2">
      <c r="A24" s="36" t="s">
        <v>280</v>
      </c>
      <c r="B24" s="36" t="s">
        <v>365</v>
      </c>
      <c r="C24" s="36" t="str">
        <f t="array" ref="C24:C29">select_applic_rate_unit</f>
        <v>mg/m²</v>
      </c>
    </row>
    <row r="25" spans="1:3" x14ac:dyDescent="0.2">
      <c r="A25" s="36" t="s">
        <v>366</v>
      </c>
      <c r="B25" s="36" t="s">
        <v>367</v>
      </c>
      <c r="C25" s="36" t="str">
        <v>g/m²</v>
      </c>
    </row>
    <row r="26" spans="1:3" x14ac:dyDescent="0.2">
      <c r="C26" s="36" t="str">
        <v>g/ha</v>
      </c>
    </row>
    <row r="27" spans="1:3" x14ac:dyDescent="0.2">
      <c r="C27" s="36" t="str">
        <v>kg/ha</v>
      </c>
    </row>
    <row r="28" spans="1:3" x14ac:dyDescent="0.2">
      <c r="C28" s="36" t="str">
        <v>mL/m²</v>
      </c>
    </row>
    <row r="29" spans="1:3" x14ac:dyDescent="0.2">
      <c r="C29" s="36" t="str">
        <v>L/ha</v>
      </c>
    </row>
    <row r="31" spans="1:3" x14ac:dyDescent="0.2">
      <c r="A31" s="148" t="s">
        <v>368</v>
      </c>
      <c r="B31" s="148"/>
      <c r="C31" s="148"/>
    </row>
    <row r="32" spans="1:3" x14ac:dyDescent="0.2">
      <c r="B32" s="352" t="s">
        <v>280</v>
      </c>
      <c r="C32" s="352" t="s">
        <v>366</v>
      </c>
    </row>
    <row r="33" spans="1:3" x14ac:dyDescent="0.2">
      <c r="A33" s="36" t="str">
        <f t="array" ref="A33:A38">select_applic_rate_unit</f>
        <v>mg/m²</v>
      </c>
      <c r="B33" s="352">
        <f>(1/1000)/(3/10000)</f>
        <v>3.3333333333333335</v>
      </c>
      <c r="C33" s="352">
        <f>(1/1000)/(3000/10000)</f>
        <v>3.3333333333333335E-3</v>
      </c>
    </row>
    <row r="34" spans="1:3" x14ac:dyDescent="0.2">
      <c r="A34" s="36" t="str">
        <v>g/m²</v>
      </c>
      <c r="B34" s="352">
        <f>1/(3/10000)</f>
        <v>3333.3333333333335</v>
      </c>
      <c r="C34" s="352">
        <f>1/(3000/10000)</f>
        <v>3.3333333333333335</v>
      </c>
    </row>
    <row r="35" spans="1:3" x14ac:dyDescent="0.2">
      <c r="A35" s="36" t="str">
        <v>g/ha</v>
      </c>
      <c r="B35" s="36">
        <f>1/3</f>
        <v>0.33333333333333331</v>
      </c>
      <c r="C35" s="36">
        <f>1/3000</f>
        <v>3.3333333333333332E-4</v>
      </c>
    </row>
    <row r="36" spans="1:3" x14ac:dyDescent="0.2">
      <c r="A36" s="36" t="str">
        <v>kg/ha</v>
      </c>
      <c r="B36" s="36">
        <f>(1*1000)/3</f>
        <v>333.33333333333331</v>
      </c>
      <c r="C36" s="36">
        <f>(1*1000)/3000</f>
        <v>0.33333333333333331</v>
      </c>
    </row>
    <row r="37" spans="1:3" x14ac:dyDescent="0.2">
      <c r="A37" s="36" t="str">
        <v>mL/m²</v>
      </c>
      <c r="B37" s="352">
        <f>1/(3/10000)
*prod_density</f>
        <v>3333.3333333333335</v>
      </c>
      <c r="C37" s="352">
        <f>1/(3000/10000)
*prod_density</f>
        <v>3.3333333333333335</v>
      </c>
    </row>
    <row r="38" spans="1:3" x14ac:dyDescent="0.2">
      <c r="A38" s="36" t="str">
        <v>L/ha</v>
      </c>
      <c r="B38" s="36">
        <f>(1*1000)/3
*prod_density</f>
        <v>333.33333333333331</v>
      </c>
      <c r="C38" s="36">
        <f>(1*1000)/3000
*prod_density</f>
        <v>0.33333333333333331</v>
      </c>
    </row>
    <row r="40" spans="1:3" x14ac:dyDescent="0.2">
      <c r="A40" s="148" t="s">
        <v>369</v>
      </c>
      <c r="B40" s="148"/>
      <c r="C40" s="148"/>
    </row>
    <row r="41" spans="1:3" x14ac:dyDescent="0.2">
      <c r="B41" s="352" t="s">
        <v>365</v>
      </c>
      <c r="C41" s="352" t="s">
        <v>367</v>
      </c>
    </row>
    <row r="42" spans="1:3" x14ac:dyDescent="0.2">
      <c r="A42" s="36" t="str">
        <f t="array" ref="A42:A47">select_applic_rate_unit</f>
        <v>mg/m²</v>
      </c>
      <c r="B42" s="352" t="e">
        <f>(1/1000)/(3/10000)
*((300*perc_in_sed)/(10*sed_layer*sed_density)*(1+f_accu_plat))</f>
        <v>#REF!</v>
      </c>
      <c r="C42" s="352" t="e">
        <f>(1/1000)/(3000/10000)
*((300*perc_in_sed)/(10*sed_layer*sed_density)*(1+f_accu_plat))</f>
        <v>#REF!</v>
      </c>
    </row>
    <row r="43" spans="1:3" x14ac:dyDescent="0.2">
      <c r="A43" s="36" t="str">
        <v>g/m²</v>
      </c>
      <c r="B43" s="352" t="e">
        <f>1/(3/10000)
*((300*perc_in_sed)/(10*sed_layer*sed_density)*(1+f_accu_plat))</f>
        <v>#REF!</v>
      </c>
      <c r="C43" s="352" t="e">
        <f>1/(3000/10000)
*((300*perc_in_sed)/(10*sed_layer*sed_density)*(1+f_accu_plat))</f>
        <v>#REF!</v>
      </c>
    </row>
    <row r="44" spans="1:3" x14ac:dyDescent="0.2">
      <c r="A44" s="36" t="str">
        <v>g/ha</v>
      </c>
      <c r="B44" s="36" t="e">
        <f>1/3
*((300*perc_in_sed)/(10*sed_layer*sed_density)*(1+f_accu_plat))</f>
        <v>#REF!</v>
      </c>
      <c r="C44" s="36" t="e">
        <f>1/3000
*((300*perc_in_sed)/(10*sed_layer*sed_density)*(1+f_accu_plat))</f>
        <v>#REF!</v>
      </c>
    </row>
    <row r="45" spans="1:3" x14ac:dyDescent="0.2">
      <c r="A45" s="36" t="str">
        <v>kg/ha</v>
      </c>
      <c r="B45" s="36" t="e">
        <f>(1*1000)/3
*((300*perc_in_sed)/(10*sed_layer*sed_density)*(1+f_accu_plat))</f>
        <v>#REF!</v>
      </c>
      <c r="C45" s="36" t="e">
        <f>(1*1000)/3000
*((300*perc_in_sed)/(10*sed_layer*sed_density)*(1+f_accu_plat))</f>
        <v>#REF!</v>
      </c>
    </row>
    <row r="46" spans="1:3" x14ac:dyDescent="0.2">
      <c r="A46" s="36" t="str">
        <v>mL/m²</v>
      </c>
      <c r="B46" s="352" t="e">
        <f>1/(3/10000)
*((300*perc_in_sed)/(10*sed_layer*sed_density)*(1+f_accu_plat))
*prod_density</f>
        <v>#REF!</v>
      </c>
      <c r="C46" s="352" t="e">
        <f>1/(3000/10000)
*((300*perc_in_sed)/(10*sed_layer*sed_density)*(1+f_accu_plat))
*prod_density</f>
        <v>#REF!</v>
      </c>
    </row>
    <row r="47" spans="1:3" x14ac:dyDescent="0.2">
      <c r="A47" s="36" t="str">
        <v>L/ha</v>
      </c>
      <c r="B47" s="36" t="e">
        <f>(1*1000)/3
*((300*perc_in_sed)/(10*sed_layer*sed_density)*(1+f_accu_plat))
*prod_density</f>
        <v>#REF!</v>
      </c>
      <c r="C47" s="36" t="e">
        <f>(1*1000)/3000
*((300*perc_in_sed)/(10*sed_layer*sed_density)*(1+f_accu_plat))
*prod_density</f>
        <v>#REF!</v>
      </c>
    </row>
    <row r="49" spans="1:7" x14ac:dyDescent="0.2">
      <c r="A49" s="148" t="s">
        <v>370</v>
      </c>
      <c r="B49" s="148"/>
      <c r="C49" s="148"/>
      <c r="D49" s="148"/>
      <c r="E49" s="148"/>
      <c r="F49" s="148"/>
      <c r="G49" s="148"/>
    </row>
    <row r="50" spans="1:7" x14ac:dyDescent="0.2">
      <c r="B50" s="352" t="str">
        <f t="array" ref="B50:G50">TRANSPOSE(select_applic_rate_unit)</f>
        <v>mg/m²</v>
      </c>
      <c r="C50" s="352" t="str">
        <v>g/m²</v>
      </c>
      <c r="D50" s="352" t="str">
        <v>g/ha</v>
      </c>
      <c r="E50" s="352" t="str">
        <v>kg/ha</v>
      </c>
      <c r="F50" s="352" t="str">
        <v>mL/m²</v>
      </c>
      <c r="G50" s="352" t="str">
        <v>L/ha</v>
      </c>
    </row>
    <row r="51" spans="1:7" x14ac:dyDescent="0.2">
      <c r="A51" s="36" t="str">
        <f t="array" ref="A51:A56">select_applic_rate_unit</f>
        <v>mg/m²</v>
      </c>
      <c r="B51" s="36">
        <f>1/1</f>
        <v>1</v>
      </c>
      <c r="C51" s="36">
        <f>1/1000</f>
        <v>1E-3</v>
      </c>
      <c r="D51" s="36">
        <f>10000/1000</f>
        <v>10</v>
      </c>
      <c r="E51" s="36">
        <f>10000/1000000</f>
        <v>0.01</v>
      </c>
      <c r="F51" s="36">
        <f>1/1000
*1/prod_density</f>
        <v>1E-3</v>
      </c>
      <c r="G51" s="36">
        <f>10000/1000000
*1/prod_density</f>
        <v>0.01</v>
      </c>
    </row>
    <row r="52" spans="1:7" x14ac:dyDescent="0.2">
      <c r="A52" s="36" t="str">
        <v>g/m²</v>
      </c>
      <c r="B52" s="36">
        <f>1/0.001</f>
        <v>1000</v>
      </c>
      <c r="C52" s="36">
        <f>1/1</f>
        <v>1</v>
      </c>
      <c r="D52" s="36">
        <f>10000/1</f>
        <v>10000</v>
      </c>
      <c r="E52" s="36">
        <f>10000/1000</f>
        <v>10</v>
      </c>
      <c r="F52" s="36">
        <f>1/1
*1/prod_density</f>
        <v>1</v>
      </c>
      <c r="G52" s="36">
        <f>10000/1000
*1/prod_density</f>
        <v>10</v>
      </c>
    </row>
    <row r="53" spans="1:7" x14ac:dyDescent="0.2">
      <c r="A53" s="36" t="str">
        <v>g/ha</v>
      </c>
      <c r="B53" s="36">
        <f>0.0001/0.001</f>
        <v>0.1</v>
      </c>
      <c r="C53" s="36">
        <f>0.0001/1</f>
        <v>1E-4</v>
      </c>
      <c r="D53" s="36">
        <f>1/1</f>
        <v>1</v>
      </c>
      <c r="E53" s="36">
        <f>1/1000</f>
        <v>1E-3</v>
      </c>
      <c r="F53" s="36">
        <f>0.0001/1
*1/prod_density</f>
        <v>1E-4</v>
      </c>
      <c r="G53" s="36">
        <f>1/1000
*1/prod_density</f>
        <v>1E-3</v>
      </c>
    </row>
    <row r="54" spans="1:7" x14ac:dyDescent="0.2">
      <c r="A54" s="36" t="str">
        <v>kg/ha</v>
      </c>
      <c r="B54" s="36">
        <f>0.0001/0.000001</f>
        <v>100.00000000000001</v>
      </c>
      <c r="C54" s="36">
        <f>0.0001/0.001</f>
        <v>0.1</v>
      </c>
      <c r="D54" s="36">
        <f>1/0.001</f>
        <v>1000</v>
      </c>
      <c r="E54" s="36">
        <f>1/1</f>
        <v>1</v>
      </c>
      <c r="F54" s="36">
        <f>0.0001/0.001
*1/prod_density</f>
        <v>0.1</v>
      </c>
      <c r="G54" s="36">
        <f>1/1
*1/prod_density</f>
        <v>1</v>
      </c>
    </row>
    <row r="55" spans="1:7" x14ac:dyDescent="0.2">
      <c r="A55" s="36" t="str">
        <v>mL/m²</v>
      </c>
      <c r="B55" s="36">
        <f>1/0.001
*prod_density</f>
        <v>1000</v>
      </c>
      <c r="C55" s="36">
        <f>1/1
*prod_density</f>
        <v>1</v>
      </c>
      <c r="D55" s="36">
        <f>10000/1
*prod_density</f>
        <v>10000</v>
      </c>
      <c r="E55" s="36">
        <f>10000/1000
*prod_density</f>
        <v>10</v>
      </c>
      <c r="F55" s="36">
        <f>1/1</f>
        <v>1</v>
      </c>
      <c r="G55" s="36">
        <f>10000/1000</f>
        <v>10</v>
      </c>
    </row>
    <row r="56" spans="1:7" x14ac:dyDescent="0.2">
      <c r="A56" s="36" t="str">
        <v>L/ha</v>
      </c>
      <c r="B56" s="36">
        <f>0.0001/0.000001
*prod_density</f>
        <v>100.00000000000001</v>
      </c>
      <c r="C56" s="36">
        <f>0.0001/0.001
*prod_density</f>
        <v>0.1</v>
      </c>
      <c r="D56" s="36">
        <f>1/0.001
*prod_density</f>
        <v>1000</v>
      </c>
      <c r="E56" s="36">
        <f>1/1
*prod_density</f>
        <v>1</v>
      </c>
      <c r="F56" s="36">
        <f>0.0001/0.001</f>
        <v>0.1</v>
      </c>
      <c r="G56" s="36">
        <f>1/1</f>
        <v>1</v>
      </c>
    </row>
    <row r="58" spans="1:7" x14ac:dyDescent="0.2">
      <c r="A58" s="148" t="s">
        <v>371</v>
      </c>
      <c r="B58" s="148"/>
      <c r="C58" s="148"/>
      <c r="D58" s="148"/>
      <c r="E58" s="148"/>
      <c r="F58" s="148"/>
    </row>
    <row r="59" spans="1:7" x14ac:dyDescent="0.2">
      <c r="A59" s="225" t="s">
        <v>372</v>
      </c>
      <c r="B59" s="353">
        <v>0</v>
      </c>
      <c r="C59" s="353">
        <v>1</v>
      </c>
      <c r="D59" s="353">
        <v>2</v>
      </c>
      <c r="E59" s="353">
        <v>3</v>
      </c>
      <c r="F59" s="353">
        <v>4</v>
      </c>
    </row>
    <row r="60" spans="1:7" x14ac:dyDescent="0.2">
      <c r="A60" s="312">
        <v>0</v>
      </c>
      <c r="B60" s="353" t="s">
        <v>373</v>
      </c>
      <c r="C60" s="353" t="str">
        <f t="array" ref="C60">IF(LEFT(compartment,4)="aqua",
IF(SUM(ISNUMBER(FIND("knapsack",factor))*1),"NW608",
IF(SUM(ISNUMBER(FIND("gardening",factor))*1),IF(SUM(drift_red_index)&gt;2,"insufficient","NW608"),
IF(SUM(ISNUMBER(FIND("no drift",factor))*1),"insufficient",
"NW609"))),
IF(SUM(ISNUMBER(FIND("knapsack",factor))*1),"not applic.",
IF(SUM(ISNUMBER(FIND("gardening",factor))*1)+SUM(ISNUMBER(FIND("no drift",factor))*1),"insufficient",
IF(INDEX(dist_matrix_final,1)=1,"NT101","NT104"))))</f>
        <v>NW609</v>
      </c>
      <c r="D60" s="353" t="str">
        <f t="array" ref="D60">IF(LEFT(compartment,4)="aqua",
IF(SUM(ISNUMBER(FIND("knapsack",factor))*1)+SUM(ISNUMBER(FIND("gardening",factor))*1)+SUM(ISNUMBER(FIND("no drift",factor))*1),"-/-",
"NW605/606"),
IF(SUM(ISNUMBER(FIND("knapsack",factor))*1)+SUM(ISNUMBER(FIND("gardening",factor))*1)+SUM(ISNUMBER(FIND("no drift",factor))*1),"-/-",
IF(INDEX(dist_matrix_final,1)=1,"NT102","NT105")))</f>
        <v>NW605/606</v>
      </c>
      <c r="E60" s="353" t="str">
        <f t="array" ref="E60">IF(LEFT(compartment,4)="aqua",
IF(SUM(ISNUMBER(FIND("knapsack",factor))*1)+SUM(ISNUMBER(FIND("gardening",factor))*1)+SUM(ISNUMBER(FIND("no drift",factor))*1),"-/-",
"NW605/606"),
IF(SUM(ISNUMBER(FIND("knapsack",factor))*1)+SUM(ISNUMBER(FIND("gardening",factor))*1)+SUM(ISNUMBER(FIND("no drift",factor))*1),"-/-",
IF(INDEX(dist_matrix_final,1)=1,"NT103","NT106")))</f>
        <v>NW605/606</v>
      </c>
      <c r="F60" s="353" t="str">
        <f t="array" ref="F60">IF(LEFT(compartment,4)="aqua",
IF(SUM(ISNUMBER(FIND("knapsack",factor))*1)+SUM(ISNUMBER(FIND("gardening",factor))*1)+SUM(ISNUMBER(FIND("no drift",factor))*1),"-/-",
"NW605/606"),
"-/-")</f>
        <v>NW605/606</v>
      </c>
    </row>
    <row r="61" spans="1:7" x14ac:dyDescent="0.2">
      <c r="A61" s="312">
        <v>1</v>
      </c>
      <c r="B61" s="354" t="s">
        <v>374</v>
      </c>
      <c r="C61" s="353" t="str">
        <f t="array" ref="C61">IF(LEFT(compartment,4)="aqua",
IF(SUM(ISNUMBER(FIND("knapsack",factor))*1)+SUM(ISNUMBER(FIND("gardening",factor))*1)+SUM(ISNUMBER(FIND("no drift",factor))*1),
"insufficient",
"NW607"),
IF(SUM(ISNUMBER(FIND("knapsack",factor))*1),"not applic.",
IF(SUM(ISNUMBER(FIND("gardening",factor))*1)+SUM(ISNUMBER(FIND("no drift",factor))*1),"insufficient",
IF(INDEX(dist_matrix_final,1)=1,"NT101","NT104"))))</f>
        <v>NW607</v>
      </c>
      <c r="D61" s="353" t="str">
        <f t="array" ref="D61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IF(INDEX(dist_matrix_final,1)=1,"NT102","NT105")))</f>
        <v>NW607</v>
      </c>
      <c r="E61" s="353" t="str">
        <f t="array" ref="E61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IF(INDEX(dist_matrix_final,1)=1,"NT103","NT106")))</f>
        <v>NW607</v>
      </c>
      <c r="F61" s="353" t="str">
        <f t="array" ref="F61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"NT107"))</f>
        <v>NW607</v>
      </c>
    </row>
    <row r="62" spans="1:7" x14ac:dyDescent="0.2">
      <c r="A62" s="312">
        <v>2</v>
      </c>
      <c r="B62" s="354" t="s">
        <v>374</v>
      </c>
      <c r="C62" s="354" t="s">
        <v>374</v>
      </c>
      <c r="D62" s="353" t="str">
        <f t="array" ref="D62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IF(INDEX(dist_matrix_final,1)=1,"NT102","NT105")))</f>
        <v>NW607</v>
      </c>
      <c r="E62" s="353" t="str">
        <f t="array" ref="E62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IF(INDEX(dist_matrix_final,1)=1,"NT103","NT106")))</f>
        <v>NW607</v>
      </c>
      <c r="F62" s="353" t="str">
        <f t="array" ref="F62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"NT108"))</f>
        <v>NW607</v>
      </c>
    </row>
    <row r="63" spans="1:7" x14ac:dyDescent="0.2">
      <c r="A63" s="312">
        <v>3</v>
      </c>
      <c r="B63" s="354" t="s">
        <v>374</v>
      </c>
      <c r="C63" s="354" t="s">
        <v>374</v>
      </c>
      <c r="D63" s="354" t="s">
        <v>374</v>
      </c>
      <c r="E63" s="353" t="str">
        <f t="array" ref="E63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IF(INDEX(dist_matrix_final,1)=1,"NT103","NT106")))</f>
        <v>NW607</v>
      </c>
      <c r="F63" s="353" t="str">
        <f t="array" ref="F63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"NT109"))</f>
        <v>NW607</v>
      </c>
    </row>
    <row r="64" spans="1:7" x14ac:dyDescent="0.2">
      <c r="A64" s="312">
        <v>4</v>
      </c>
      <c r="B64" s="354" t="s">
        <v>374</v>
      </c>
      <c r="C64" s="354" t="s">
        <v>374</v>
      </c>
      <c r="D64" s="354" t="s">
        <v>374</v>
      </c>
      <c r="E64" s="354" t="s">
        <v>374</v>
      </c>
      <c r="F64" s="353" t="str">
        <f t="array" ref="F64">IF(SUM(ISNUMBER(FIND("knapsack",factor))*1)+SUM(ISNUMBER(FIND("gardening",factor))*1)+SUM(ISNUMBER(FIND("no drift",factor))*1),"-/-",
"insufficient")</f>
        <v>insufficient</v>
      </c>
    </row>
    <row r="66" spans="1:2" x14ac:dyDescent="0.2">
      <c r="A66" s="148" t="s">
        <v>375</v>
      </c>
      <c r="B66" s="148" t="s">
        <v>376</v>
      </c>
    </row>
    <row r="67" spans="1:2" x14ac:dyDescent="0.2">
      <c r="A67" s="36" t="s">
        <v>231</v>
      </c>
      <c r="B67" s="36" t="s">
        <v>377</v>
      </c>
    </row>
    <row r="68" spans="1:2" x14ac:dyDescent="0.2">
      <c r="A68" s="36" t="s">
        <v>377</v>
      </c>
    </row>
    <row r="69" spans="1:2" x14ac:dyDescent="0.2">
      <c r="A69" s="36" t="str">
        <f>"max. drift "&amp;RIGHT(parameter,6)</f>
        <v>max. drift PECact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402C-FCC6-4D28-AA3B-FC1E0EBBABC5}">
  <sheetPr codeName="Tabelle7"/>
  <dimension ref="A1:C59"/>
  <sheetViews>
    <sheetView workbookViewId="0">
      <pane ySplit="1" topLeftCell="A44" activePane="bottomLeft" state="frozen"/>
      <selection activeCell="C10" sqref="C10"/>
      <selection pane="bottomLeft" activeCell="C10" sqref="C10"/>
    </sheetView>
  </sheetViews>
  <sheetFormatPr defaultColWidth="11.42578125" defaultRowHeight="12.75" x14ac:dyDescent="0.25"/>
  <cols>
    <col min="1" max="1" width="14.28515625" style="225" customWidth="1"/>
    <col min="2" max="3" width="57.140625" style="225" customWidth="1"/>
    <col min="4" max="16384" width="11.42578125" style="225"/>
  </cols>
  <sheetData>
    <row r="1" spans="1:3" x14ac:dyDescent="0.25">
      <c r="A1" s="159" t="s">
        <v>378</v>
      </c>
      <c r="B1" s="159" t="s">
        <v>379</v>
      </c>
      <c r="C1" s="159" t="s">
        <v>380</v>
      </c>
    </row>
    <row r="2" spans="1:3" ht="38.25" x14ac:dyDescent="0.25">
      <c r="A2" s="355" t="s">
        <v>381</v>
      </c>
      <c r="B2" s="355" t="s">
        <v>382</v>
      </c>
      <c r="C2" s="355" t="s">
        <v>383</v>
      </c>
    </row>
    <row r="3" spans="1:3" ht="38.25" x14ac:dyDescent="0.25">
      <c r="B3" s="225" t="s">
        <v>384</v>
      </c>
      <c r="C3" s="225" t="s">
        <v>385</v>
      </c>
    </row>
    <row r="4" spans="1:3" ht="25.5" x14ac:dyDescent="0.25">
      <c r="C4" s="225" t="s">
        <v>386</v>
      </c>
    </row>
    <row r="5" spans="1:3" ht="25.5" x14ac:dyDescent="0.25">
      <c r="B5" s="225" t="s">
        <v>387</v>
      </c>
      <c r="C5" s="225" t="s">
        <v>388</v>
      </c>
    </row>
    <row r="6" spans="1:3" ht="71.25" hidden="1" x14ac:dyDescent="0.25">
      <c r="A6" s="355" t="s">
        <v>389</v>
      </c>
      <c r="B6" s="355" t="s">
        <v>390</v>
      </c>
      <c r="C6" s="355" t="s">
        <v>391</v>
      </c>
    </row>
    <row r="7" spans="1:3" ht="38.25" hidden="1" x14ac:dyDescent="0.25">
      <c r="C7" s="225" t="s">
        <v>392</v>
      </c>
    </row>
    <row r="8" spans="1:3" ht="25.5" hidden="1" x14ac:dyDescent="0.25">
      <c r="C8" s="225" t="s">
        <v>393</v>
      </c>
    </row>
    <row r="9" spans="1:3" ht="25.5" hidden="1" x14ac:dyDescent="0.25">
      <c r="C9" s="225" t="s">
        <v>394</v>
      </c>
    </row>
    <row r="10" spans="1:3" ht="38.25" hidden="1" x14ac:dyDescent="0.25">
      <c r="C10" s="225" t="s">
        <v>395</v>
      </c>
    </row>
    <row r="11" spans="1:3" ht="25.5" x14ac:dyDescent="0.25">
      <c r="A11" s="355" t="s">
        <v>389</v>
      </c>
      <c r="B11" s="355" t="s">
        <v>396</v>
      </c>
      <c r="C11" s="355" t="s">
        <v>397</v>
      </c>
    </row>
    <row r="12" spans="1:3" ht="38.25" x14ac:dyDescent="0.25">
      <c r="C12" s="225" t="s">
        <v>398</v>
      </c>
    </row>
    <row r="13" spans="1:3" ht="51" x14ac:dyDescent="0.25">
      <c r="C13" s="225" t="s">
        <v>399</v>
      </c>
    </row>
    <row r="14" spans="1:3" ht="106.5" x14ac:dyDescent="0.25">
      <c r="A14" s="355" t="s">
        <v>400</v>
      </c>
      <c r="B14" s="355" t="s">
        <v>401</v>
      </c>
      <c r="C14" s="355" t="s">
        <v>402</v>
      </c>
    </row>
    <row r="15" spans="1:3" ht="177.75" x14ac:dyDescent="0.25">
      <c r="C15" s="225" t="s">
        <v>403</v>
      </c>
    </row>
    <row r="16" spans="1:3" ht="25.5" x14ac:dyDescent="0.25">
      <c r="C16" s="225" t="s">
        <v>404</v>
      </c>
    </row>
    <row r="17" spans="1:3" ht="38.25" x14ac:dyDescent="0.25">
      <c r="C17" s="225" t="s">
        <v>405</v>
      </c>
    </row>
    <row r="18" spans="1:3" ht="25.5" x14ac:dyDescent="0.25">
      <c r="C18" s="225" t="s">
        <v>406</v>
      </c>
    </row>
    <row r="19" spans="1:3" ht="25.5" x14ac:dyDescent="0.25">
      <c r="C19" s="225" t="s">
        <v>407</v>
      </c>
    </row>
    <row r="20" spans="1:3" ht="25.5" x14ac:dyDescent="0.25">
      <c r="C20" s="225" t="s">
        <v>408</v>
      </c>
    </row>
    <row r="21" spans="1:3" ht="63.75" x14ac:dyDescent="0.25">
      <c r="C21" s="225" t="s">
        <v>409</v>
      </c>
    </row>
    <row r="22" spans="1:3" ht="76.5" x14ac:dyDescent="0.25">
      <c r="C22" s="225" t="s">
        <v>410</v>
      </c>
    </row>
    <row r="23" spans="1:3" ht="38.25" x14ac:dyDescent="0.25">
      <c r="B23" s="225" t="s">
        <v>411</v>
      </c>
      <c r="C23" s="225" t="s">
        <v>412</v>
      </c>
    </row>
    <row r="24" spans="1:3" ht="25.5" x14ac:dyDescent="0.25">
      <c r="B24" s="225" t="s">
        <v>413</v>
      </c>
      <c r="C24" s="225" t="s">
        <v>414</v>
      </c>
    </row>
    <row r="25" spans="1:3" ht="38.25" x14ac:dyDescent="0.25">
      <c r="A25" s="355" t="s">
        <v>415</v>
      </c>
      <c r="B25" s="355" t="s">
        <v>416</v>
      </c>
      <c r="C25" s="355" t="s">
        <v>417</v>
      </c>
    </row>
    <row r="26" spans="1:3" ht="76.5" x14ac:dyDescent="0.25">
      <c r="C26" s="225" t="s">
        <v>418</v>
      </c>
    </row>
    <row r="27" spans="1:3" ht="102" x14ac:dyDescent="0.25">
      <c r="B27" s="225" t="s">
        <v>419</v>
      </c>
      <c r="C27" s="225" t="s">
        <v>420</v>
      </c>
    </row>
    <row r="28" spans="1:3" ht="76.5" x14ac:dyDescent="0.25">
      <c r="C28" s="225" t="s">
        <v>421</v>
      </c>
    </row>
    <row r="29" spans="1:3" ht="38.25" x14ac:dyDescent="0.25">
      <c r="C29" s="225" t="s">
        <v>422</v>
      </c>
    </row>
    <row r="30" spans="1:3" ht="51" x14ac:dyDescent="0.25">
      <c r="C30" s="225" t="s">
        <v>423</v>
      </c>
    </row>
    <row r="31" spans="1:3" ht="38.25" x14ac:dyDescent="0.25">
      <c r="C31" s="225" t="s">
        <v>424</v>
      </c>
    </row>
    <row r="32" spans="1:3" ht="25.5" x14ac:dyDescent="0.25">
      <c r="B32" s="225" t="s">
        <v>425</v>
      </c>
      <c r="C32" s="225" t="s">
        <v>426</v>
      </c>
    </row>
    <row r="33" spans="1:3" ht="25.5" hidden="1" x14ac:dyDescent="0.25">
      <c r="A33" s="355" t="s">
        <v>427</v>
      </c>
      <c r="B33" s="355" t="s">
        <v>428</v>
      </c>
      <c r="C33" s="355" t="s">
        <v>429</v>
      </c>
    </row>
    <row r="34" spans="1:3" ht="25.5" x14ac:dyDescent="0.25">
      <c r="A34" s="355" t="s">
        <v>427</v>
      </c>
      <c r="B34" s="355" t="s">
        <v>430</v>
      </c>
      <c r="C34" s="355" t="s">
        <v>431</v>
      </c>
    </row>
    <row r="35" spans="1:3" ht="25.5" x14ac:dyDescent="0.25">
      <c r="A35" s="355" t="s">
        <v>432</v>
      </c>
      <c r="B35" s="355" t="s">
        <v>433</v>
      </c>
      <c r="C35" s="355" t="s">
        <v>434</v>
      </c>
    </row>
    <row r="36" spans="1:3" ht="25.5" x14ac:dyDescent="0.25">
      <c r="C36" s="225" t="s">
        <v>435</v>
      </c>
    </row>
    <row r="37" spans="1:3" ht="51" x14ac:dyDescent="0.25">
      <c r="C37" s="225" t="s">
        <v>436</v>
      </c>
    </row>
    <row r="38" spans="1:3" ht="51" x14ac:dyDescent="0.25">
      <c r="C38" s="225" t="s">
        <v>437</v>
      </c>
    </row>
    <row r="39" spans="1:3" ht="38.25" hidden="1" x14ac:dyDescent="0.25">
      <c r="B39" s="225" t="s">
        <v>438</v>
      </c>
      <c r="C39" s="225" t="s">
        <v>439</v>
      </c>
    </row>
    <row r="40" spans="1:3" ht="38.25" x14ac:dyDescent="0.25">
      <c r="B40" s="225" t="s">
        <v>440</v>
      </c>
      <c r="C40" s="225" t="s">
        <v>441</v>
      </c>
    </row>
    <row r="41" spans="1:3" ht="38.25" x14ac:dyDescent="0.25">
      <c r="B41" s="225" t="s">
        <v>442</v>
      </c>
      <c r="C41" s="225" t="s">
        <v>443</v>
      </c>
    </row>
    <row r="42" spans="1:3" ht="111" x14ac:dyDescent="0.25">
      <c r="B42" s="225" t="s">
        <v>444</v>
      </c>
      <c r="C42" s="225" t="s">
        <v>445</v>
      </c>
    </row>
    <row r="43" spans="1:3" ht="25.5" x14ac:dyDescent="0.25">
      <c r="A43" s="355" t="s">
        <v>446</v>
      </c>
      <c r="B43" s="355" t="s">
        <v>447</v>
      </c>
      <c r="C43" s="355" t="s">
        <v>448</v>
      </c>
    </row>
    <row r="44" spans="1:3" ht="25.5" x14ac:dyDescent="0.25">
      <c r="C44" s="225" t="s">
        <v>449</v>
      </c>
    </row>
    <row r="45" spans="1:3" ht="25.5" x14ac:dyDescent="0.25">
      <c r="C45" s="225" t="s">
        <v>450</v>
      </c>
    </row>
    <row r="46" spans="1:3" ht="25.5" x14ac:dyDescent="0.25">
      <c r="C46" s="225" t="s">
        <v>451</v>
      </c>
    </row>
    <row r="47" spans="1:3" ht="38.25" x14ac:dyDescent="0.25">
      <c r="B47" s="225" t="s">
        <v>452</v>
      </c>
      <c r="C47" s="225" t="s">
        <v>453</v>
      </c>
    </row>
    <row r="48" spans="1:3" ht="25.5" x14ac:dyDescent="0.25">
      <c r="B48" s="225" t="s">
        <v>454</v>
      </c>
      <c r="C48" s="225" t="s">
        <v>455</v>
      </c>
    </row>
    <row r="49" spans="1:3" ht="25.5" x14ac:dyDescent="0.25">
      <c r="A49" s="355" t="s">
        <v>456</v>
      </c>
      <c r="B49" s="355" t="s">
        <v>457</v>
      </c>
      <c r="C49" s="355" t="s">
        <v>458</v>
      </c>
    </row>
    <row r="50" spans="1:3" ht="38.25" x14ac:dyDescent="0.25">
      <c r="C50" s="225" t="s">
        <v>459</v>
      </c>
    </row>
    <row r="51" spans="1:3" ht="25.5" x14ac:dyDescent="0.25">
      <c r="C51" s="225" t="s">
        <v>460</v>
      </c>
    </row>
    <row r="52" spans="1:3" ht="25.5" x14ac:dyDescent="0.25">
      <c r="B52" s="225" t="s">
        <v>461</v>
      </c>
      <c r="C52" s="225" t="s">
        <v>462</v>
      </c>
    </row>
    <row r="53" spans="1:3" ht="25.5" x14ac:dyDescent="0.25">
      <c r="C53" s="225" t="s">
        <v>463</v>
      </c>
    </row>
    <row r="54" spans="1:3" ht="38.25" x14ac:dyDescent="0.25">
      <c r="C54" s="225" t="s">
        <v>464</v>
      </c>
    </row>
    <row r="55" spans="1:3" ht="38.25" x14ac:dyDescent="0.25">
      <c r="C55" s="225" t="s">
        <v>465</v>
      </c>
    </row>
    <row r="56" spans="1:3" ht="51" x14ac:dyDescent="0.25">
      <c r="A56" s="355" t="s">
        <v>466</v>
      </c>
      <c r="B56" s="355" t="s">
        <v>467</v>
      </c>
      <c r="C56" s="355" t="s">
        <v>468</v>
      </c>
    </row>
    <row r="57" spans="1:3" ht="38.25" x14ac:dyDescent="0.25">
      <c r="C57" s="225" t="s">
        <v>469</v>
      </c>
    </row>
    <row r="58" spans="1:3" ht="38.25" x14ac:dyDescent="0.25">
      <c r="C58" s="225" t="s">
        <v>470</v>
      </c>
    </row>
    <row r="59" spans="1:3" ht="25.5" x14ac:dyDescent="0.25">
      <c r="C59" s="225" t="s">
        <v>471</v>
      </c>
    </row>
  </sheetData>
  <sheetProtection algorithmName="SHA-512" hashValue="vjHnAWdQqv4cqEgVrj56jRaNJmJAMrlhu9+JybMgVN0LaDz9rHG8ZJ4tqzxciJlNQ0WIWwNDkFNZK7KCBCHgFw==" saltValue="VV5eux7nq9WWU/ppq47xtQ==" spinCount="100000" sheet="1" objects="1" scenarios="1"/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A5C51-0127-4561-8767-0A7C96712A7E}">
  <sheetPr codeName="Sheet8"/>
  <dimension ref="A1:L533"/>
  <sheetViews>
    <sheetView workbookViewId="0">
      <pane ySplit="1" topLeftCell="A2" activePane="bottomLeft" state="frozen"/>
      <selection activeCell="C10" sqref="C10"/>
      <selection pane="bottomLeft" activeCell="C10" sqref="C10"/>
    </sheetView>
  </sheetViews>
  <sheetFormatPr defaultColWidth="11.42578125" defaultRowHeight="12.75" x14ac:dyDescent="0.2"/>
  <cols>
    <col min="1" max="1" width="34.5703125" style="358" bestFit="1" customWidth="1"/>
    <col min="2" max="2" width="47.7109375" style="361" customWidth="1"/>
    <col min="3" max="3" width="8.28515625" style="358" bestFit="1" customWidth="1"/>
    <col min="4" max="4" width="11.7109375" style="358" bestFit="1" customWidth="1"/>
    <col min="5" max="5" width="8.28515625" style="358" bestFit="1" customWidth="1"/>
    <col min="6" max="6" width="12.42578125" style="358" bestFit="1" customWidth="1"/>
    <col min="7" max="7" width="8.42578125" style="358" bestFit="1" customWidth="1"/>
    <col min="8" max="8" width="8.28515625" style="358" bestFit="1" customWidth="1"/>
    <col min="9" max="9" width="6.140625" style="358" bestFit="1" customWidth="1"/>
    <col min="10" max="10" width="8" style="358" bestFit="1" customWidth="1"/>
    <col min="11" max="11" width="11.42578125" style="358"/>
    <col min="12" max="12" width="44.140625" style="358" bestFit="1" customWidth="1"/>
    <col min="13" max="16384" width="11.42578125" style="358"/>
  </cols>
  <sheetData>
    <row r="1" spans="1:12" x14ac:dyDescent="0.2">
      <c r="A1" s="356" t="s">
        <v>472</v>
      </c>
      <c r="B1" s="357" t="s">
        <v>473</v>
      </c>
      <c r="C1" s="356" t="s">
        <v>474</v>
      </c>
      <c r="D1" s="356" t="s">
        <v>475</v>
      </c>
      <c r="E1" s="356" t="s">
        <v>476</v>
      </c>
      <c r="F1" s="356" t="s">
        <v>477</v>
      </c>
      <c r="G1" s="356" t="s">
        <v>478</v>
      </c>
      <c r="H1" s="356" t="s">
        <v>479</v>
      </c>
      <c r="I1" s="356" t="s">
        <v>480</v>
      </c>
      <c r="J1" s="356" t="s">
        <v>481</v>
      </c>
      <c r="K1" s="356" t="s">
        <v>482</v>
      </c>
      <c r="L1" s="358" t="s">
        <v>483</v>
      </c>
    </row>
    <row r="2" spans="1:12" x14ac:dyDescent="0.2">
      <c r="A2" s="358" t="s">
        <v>270</v>
      </c>
      <c r="B2" s="359" t="s">
        <v>484</v>
      </c>
      <c r="C2" s="358" t="b">
        <v>1</v>
      </c>
      <c r="D2" s="358" t="b">
        <v>0</v>
      </c>
      <c r="E2" s="358" t="b">
        <v>0</v>
      </c>
      <c r="F2" s="358" t="b">
        <v>0</v>
      </c>
      <c r="G2" s="358" t="b">
        <v>0</v>
      </c>
      <c r="H2" s="358" t="b">
        <v>0</v>
      </c>
      <c r="I2" s="358">
        <v>1</v>
      </c>
      <c r="J2" s="358">
        <v>1</v>
      </c>
      <c r="K2" s="358" t="s">
        <v>485</v>
      </c>
      <c r="L2" s="358" t="s">
        <v>486</v>
      </c>
    </row>
    <row r="3" spans="1:12" x14ac:dyDescent="0.2">
      <c r="A3" s="358" t="s">
        <v>487</v>
      </c>
      <c r="B3" s="359" t="s">
        <v>488</v>
      </c>
      <c r="C3" s="358" t="b">
        <v>1</v>
      </c>
      <c r="D3" s="358" t="b">
        <v>0</v>
      </c>
      <c r="E3" s="358" t="b">
        <v>0</v>
      </c>
      <c r="F3" s="358" t="b">
        <v>0</v>
      </c>
      <c r="G3" s="358" t="b">
        <v>0</v>
      </c>
      <c r="H3" s="358" t="b">
        <v>0</v>
      </c>
      <c r="I3" s="358">
        <v>1</v>
      </c>
      <c r="J3" s="358">
        <v>1</v>
      </c>
      <c r="K3" s="358" t="s">
        <v>485</v>
      </c>
      <c r="L3" s="358" t="s">
        <v>489</v>
      </c>
    </row>
    <row r="4" spans="1:12" x14ac:dyDescent="0.2">
      <c r="A4" s="358" t="s">
        <v>490</v>
      </c>
      <c r="B4" s="359" t="s">
        <v>491</v>
      </c>
      <c r="C4" s="358" t="b">
        <v>1</v>
      </c>
      <c r="D4" s="358" t="b">
        <v>1</v>
      </c>
      <c r="E4" s="358" t="b">
        <v>0</v>
      </c>
      <c r="F4" s="358" t="b">
        <v>0</v>
      </c>
      <c r="G4" s="358" t="b">
        <v>0</v>
      </c>
      <c r="H4" s="358" t="b">
        <v>0</v>
      </c>
      <c r="I4" s="358">
        <v>1</v>
      </c>
      <c r="J4" s="358">
        <v>1</v>
      </c>
      <c r="K4" s="358" t="s">
        <v>485</v>
      </c>
      <c r="L4" s="358" t="s">
        <v>492</v>
      </c>
    </row>
    <row r="5" spans="1:12" x14ac:dyDescent="0.2">
      <c r="A5" s="358" t="s">
        <v>493</v>
      </c>
      <c r="B5" s="359" t="s">
        <v>494</v>
      </c>
      <c r="C5" s="358" t="b">
        <v>1</v>
      </c>
      <c r="D5" s="358" t="b">
        <v>1</v>
      </c>
      <c r="E5" s="358" t="b">
        <v>0</v>
      </c>
      <c r="F5" s="358" t="b">
        <v>0</v>
      </c>
      <c r="G5" s="358" t="b">
        <v>0</v>
      </c>
      <c r="H5" s="358" t="b">
        <v>0</v>
      </c>
      <c r="I5" s="358">
        <v>1</v>
      </c>
      <c r="J5" s="358">
        <v>1</v>
      </c>
      <c r="K5" s="358" t="s">
        <v>485</v>
      </c>
      <c r="L5" s="358" t="s">
        <v>495</v>
      </c>
    </row>
    <row r="6" spans="1:12" x14ac:dyDescent="0.2">
      <c r="A6" s="358" t="s">
        <v>496</v>
      </c>
      <c r="B6" s="359" t="s">
        <v>497</v>
      </c>
      <c r="C6" s="358" t="b">
        <v>1</v>
      </c>
      <c r="D6" s="358" t="b">
        <v>0</v>
      </c>
      <c r="E6" s="358" t="b">
        <v>0</v>
      </c>
      <c r="F6" s="358" t="b">
        <v>0</v>
      </c>
      <c r="G6" s="358" t="b">
        <v>0</v>
      </c>
      <c r="H6" s="358" t="b">
        <v>0</v>
      </c>
      <c r="I6" s="358">
        <v>1</v>
      </c>
      <c r="J6" s="358">
        <v>1</v>
      </c>
      <c r="K6" s="358" t="s">
        <v>485</v>
      </c>
      <c r="L6" s="358" t="s">
        <v>498</v>
      </c>
    </row>
    <row r="7" spans="1:12" x14ac:dyDescent="0.2">
      <c r="A7" s="358" t="s">
        <v>499</v>
      </c>
      <c r="B7" s="359" t="s">
        <v>500</v>
      </c>
      <c r="C7" s="358" t="b">
        <v>1</v>
      </c>
      <c r="D7" s="358" t="b">
        <v>1</v>
      </c>
      <c r="E7" s="358" t="b">
        <v>0</v>
      </c>
      <c r="F7" s="358" t="b">
        <v>0</v>
      </c>
      <c r="G7" s="358" t="b">
        <v>0</v>
      </c>
      <c r="H7" s="358" t="b">
        <v>0</v>
      </c>
      <c r="I7" s="358">
        <v>1</v>
      </c>
      <c r="J7" s="358">
        <v>1</v>
      </c>
      <c r="K7" s="358" t="s">
        <v>485</v>
      </c>
      <c r="L7" s="358" t="s">
        <v>501</v>
      </c>
    </row>
    <row r="8" spans="1:12" x14ac:dyDescent="0.2">
      <c r="A8" s="358" t="s">
        <v>502</v>
      </c>
      <c r="B8" s="359" t="s">
        <v>503</v>
      </c>
      <c r="C8" s="358" t="b">
        <v>1</v>
      </c>
      <c r="D8" s="358" t="b">
        <v>0</v>
      </c>
      <c r="E8" s="358" t="b">
        <v>0</v>
      </c>
      <c r="F8" s="358" t="b">
        <v>0</v>
      </c>
      <c r="G8" s="358" t="b">
        <v>0</v>
      </c>
      <c r="H8" s="358" t="b">
        <v>0</v>
      </c>
      <c r="I8" s="358">
        <v>1</v>
      </c>
      <c r="J8" s="358">
        <v>1</v>
      </c>
      <c r="K8" s="358" t="s">
        <v>485</v>
      </c>
      <c r="L8" s="358" t="s">
        <v>504</v>
      </c>
    </row>
    <row r="9" spans="1:12" x14ac:dyDescent="0.2">
      <c r="A9" s="358" t="s">
        <v>259</v>
      </c>
      <c r="B9" s="359" t="s">
        <v>505</v>
      </c>
      <c r="C9" s="358" t="b">
        <v>1</v>
      </c>
      <c r="D9" s="358" t="b">
        <v>0</v>
      </c>
      <c r="E9" s="358" t="b">
        <v>0</v>
      </c>
      <c r="F9" s="358" t="b">
        <v>0</v>
      </c>
      <c r="G9" s="358" t="b">
        <v>0</v>
      </c>
      <c r="H9" s="358" t="b">
        <v>0</v>
      </c>
      <c r="I9" s="358">
        <v>1</v>
      </c>
      <c r="J9" s="358">
        <v>12</v>
      </c>
      <c r="K9" s="358" t="s">
        <v>485</v>
      </c>
      <c r="L9" s="358" t="s">
        <v>506</v>
      </c>
    </row>
    <row r="10" spans="1:12" x14ac:dyDescent="0.2">
      <c r="A10" s="358" t="s">
        <v>507</v>
      </c>
      <c r="B10" s="359" t="s">
        <v>508</v>
      </c>
      <c r="C10" s="358" t="b">
        <v>1</v>
      </c>
      <c r="D10" s="358" t="b">
        <v>0</v>
      </c>
      <c r="E10" s="358" t="b">
        <v>0</v>
      </c>
      <c r="F10" s="358" t="b">
        <v>0</v>
      </c>
      <c r="G10" s="358" t="b">
        <v>0</v>
      </c>
      <c r="H10" s="358" t="b">
        <v>0</v>
      </c>
      <c r="I10" s="358">
        <v>1</v>
      </c>
      <c r="J10" s="358">
        <v>1</v>
      </c>
      <c r="K10" s="358" t="s">
        <v>485</v>
      </c>
      <c r="L10" s="358" t="s">
        <v>509</v>
      </c>
    </row>
    <row r="11" spans="1:12" x14ac:dyDescent="0.2">
      <c r="A11" s="358" t="s">
        <v>510</v>
      </c>
      <c r="B11" s="359" t="s">
        <v>511</v>
      </c>
      <c r="C11" s="358" t="b">
        <v>1</v>
      </c>
      <c r="D11" s="358" t="b">
        <v>0</v>
      </c>
      <c r="E11" s="358" t="b">
        <v>0</v>
      </c>
      <c r="F11" s="358" t="b">
        <v>0</v>
      </c>
      <c r="G11" s="358" t="b">
        <v>0</v>
      </c>
      <c r="H11" s="358" t="b">
        <v>0</v>
      </c>
      <c r="I11" s="358">
        <v>1</v>
      </c>
      <c r="J11" s="358">
        <v>12</v>
      </c>
      <c r="K11" s="358" t="s">
        <v>485</v>
      </c>
      <c r="L11" s="358" t="s">
        <v>512</v>
      </c>
    </row>
    <row r="12" spans="1:12" x14ac:dyDescent="0.2">
      <c r="A12" s="358" t="s">
        <v>513</v>
      </c>
      <c r="B12" s="359" t="s">
        <v>514</v>
      </c>
      <c r="C12" s="358" t="b">
        <v>1</v>
      </c>
      <c r="D12" s="358" t="b">
        <v>0</v>
      </c>
      <c r="E12" s="358" t="b">
        <v>0</v>
      </c>
      <c r="F12" s="358" t="b">
        <v>0</v>
      </c>
      <c r="G12" s="358" t="b">
        <v>0</v>
      </c>
      <c r="H12" s="358" t="b">
        <v>0</v>
      </c>
      <c r="I12" s="358">
        <v>1</v>
      </c>
      <c r="J12" s="358">
        <v>1</v>
      </c>
      <c r="K12" s="358" t="s">
        <v>485</v>
      </c>
      <c r="L12" s="358" t="s">
        <v>515</v>
      </c>
    </row>
    <row r="13" spans="1:12" x14ac:dyDescent="0.2">
      <c r="A13" s="358" t="s">
        <v>516</v>
      </c>
      <c r="B13" s="359" t="s">
        <v>517</v>
      </c>
      <c r="C13" s="358" t="b">
        <v>1</v>
      </c>
      <c r="D13" s="358" t="b">
        <v>0</v>
      </c>
      <c r="E13" s="358" t="b">
        <v>0</v>
      </c>
      <c r="F13" s="358" t="b">
        <v>0</v>
      </c>
      <c r="G13" s="358" t="b">
        <v>0</v>
      </c>
      <c r="H13" s="358" t="b">
        <v>0</v>
      </c>
      <c r="I13" s="358">
        <v>1</v>
      </c>
      <c r="J13" s="358">
        <v>1</v>
      </c>
      <c r="K13" s="358" t="s">
        <v>485</v>
      </c>
      <c r="L13" s="358" t="s">
        <v>518</v>
      </c>
    </row>
    <row r="14" spans="1:12" x14ac:dyDescent="0.2">
      <c r="A14" s="358" t="s">
        <v>519</v>
      </c>
      <c r="B14" s="359" t="s">
        <v>520</v>
      </c>
      <c r="C14" s="358" t="b">
        <v>1</v>
      </c>
      <c r="D14" s="358" t="b">
        <v>0</v>
      </c>
      <c r="E14" s="358" t="b">
        <v>0</v>
      </c>
      <c r="F14" s="358" t="b">
        <v>0</v>
      </c>
      <c r="G14" s="358" t="b">
        <v>0</v>
      </c>
      <c r="H14" s="358" t="b">
        <v>0</v>
      </c>
      <c r="I14" s="358">
        <v>1</v>
      </c>
      <c r="J14" s="358">
        <v>5</v>
      </c>
      <c r="K14" s="358" t="s">
        <v>485</v>
      </c>
      <c r="L14" s="358" t="s">
        <v>521</v>
      </c>
    </row>
    <row r="15" spans="1:12" x14ac:dyDescent="0.2">
      <c r="A15" s="358" t="s">
        <v>522</v>
      </c>
      <c r="B15" s="359" t="s">
        <v>523</v>
      </c>
      <c r="C15" s="358" t="b">
        <v>1</v>
      </c>
      <c r="D15" s="358" t="b">
        <v>1</v>
      </c>
      <c r="E15" s="358" t="b">
        <v>0</v>
      </c>
      <c r="F15" s="358" t="b">
        <v>0</v>
      </c>
      <c r="G15" s="358" t="b">
        <v>0</v>
      </c>
      <c r="H15" s="358" t="b">
        <v>0</v>
      </c>
      <c r="I15" s="358">
        <v>1</v>
      </c>
      <c r="J15" s="358">
        <v>1</v>
      </c>
      <c r="K15" s="358" t="s">
        <v>485</v>
      </c>
      <c r="L15" s="358" t="s">
        <v>524</v>
      </c>
    </row>
    <row r="16" spans="1:12" x14ac:dyDescent="0.2">
      <c r="A16" s="358" t="s">
        <v>525</v>
      </c>
      <c r="B16" s="359" t="s">
        <v>526</v>
      </c>
      <c r="C16" s="358" t="b">
        <v>1</v>
      </c>
      <c r="D16" s="358" t="b">
        <v>1</v>
      </c>
      <c r="E16" s="358" t="b">
        <v>0</v>
      </c>
      <c r="F16" s="358" t="b">
        <v>0</v>
      </c>
      <c r="G16" s="358" t="b">
        <v>0</v>
      </c>
      <c r="H16" s="358" t="b">
        <v>0</v>
      </c>
      <c r="I16" s="358">
        <v>1</v>
      </c>
      <c r="J16" s="358">
        <v>1</v>
      </c>
      <c r="K16" s="358" t="s">
        <v>485</v>
      </c>
      <c r="L16" s="358" t="s">
        <v>527</v>
      </c>
    </row>
    <row r="17" spans="1:12" x14ac:dyDescent="0.2">
      <c r="A17" s="358" t="s">
        <v>528</v>
      </c>
      <c r="B17" s="359" t="s">
        <v>529</v>
      </c>
      <c r="C17" s="358" t="b">
        <v>1</v>
      </c>
      <c r="D17" s="358" t="b">
        <v>1</v>
      </c>
      <c r="E17" s="358" t="b">
        <v>0</v>
      </c>
      <c r="F17" s="358" t="b">
        <v>0</v>
      </c>
      <c r="G17" s="358" t="b">
        <v>0</v>
      </c>
      <c r="H17" s="358" t="b">
        <v>0</v>
      </c>
      <c r="I17" s="358">
        <v>1</v>
      </c>
      <c r="J17" s="358">
        <v>1</v>
      </c>
      <c r="K17" s="358" t="s">
        <v>485</v>
      </c>
      <c r="L17" s="358" t="s">
        <v>530</v>
      </c>
    </row>
    <row r="18" spans="1:12" x14ac:dyDescent="0.2">
      <c r="A18" s="358" t="s">
        <v>531</v>
      </c>
      <c r="B18" s="359" t="s">
        <v>532</v>
      </c>
      <c r="C18" s="358" t="b">
        <v>1</v>
      </c>
      <c r="D18" s="358" t="b">
        <v>1</v>
      </c>
      <c r="E18" s="358" t="b">
        <v>0</v>
      </c>
      <c r="F18" s="358" t="b">
        <v>0</v>
      </c>
      <c r="G18" s="358" t="b">
        <v>0</v>
      </c>
      <c r="H18" s="358" t="b">
        <v>0</v>
      </c>
      <c r="I18" s="358">
        <v>1</v>
      </c>
      <c r="J18" s="358">
        <v>1</v>
      </c>
      <c r="K18" s="358" t="s">
        <v>485</v>
      </c>
      <c r="L18" s="358" t="s">
        <v>533</v>
      </c>
    </row>
    <row r="19" spans="1:12" x14ac:dyDescent="0.2">
      <c r="A19" s="358" t="s">
        <v>534</v>
      </c>
      <c r="B19" s="359" t="s">
        <v>535</v>
      </c>
      <c r="C19" s="358" t="b">
        <v>1</v>
      </c>
      <c r="D19" s="358" t="b">
        <v>1</v>
      </c>
      <c r="E19" s="358" t="b">
        <v>0</v>
      </c>
      <c r="F19" s="358" t="b">
        <v>0</v>
      </c>
      <c r="G19" s="358" t="b">
        <v>0</v>
      </c>
      <c r="H19" s="358" t="b">
        <v>0</v>
      </c>
      <c r="I19" s="358">
        <v>1</v>
      </c>
      <c r="J19" s="358">
        <v>1</v>
      </c>
      <c r="K19" s="358" t="s">
        <v>485</v>
      </c>
      <c r="L19" s="358" t="s">
        <v>536</v>
      </c>
    </row>
    <row r="20" spans="1:12" x14ac:dyDescent="0.2">
      <c r="A20" s="358" t="s">
        <v>537</v>
      </c>
      <c r="B20" s="359" t="s">
        <v>538</v>
      </c>
      <c r="C20" s="358" t="b">
        <v>1</v>
      </c>
      <c r="D20" s="358" t="b">
        <v>0</v>
      </c>
      <c r="E20" s="358" t="b">
        <v>0</v>
      </c>
      <c r="F20" s="358" t="b">
        <v>0</v>
      </c>
      <c r="G20" s="358" t="b">
        <v>0</v>
      </c>
      <c r="H20" s="358" t="b">
        <v>0</v>
      </c>
      <c r="I20" s="358">
        <v>1</v>
      </c>
      <c r="J20" s="358">
        <v>1</v>
      </c>
      <c r="K20" s="358" t="s">
        <v>485</v>
      </c>
      <c r="L20" s="358" t="s">
        <v>539</v>
      </c>
    </row>
    <row r="21" spans="1:12" x14ac:dyDescent="0.2">
      <c r="A21" s="358" t="s">
        <v>540</v>
      </c>
      <c r="B21" s="359" t="s">
        <v>541</v>
      </c>
      <c r="C21" s="358" t="b">
        <v>1</v>
      </c>
      <c r="D21" s="358" t="b">
        <v>0</v>
      </c>
      <c r="E21" s="358" t="b">
        <v>0</v>
      </c>
      <c r="F21" s="358" t="b">
        <v>0</v>
      </c>
      <c r="G21" s="358" t="b">
        <v>0</v>
      </c>
      <c r="H21" s="358" t="b">
        <v>0</v>
      </c>
      <c r="I21" s="358">
        <v>1</v>
      </c>
      <c r="J21" s="358">
        <v>1</v>
      </c>
      <c r="K21" s="358" t="s">
        <v>485</v>
      </c>
      <c r="L21" s="358" t="s">
        <v>542</v>
      </c>
    </row>
    <row r="22" spans="1:12" x14ac:dyDescent="0.2">
      <c r="A22" s="358" t="s">
        <v>543</v>
      </c>
      <c r="B22" s="359" t="s">
        <v>544</v>
      </c>
      <c r="C22" s="358" t="b">
        <v>1</v>
      </c>
      <c r="D22" s="358" t="b">
        <v>0</v>
      </c>
      <c r="E22" s="358" t="b">
        <v>0</v>
      </c>
      <c r="F22" s="358" t="b">
        <v>0</v>
      </c>
      <c r="G22" s="358" t="b">
        <v>0</v>
      </c>
      <c r="H22" s="358" t="b">
        <v>0</v>
      </c>
      <c r="I22" s="358">
        <v>1</v>
      </c>
      <c r="J22" s="358">
        <v>12</v>
      </c>
      <c r="K22" s="358" t="s">
        <v>485</v>
      </c>
      <c r="L22" s="358" t="s">
        <v>545</v>
      </c>
    </row>
    <row r="23" spans="1:12" x14ac:dyDescent="0.2">
      <c r="A23" s="358" t="s">
        <v>546</v>
      </c>
      <c r="B23" s="359" t="s">
        <v>547</v>
      </c>
      <c r="C23" s="358" t="b">
        <v>1</v>
      </c>
      <c r="D23" s="358" t="b">
        <v>0</v>
      </c>
      <c r="E23" s="358" t="b">
        <v>0</v>
      </c>
      <c r="F23" s="358" t="b">
        <v>0</v>
      </c>
      <c r="G23" s="358" t="b">
        <v>0</v>
      </c>
      <c r="H23" s="358" t="b">
        <v>0</v>
      </c>
      <c r="I23" s="358">
        <v>1</v>
      </c>
      <c r="J23" s="358">
        <v>5</v>
      </c>
      <c r="K23" s="358" t="s">
        <v>485</v>
      </c>
      <c r="L23" s="358" t="s">
        <v>548</v>
      </c>
    </row>
    <row r="24" spans="1:12" x14ac:dyDescent="0.2">
      <c r="A24" s="358" t="s">
        <v>549</v>
      </c>
      <c r="B24" s="359" t="s">
        <v>550</v>
      </c>
      <c r="C24" s="358" t="b">
        <v>1</v>
      </c>
      <c r="D24" s="358" t="b">
        <v>1</v>
      </c>
      <c r="E24" s="358" t="b">
        <v>0</v>
      </c>
      <c r="F24" s="358" t="b">
        <v>0</v>
      </c>
      <c r="G24" s="358" t="b">
        <v>0</v>
      </c>
      <c r="H24" s="358" t="b">
        <v>0</v>
      </c>
      <c r="I24" s="358">
        <v>1</v>
      </c>
      <c r="J24" s="358">
        <v>1</v>
      </c>
      <c r="K24" s="358" t="s">
        <v>485</v>
      </c>
      <c r="L24" s="358" t="s">
        <v>551</v>
      </c>
    </row>
    <row r="25" spans="1:12" x14ac:dyDescent="0.2">
      <c r="A25" s="358" t="s">
        <v>552</v>
      </c>
      <c r="B25" s="359" t="s">
        <v>553</v>
      </c>
      <c r="C25" s="358" t="b">
        <v>1</v>
      </c>
      <c r="D25" s="358" t="b">
        <v>1</v>
      </c>
      <c r="E25" s="358" t="b">
        <v>0</v>
      </c>
      <c r="F25" s="358" t="b">
        <v>0</v>
      </c>
      <c r="G25" s="358" t="b">
        <v>0</v>
      </c>
      <c r="H25" s="358" t="b">
        <v>0</v>
      </c>
      <c r="I25" s="358">
        <v>1</v>
      </c>
      <c r="J25" s="358">
        <v>2</v>
      </c>
      <c r="K25" s="358" t="s">
        <v>485</v>
      </c>
      <c r="L25" s="358" t="s">
        <v>554</v>
      </c>
    </row>
    <row r="26" spans="1:12" x14ac:dyDescent="0.2">
      <c r="A26" s="358" t="s">
        <v>555</v>
      </c>
      <c r="B26" s="359" t="s">
        <v>556</v>
      </c>
      <c r="C26" s="358" t="b">
        <v>1</v>
      </c>
      <c r="D26" s="358" t="b">
        <v>1</v>
      </c>
      <c r="E26" s="358" t="b">
        <v>0</v>
      </c>
      <c r="F26" s="358" t="b">
        <v>0</v>
      </c>
      <c r="G26" s="358" t="b">
        <v>0</v>
      </c>
      <c r="H26" s="358" t="b">
        <v>0</v>
      </c>
      <c r="I26" s="358">
        <v>1</v>
      </c>
      <c r="J26" s="358">
        <v>3</v>
      </c>
      <c r="K26" s="358" t="s">
        <v>485</v>
      </c>
      <c r="L26" s="358" t="s">
        <v>557</v>
      </c>
    </row>
    <row r="27" spans="1:12" x14ac:dyDescent="0.2">
      <c r="A27" s="358" t="s">
        <v>558</v>
      </c>
      <c r="B27" s="359" t="s">
        <v>559</v>
      </c>
      <c r="C27" s="358" t="b">
        <v>1</v>
      </c>
      <c r="D27" s="358" t="b">
        <v>1</v>
      </c>
      <c r="E27" s="358" t="b">
        <v>0</v>
      </c>
      <c r="F27" s="358" t="b">
        <v>0</v>
      </c>
      <c r="G27" s="358" t="b">
        <v>0</v>
      </c>
      <c r="H27" s="358" t="b">
        <v>0</v>
      </c>
      <c r="I27" s="358">
        <v>1</v>
      </c>
      <c r="J27" s="358">
        <v>9</v>
      </c>
      <c r="K27" s="358" t="s">
        <v>485</v>
      </c>
      <c r="L27" s="358" t="s">
        <v>560</v>
      </c>
    </row>
    <row r="28" spans="1:12" x14ac:dyDescent="0.2">
      <c r="A28" s="358" t="s">
        <v>561</v>
      </c>
      <c r="B28" s="359" t="s">
        <v>562</v>
      </c>
      <c r="C28" s="358" t="b">
        <v>1</v>
      </c>
      <c r="D28" s="358" t="b">
        <v>0</v>
      </c>
      <c r="E28" s="358" t="b">
        <v>0</v>
      </c>
      <c r="F28" s="358" t="b">
        <v>0</v>
      </c>
      <c r="G28" s="358" t="b">
        <v>0</v>
      </c>
      <c r="H28" s="358" t="b">
        <v>0</v>
      </c>
      <c r="I28" s="358">
        <v>1</v>
      </c>
      <c r="J28" s="358">
        <v>1</v>
      </c>
      <c r="K28" s="358" t="s">
        <v>485</v>
      </c>
      <c r="L28" s="358" t="s">
        <v>563</v>
      </c>
    </row>
    <row r="29" spans="1:12" x14ac:dyDescent="0.2">
      <c r="A29" s="358" t="s">
        <v>564</v>
      </c>
      <c r="B29" s="359" t="s">
        <v>565</v>
      </c>
      <c r="C29" s="358" t="b">
        <v>1</v>
      </c>
      <c r="D29" s="358" t="b">
        <v>1</v>
      </c>
      <c r="E29" s="358" t="b">
        <v>0</v>
      </c>
      <c r="F29" s="358" t="b">
        <v>0</v>
      </c>
      <c r="G29" s="358" t="b">
        <v>0</v>
      </c>
      <c r="H29" s="358" t="b">
        <v>0</v>
      </c>
      <c r="I29" s="358">
        <v>1</v>
      </c>
      <c r="J29" s="358">
        <v>1</v>
      </c>
      <c r="K29" s="358" t="s">
        <v>485</v>
      </c>
      <c r="L29" s="358" t="s">
        <v>566</v>
      </c>
    </row>
    <row r="30" spans="1:12" x14ac:dyDescent="0.2">
      <c r="A30" s="358" t="s">
        <v>567</v>
      </c>
      <c r="B30" s="359" t="s">
        <v>568</v>
      </c>
      <c r="C30" s="358" t="b">
        <v>1</v>
      </c>
      <c r="D30" s="358" t="b">
        <v>1</v>
      </c>
      <c r="E30" s="358" t="b">
        <v>0</v>
      </c>
      <c r="F30" s="358" t="b">
        <v>0</v>
      </c>
      <c r="G30" s="358" t="b">
        <v>0</v>
      </c>
      <c r="H30" s="358" t="b">
        <v>0</v>
      </c>
      <c r="I30" s="358">
        <v>1</v>
      </c>
      <c r="J30" s="358">
        <v>1</v>
      </c>
      <c r="K30" s="358" t="s">
        <v>485</v>
      </c>
      <c r="L30" s="358" t="s">
        <v>569</v>
      </c>
    </row>
    <row r="31" spans="1:12" x14ac:dyDescent="0.2">
      <c r="A31" s="358" t="s">
        <v>570</v>
      </c>
      <c r="B31" s="359" t="s">
        <v>571</v>
      </c>
      <c r="C31" s="358" t="b">
        <v>1</v>
      </c>
      <c r="D31" s="358" t="b">
        <v>0</v>
      </c>
      <c r="E31" s="358" t="b">
        <v>0</v>
      </c>
      <c r="F31" s="358" t="b">
        <v>0</v>
      </c>
      <c r="G31" s="358" t="b">
        <v>0</v>
      </c>
      <c r="H31" s="358" t="b">
        <v>0</v>
      </c>
      <c r="I31" s="358">
        <v>1</v>
      </c>
      <c r="J31" s="358">
        <v>1</v>
      </c>
      <c r="K31" s="358" t="s">
        <v>485</v>
      </c>
      <c r="L31" s="358" t="s">
        <v>572</v>
      </c>
    </row>
    <row r="32" spans="1:12" x14ac:dyDescent="0.2">
      <c r="A32" s="358" t="s">
        <v>573</v>
      </c>
      <c r="B32" s="359" t="s">
        <v>574</v>
      </c>
      <c r="C32" s="358" t="b">
        <v>1</v>
      </c>
      <c r="D32" s="358" t="b">
        <v>0</v>
      </c>
      <c r="E32" s="358" t="b">
        <v>0</v>
      </c>
      <c r="F32" s="358" t="b">
        <v>0</v>
      </c>
      <c r="G32" s="358" t="b">
        <v>0</v>
      </c>
      <c r="H32" s="358" t="b">
        <v>0</v>
      </c>
      <c r="I32" s="358">
        <v>1</v>
      </c>
      <c r="J32" s="358">
        <v>20</v>
      </c>
      <c r="K32" s="358" t="s">
        <v>485</v>
      </c>
      <c r="L32" s="358" t="s">
        <v>575</v>
      </c>
    </row>
    <row r="33" spans="1:12" x14ac:dyDescent="0.2">
      <c r="A33" s="358" t="s">
        <v>576</v>
      </c>
      <c r="B33" s="359" t="s">
        <v>577</v>
      </c>
      <c r="C33" s="358" t="b">
        <v>1</v>
      </c>
      <c r="D33" s="358" t="b">
        <v>1</v>
      </c>
      <c r="E33" s="358" t="b">
        <v>0</v>
      </c>
      <c r="F33" s="358" t="b">
        <v>0</v>
      </c>
      <c r="G33" s="358" t="b">
        <v>0</v>
      </c>
      <c r="H33" s="358" t="b">
        <v>0</v>
      </c>
      <c r="I33" s="358">
        <v>1</v>
      </c>
      <c r="J33" s="358">
        <v>4</v>
      </c>
      <c r="K33" s="358" t="s">
        <v>485</v>
      </c>
      <c r="L33" s="358" t="s">
        <v>578</v>
      </c>
    </row>
    <row r="34" spans="1:12" x14ac:dyDescent="0.2">
      <c r="A34" s="358" t="s">
        <v>579</v>
      </c>
      <c r="B34" s="359" t="s">
        <v>580</v>
      </c>
      <c r="C34" s="358" t="b">
        <v>1</v>
      </c>
      <c r="D34" s="358" t="b">
        <v>1</v>
      </c>
      <c r="E34" s="358" t="b">
        <v>0</v>
      </c>
      <c r="F34" s="358" t="b">
        <v>0</v>
      </c>
      <c r="G34" s="358" t="b">
        <v>0</v>
      </c>
      <c r="H34" s="358" t="b">
        <v>0</v>
      </c>
      <c r="I34" s="358">
        <v>1</v>
      </c>
      <c r="J34" s="358">
        <v>20</v>
      </c>
      <c r="K34" s="358" t="s">
        <v>485</v>
      </c>
      <c r="L34" s="358" t="s">
        <v>581</v>
      </c>
    </row>
    <row r="35" spans="1:12" x14ac:dyDescent="0.2">
      <c r="A35" s="358" t="s">
        <v>582</v>
      </c>
      <c r="B35" s="359" t="s">
        <v>583</v>
      </c>
      <c r="C35" s="358" t="b">
        <v>1</v>
      </c>
      <c r="D35" s="358" t="b">
        <v>1</v>
      </c>
      <c r="E35" s="358" t="b">
        <v>0</v>
      </c>
      <c r="F35" s="358" t="b">
        <v>0</v>
      </c>
      <c r="G35" s="358" t="b">
        <v>0</v>
      </c>
      <c r="H35" s="358" t="b">
        <v>0</v>
      </c>
      <c r="I35" s="358">
        <v>1</v>
      </c>
      <c r="J35" s="358">
        <v>4</v>
      </c>
      <c r="K35" s="358" t="s">
        <v>485</v>
      </c>
      <c r="L35" s="358" t="s">
        <v>584</v>
      </c>
    </row>
    <row r="36" spans="1:12" x14ac:dyDescent="0.2">
      <c r="A36" s="358" t="s">
        <v>585</v>
      </c>
      <c r="B36" s="359" t="s">
        <v>586</v>
      </c>
      <c r="C36" s="358" t="b">
        <v>1</v>
      </c>
      <c r="D36" s="358" t="b">
        <v>1</v>
      </c>
      <c r="E36" s="358" t="b">
        <v>0</v>
      </c>
      <c r="F36" s="358" t="b">
        <v>0</v>
      </c>
      <c r="G36" s="358" t="b">
        <v>0</v>
      </c>
      <c r="H36" s="358" t="b">
        <v>0</v>
      </c>
      <c r="I36" s="358">
        <v>1</v>
      </c>
      <c r="J36" s="358">
        <v>4</v>
      </c>
      <c r="K36" s="358" t="s">
        <v>485</v>
      </c>
      <c r="L36" s="358" t="s">
        <v>587</v>
      </c>
    </row>
    <row r="37" spans="1:12" x14ac:dyDescent="0.2">
      <c r="A37" s="358" t="s">
        <v>588</v>
      </c>
      <c r="B37" s="359" t="s">
        <v>589</v>
      </c>
      <c r="C37" s="358" t="b">
        <v>1</v>
      </c>
      <c r="D37" s="358" t="b">
        <v>1</v>
      </c>
      <c r="E37" s="358" t="b">
        <v>0</v>
      </c>
      <c r="F37" s="358" t="b">
        <v>0</v>
      </c>
      <c r="G37" s="358" t="b">
        <v>0</v>
      </c>
      <c r="H37" s="358" t="b">
        <v>0</v>
      </c>
      <c r="I37" s="358">
        <v>1</v>
      </c>
      <c r="J37" s="358">
        <v>4</v>
      </c>
      <c r="K37" s="358" t="s">
        <v>485</v>
      </c>
      <c r="L37" s="358" t="s">
        <v>590</v>
      </c>
    </row>
    <row r="38" spans="1:12" x14ac:dyDescent="0.2">
      <c r="A38" s="358" t="s">
        <v>591</v>
      </c>
      <c r="B38" s="359" t="s">
        <v>592</v>
      </c>
      <c r="C38" s="358" t="b">
        <v>1</v>
      </c>
      <c r="D38" s="358" t="b">
        <v>1</v>
      </c>
      <c r="E38" s="358" t="b">
        <v>0</v>
      </c>
      <c r="F38" s="358" t="b">
        <v>0</v>
      </c>
      <c r="G38" s="358" t="b">
        <v>0</v>
      </c>
      <c r="H38" s="358" t="b">
        <v>0</v>
      </c>
      <c r="I38" s="358">
        <v>1</v>
      </c>
      <c r="J38" s="358">
        <v>4</v>
      </c>
      <c r="K38" s="358" t="s">
        <v>485</v>
      </c>
      <c r="L38" s="358" t="s">
        <v>593</v>
      </c>
    </row>
    <row r="39" spans="1:12" x14ac:dyDescent="0.2">
      <c r="A39" s="358" t="s">
        <v>594</v>
      </c>
      <c r="B39" s="359" t="s">
        <v>595</v>
      </c>
      <c r="C39" s="358" t="b">
        <v>1</v>
      </c>
      <c r="D39" s="358" t="b">
        <v>0</v>
      </c>
      <c r="E39" s="358" t="b">
        <v>0</v>
      </c>
      <c r="F39" s="358" t="b">
        <v>0</v>
      </c>
      <c r="G39" s="358" t="b">
        <v>0</v>
      </c>
      <c r="H39" s="358" t="b">
        <v>0</v>
      </c>
      <c r="I39" s="358">
        <v>1</v>
      </c>
      <c r="J39" s="358">
        <v>1</v>
      </c>
      <c r="K39" s="358" t="s">
        <v>485</v>
      </c>
      <c r="L39" s="358" t="s">
        <v>596</v>
      </c>
    </row>
    <row r="40" spans="1:12" x14ac:dyDescent="0.2">
      <c r="A40" s="358" t="s">
        <v>597</v>
      </c>
      <c r="B40" s="359" t="s">
        <v>598</v>
      </c>
      <c r="C40" s="358" t="b">
        <v>1</v>
      </c>
      <c r="D40" s="358" t="b">
        <v>1</v>
      </c>
      <c r="E40" s="358" t="b">
        <v>0</v>
      </c>
      <c r="F40" s="358" t="b">
        <v>0</v>
      </c>
      <c r="G40" s="358" t="b">
        <v>0</v>
      </c>
      <c r="H40" s="358" t="b">
        <v>0</v>
      </c>
      <c r="I40" s="358">
        <v>1</v>
      </c>
      <c r="J40" s="358">
        <v>1</v>
      </c>
      <c r="K40" s="358" t="s">
        <v>485</v>
      </c>
      <c r="L40" s="358" t="s">
        <v>599</v>
      </c>
    </row>
    <row r="41" spans="1:12" x14ac:dyDescent="0.2">
      <c r="A41" s="358" t="s">
        <v>600</v>
      </c>
      <c r="B41" s="359" t="s">
        <v>601</v>
      </c>
      <c r="C41" s="358" t="b">
        <v>1</v>
      </c>
      <c r="D41" s="358" t="b">
        <v>0</v>
      </c>
      <c r="E41" s="358" t="b">
        <v>0</v>
      </c>
      <c r="F41" s="358" t="b">
        <v>0</v>
      </c>
      <c r="G41" s="358" t="b">
        <v>0</v>
      </c>
      <c r="H41" s="358" t="b">
        <v>0</v>
      </c>
      <c r="I41" s="358">
        <v>1</v>
      </c>
      <c r="J41" s="358">
        <v>1</v>
      </c>
      <c r="K41" s="358" t="s">
        <v>485</v>
      </c>
      <c r="L41" s="358" t="s">
        <v>602</v>
      </c>
    </row>
    <row r="42" spans="1:12" x14ac:dyDescent="0.2">
      <c r="A42" s="358" t="s">
        <v>603</v>
      </c>
      <c r="B42" s="359" t="s">
        <v>604</v>
      </c>
      <c r="C42" s="358" t="b">
        <v>1</v>
      </c>
      <c r="D42" s="358" t="b">
        <v>1</v>
      </c>
      <c r="E42" s="358" t="b">
        <v>0</v>
      </c>
      <c r="F42" s="358" t="b">
        <v>0</v>
      </c>
      <c r="G42" s="358" t="b">
        <v>0</v>
      </c>
      <c r="H42" s="358" t="b">
        <v>0</v>
      </c>
      <c r="I42" s="358">
        <v>1</v>
      </c>
      <c r="J42" s="358">
        <v>1</v>
      </c>
      <c r="K42" s="358" t="s">
        <v>485</v>
      </c>
      <c r="L42" s="358" t="s">
        <v>605</v>
      </c>
    </row>
    <row r="43" spans="1:12" x14ac:dyDescent="0.2">
      <c r="A43" s="358" t="s">
        <v>606</v>
      </c>
      <c r="B43" s="359" t="s">
        <v>607</v>
      </c>
      <c r="C43" s="358" t="b">
        <v>1</v>
      </c>
      <c r="D43" s="358" t="b">
        <v>0</v>
      </c>
      <c r="E43" s="358" t="b">
        <v>0</v>
      </c>
      <c r="F43" s="358" t="b">
        <v>0</v>
      </c>
      <c r="G43" s="358" t="b">
        <v>0</v>
      </c>
      <c r="H43" s="358" t="b">
        <v>0</v>
      </c>
      <c r="I43" s="358">
        <v>1</v>
      </c>
      <c r="J43" s="358">
        <v>1</v>
      </c>
      <c r="K43" s="358" t="s">
        <v>485</v>
      </c>
      <c r="L43" s="358" t="s">
        <v>608</v>
      </c>
    </row>
    <row r="44" spans="1:12" x14ac:dyDescent="0.2">
      <c r="A44" s="358" t="s">
        <v>609</v>
      </c>
      <c r="B44" s="359" t="s">
        <v>610</v>
      </c>
      <c r="C44" s="358" t="b">
        <v>1</v>
      </c>
      <c r="D44" s="358" t="b">
        <v>1</v>
      </c>
      <c r="E44" s="358" t="b">
        <v>0</v>
      </c>
      <c r="F44" s="358" t="b">
        <v>0</v>
      </c>
      <c r="G44" s="358" t="b">
        <v>0</v>
      </c>
      <c r="H44" s="358" t="b">
        <v>0</v>
      </c>
      <c r="I44" s="358">
        <v>1</v>
      </c>
      <c r="J44" s="358">
        <v>1</v>
      </c>
      <c r="K44" s="358" t="s">
        <v>485</v>
      </c>
      <c r="L44" s="358" t="s">
        <v>611</v>
      </c>
    </row>
    <row r="45" spans="1:12" x14ac:dyDescent="0.2">
      <c r="A45" s="358" t="s">
        <v>612</v>
      </c>
      <c r="B45" s="359" t="s">
        <v>613</v>
      </c>
      <c r="C45" s="358" t="b">
        <v>1</v>
      </c>
      <c r="D45" s="358" t="b">
        <v>1</v>
      </c>
      <c r="E45" s="358" t="b">
        <v>0</v>
      </c>
      <c r="F45" s="358" t="b">
        <v>0</v>
      </c>
      <c r="G45" s="358" t="b">
        <v>0</v>
      </c>
      <c r="H45" s="358" t="b">
        <v>0</v>
      </c>
      <c r="I45" s="358">
        <v>1</v>
      </c>
      <c r="J45" s="358">
        <v>6</v>
      </c>
      <c r="K45" s="358" t="s">
        <v>485</v>
      </c>
      <c r="L45" s="358" t="s">
        <v>614</v>
      </c>
    </row>
    <row r="46" spans="1:12" x14ac:dyDescent="0.2">
      <c r="A46" s="358" t="s">
        <v>615</v>
      </c>
      <c r="B46" s="359" t="s">
        <v>616</v>
      </c>
      <c r="C46" s="358" t="b">
        <v>1</v>
      </c>
      <c r="D46" s="358" t="b">
        <v>1</v>
      </c>
      <c r="E46" s="358" t="b">
        <v>0</v>
      </c>
      <c r="F46" s="358" t="b">
        <v>0</v>
      </c>
      <c r="G46" s="358" t="b">
        <v>0</v>
      </c>
      <c r="H46" s="358" t="b">
        <v>0</v>
      </c>
      <c r="I46" s="358">
        <v>1</v>
      </c>
      <c r="J46" s="358">
        <v>1</v>
      </c>
      <c r="K46" s="358" t="s">
        <v>485</v>
      </c>
      <c r="L46" s="358" t="s">
        <v>617</v>
      </c>
    </row>
    <row r="47" spans="1:12" x14ac:dyDescent="0.2">
      <c r="A47" s="358" t="s">
        <v>618</v>
      </c>
      <c r="B47" s="359" t="s">
        <v>619</v>
      </c>
      <c r="C47" s="358" t="b">
        <v>1</v>
      </c>
      <c r="D47" s="358" t="b">
        <v>0</v>
      </c>
      <c r="E47" s="358" t="b">
        <v>0</v>
      </c>
      <c r="F47" s="358" t="b">
        <v>0</v>
      </c>
      <c r="G47" s="358" t="b">
        <v>0</v>
      </c>
      <c r="H47" s="358" t="b">
        <v>0</v>
      </c>
      <c r="I47" s="358">
        <v>1</v>
      </c>
      <c r="J47" s="358">
        <v>1</v>
      </c>
      <c r="K47" s="358" t="s">
        <v>485</v>
      </c>
      <c r="L47" s="358" t="s">
        <v>620</v>
      </c>
    </row>
    <row r="48" spans="1:12" x14ac:dyDescent="0.2">
      <c r="A48" s="358" t="s">
        <v>621</v>
      </c>
      <c r="B48" s="359" t="s">
        <v>622</v>
      </c>
      <c r="C48" s="358" t="b">
        <v>1</v>
      </c>
      <c r="D48" s="358" t="b">
        <v>0</v>
      </c>
      <c r="E48" s="358" t="b">
        <v>0</v>
      </c>
      <c r="F48" s="358" t="b">
        <v>0</v>
      </c>
      <c r="G48" s="358" t="b">
        <v>0</v>
      </c>
      <c r="H48" s="358" t="b">
        <v>0</v>
      </c>
      <c r="I48" s="358">
        <v>1</v>
      </c>
      <c r="J48" s="358">
        <v>1</v>
      </c>
      <c r="K48" s="358" t="s">
        <v>485</v>
      </c>
      <c r="L48" s="358" t="s">
        <v>623</v>
      </c>
    </row>
    <row r="49" spans="1:12" x14ac:dyDescent="0.2">
      <c r="A49" s="358" t="s">
        <v>624</v>
      </c>
      <c r="B49" s="359" t="s">
        <v>625</v>
      </c>
      <c r="C49" s="358" t="b">
        <v>1</v>
      </c>
      <c r="D49" s="358" t="b">
        <v>1</v>
      </c>
      <c r="E49" s="358" t="b">
        <v>0</v>
      </c>
      <c r="F49" s="358" t="b">
        <v>0</v>
      </c>
      <c r="G49" s="358" t="b">
        <v>0</v>
      </c>
      <c r="H49" s="358" t="b">
        <v>0</v>
      </c>
      <c r="I49" s="358">
        <v>1</v>
      </c>
      <c r="J49" s="358">
        <v>1</v>
      </c>
      <c r="K49" s="358" t="s">
        <v>485</v>
      </c>
      <c r="L49" s="358" t="s">
        <v>626</v>
      </c>
    </row>
    <row r="50" spans="1:12" x14ac:dyDescent="0.2">
      <c r="A50" s="358" t="s">
        <v>627</v>
      </c>
      <c r="B50" s="359" t="s">
        <v>628</v>
      </c>
      <c r="C50" s="358" t="b">
        <v>1</v>
      </c>
      <c r="D50" s="358" t="b">
        <v>1</v>
      </c>
      <c r="E50" s="358" t="b">
        <v>0</v>
      </c>
      <c r="F50" s="358" t="b">
        <v>0</v>
      </c>
      <c r="G50" s="358" t="b">
        <v>0</v>
      </c>
      <c r="H50" s="358" t="b">
        <v>0</v>
      </c>
      <c r="I50" s="358">
        <v>1</v>
      </c>
      <c r="J50" s="358">
        <v>1</v>
      </c>
      <c r="K50" s="358" t="s">
        <v>485</v>
      </c>
      <c r="L50" s="358" t="s">
        <v>629</v>
      </c>
    </row>
    <row r="51" spans="1:12" x14ac:dyDescent="0.2">
      <c r="A51" s="358" t="s">
        <v>630</v>
      </c>
      <c r="B51" s="359" t="s">
        <v>631</v>
      </c>
      <c r="C51" s="358" t="b">
        <v>1</v>
      </c>
      <c r="D51" s="358" t="b">
        <v>0</v>
      </c>
      <c r="E51" s="358" t="b">
        <v>0</v>
      </c>
      <c r="F51" s="358" t="b">
        <v>0</v>
      </c>
      <c r="G51" s="358" t="b">
        <v>0</v>
      </c>
      <c r="H51" s="358" t="b">
        <v>0</v>
      </c>
      <c r="I51" s="358">
        <v>1</v>
      </c>
      <c r="J51" s="358">
        <v>1</v>
      </c>
      <c r="K51" s="358" t="s">
        <v>485</v>
      </c>
      <c r="L51" s="358" t="s">
        <v>632</v>
      </c>
    </row>
    <row r="52" spans="1:12" x14ac:dyDescent="0.2">
      <c r="A52" s="358" t="s">
        <v>633</v>
      </c>
      <c r="B52" s="359" t="s">
        <v>634</v>
      </c>
      <c r="C52" s="358" t="b">
        <v>1</v>
      </c>
      <c r="D52" s="358" t="b">
        <v>0</v>
      </c>
      <c r="E52" s="358" t="b">
        <v>0</v>
      </c>
      <c r="F52" s="358" t="b">
        <v>0</v>
      </c>
      <c r="G52" s="358" t="b">
        <v>0</v>
      </c>
      <c r="H52" s="358" t="b">
        <v>0</v>
      </c>
      <c r="I52" s="358">
        <v>1</v>
      </c>
      <c r="J52" s="358">
        <v>1</v>
      </c>
      <c r="K52" s="358" t="s">
        <v>485</v>
      </c>
      <c r="L52" s="358" t="s">
        <v>635</v>
      </c>
    </row>
    <row r="53" spans="1:12" x14ac:dyDescent="0.2">
      <c r="A53" s="358" t="s">
        <v>636</v>
      </c>
      <c r="B53" s="359" t="s">
        <v>637</v>
      </c>
      <c r="C53" s="358" t="b">
        <v>1</v>
      </c>
      <c r="D53" s="358" t="b">
        <v>0</v>
      </c>
      <c r="E53" s="358" t="b">
        <v>0</v>
      </c>
      <c r="F53" s="358" t="b">
        <v>0</v>
      </c>
      <c r="G53" s="358" t="b">
        <v>0</v>
      </c>
      <c r="H53" s="358" t="b">
        <v>0</v>
      </c>
      <c r="I53" s="358">
        <v>1</v>
      </c>
      <c r="J53" s="358">
        <v>1</v>
      </c>
      <c r="K53" s="358" t="s">
        <v>485</v>
      </c>
      <c r="L53" s="358" t="s">
        <v>638</v>
      </c>
    </row>
    <row r="54" spans="1:12" x14ac:dyDescent="0.2">
      <c r="A54" s="358" t="s">
        <v>639</v>
      </c>
      <c r="B54" s="359" t="s">
        <v>640</v>
      </c>
      <c r="C54" s="358" t="b">
        <v>1</v>
      </c>
      <c r="D54" s="358" t="b">
        <v>0</v>
      </c>
      <c r="E54" s="358" t="b">
        <v>0</v>
      </c>
      <c r="F54" s="358" t="b">
        <v>0</v>
      </c>
      <c r="G54" s="358" t="b">
        <v>0</v>
      </c>
      <c r="H54" s="358" t="b">
        <v>0</v>
      </c>
      <c r="I54" s="358">
        <v>1</v>
      </c>
      <c r="J54" s="358">
        <v>1</v>
      </c>
      <c r="K54" s="358" t="s">
        <v>485</v>
      </c>
      <c r="L54" s="358" t="s">
        <v>641</v>
      </c>
    </row>
    <row r="55" spans="1:12" x14ac:dyDescent="0.2">
      <c r="A55" s="358" t="s">
        <v>642</v>
      </c>
      <c r="B55" s="359" t="s">
        <v>643</v>
      </c>
      <c r="C55" s="358" t="b">
        <v>1</v>
      </c>
      <c r="D55" s="358" t="b">
        <v>0</v>
      </c>
      <c r="E55" s="358" t="b">
        <v>0</v>
      </c>
      <c r="F55" s="358" t="b">
        <v>0</v>
      </c>
      <c r="G55" s="358" t="b">
        <v>0</v>
      </c>
      <c r="H55" s="358" t="b">
        <v>0</v>
      </c>
      <c r="I55" s="358">
        <v>1</v>
      </c>
      <c r="J55" s="358">
        <v>1</v>
      </c>
      <c r="K55" s="358" t="s">
        <v>485</v>
      </c>
      <c r="L55" s="358" t="s">
        <v>644</v>
      </c>
    </row>
    <row r="56" spans="1:12" x14ac:dyDescent="0.2">
      <c r="A56" s="358" t="s">
        <v>645</v>
      </c>
      <c r="B56" s="359" t="s">
        <v>646</v>
      </c>
      <c r="C56" s="358" t="b">
        <v>1</v>
      </c>
      <c r="D56" s="358" t="b">
        <v>1</v>
      </c>
      <c r="E56" s="358" t="b">
        <v>0</v>
      </c>
      <c r="F56" s="358" t="b">
        <v>0</v>
      </c>
      <c r="G56" s="358" t="b">
        <v>0</v>
      </c>
      <c r="H56" s="358" t="b">
        <v>0</v>
      </c>
      <c r="I56" s="358">
        <v>1</v>
      </c>
      <c r="J56" s="358">
        <v>1</v>
      </c>
      <c r="K56" s="358" t="s">
        <v>485</v>
      </c>
      <c r="L56" s="358" t="s">
        <v>647</v>
      </c>
    </row>
    <row r="57" spans="1:12" x14ac:dyDescent="0.2">
      <c r="A57" s="358" t="s">
        <v>648</v>
      </c>
      <c r="B57" s="359" t="s">
        <v>649</v>
      </c>
      <c r="C57" s="358" t="b">
        <v>1</v>
      </c>
      <c r="D57" s="358" t="b">
        <v>1</v>
      </c>
      <c r="E57" s="358" t="b">
        <v>0</v>
      </c>
      <c r="F57" s="358" t="b">
        <v>0</v>
      </c>
      <c r="G57" s="358" t="b">
        <v>0</v>
      </c>
      <c r="H57" s="358" t="b">
        <v>0</v>
      </c>
      <c r="I57" s="358">
        <v>1</v>
      </c>
      <c r="J57" s="358">
        <v>1</v>
      </c>
      <c r="K57" s="358" t="s">
        <v>485</v>
      </c>
      <c r="L57" s="358" t="s">
        <v>650</v>
      </c>
    </row>
    <row r="58" spans="1:12" x14ac:dyDescent="0.2">
      <c r="A58" s="358" t="s">
        <v>651</v>
      </c>
      <c r="B58" s="359" t="s">
        <v>652</v>
      </c>
      <c r="C58" s="358" t="b">
        <v>1</v>
      </c>
      <c r="D58" s="358" t="b">
        <v>0</v>
      </c>
      <c r="E58" s="358" t="b">
        <v>0</v>
      </c>
      <c r="F58" s="358" t="b">
        <v>0</v>
      </c>
      <c r="G58" s="358" t="b">
        <v>0</v>
      </c>
      <c r="H58" s="358" t="b">
        <v>0</v>
      </c>
      <c r="I58" s="358">
        <v>1</v>
      </c>
      <c r="J58" s="358">
        <v>1</v>
      </c>
      <c r="K58" s="358" t="s">
        <v>485</v>
      </c>
      <c r="L58" s="358" t="s">
        <v>653</v>
      </c>
    </row>
    <row r="59" spans="1:12" x14ac:dyDescent="0.2">
      <c r="A59" s="358" t="s">
        <v>654</v>
      </c>
      <c r="B59" s="359" t="s">
        <v>655</v>
      </c>
      <c r="C59" s="358" t="b">
        <v>1</v>
      </c>
      <c r="D59" s="358" t="b">
        <v>0</v>
      </c>
      <c r="E59" s="358" t="b">
        <v>0</v>
      </c>
      <c r="F59" s="358" t="b">
        <v>0</v>
      </c>
      <c r="G59" s="358" t="b">
        <v>0</v>
      </c>
      <c r="H59" s="358" t="b">
        <v>0</v>
      </c>
      <c r="I59" s="358">
        <v>1</v>
      </c>
      <c r="J59" s="358">
        <v>1</v>
      </c>
      <c r="K59" s="358" t="s">
        <v>485</v>
      </c>
      <c r="L59" s="358" t="s">
        <v>656</v>
      </c>
    </row>
    <row r="60" spans="1:12" x14ac:dyDescent="0.2">
      <c r="A60" s="358" t="s">
        <v>657</v>
      </c>
      <c r="B60" s="359" t="s">
        <v>658</v>
      </c>
      <c r="C60" s="358" t="b">
        <v>1</v>
      </c>
      <c r="D60" s="358" t="b">
        <v>0</v>
      </c>
      <c r="E60" s="358" t="b">
        <v>0</v>
      </c>
      <c r="F60" s="358" t="b">
        <v>0</v>
      </c>
      <c r="G60" s="358" t="b">
        <v>0</v>
      </c>
      <c r="H60" s="358" t="b">
        <v>0</v>
      </c>
      <c r="I60" s="358">
        <v>1</v>
      </c>
      <c r="J60" s="358">
        <v>1</v>
      </c>
      <c r="K60" s="358" t="s">
        <v>485</v>
      </c>
      <c r="L60" s="358" t="s">
        <v>659</v>
      </c>
    </row>
    <row r="61" spans="1:12" x14ac:dyDescent="0.2">
      <c r="A61" s="358" t="s">
        <v>660</v>
      </c>
      <c r="B61" s="359" t="s">
        <v>661</v>
      </c>
      <c r="C61" s="358" t="b">
        <v>1</v>
      </c>
      <c r="D61" s="358" t="b">
        <v>0</v>
      </c>
      <c r="E61" s="358" t="b">
        <v>0</v>
      </c>
      <c r="F61" s="358" t="b">
        <v>0</v>
      </c>
      <c r="G61" s="358" t="b">
        <v>0</v>
      </c>
      <c r="H61" s="358" t="b">
        <v>0</v>
      </c>
      <c r="I61" s="358">
        <v>1</v>
      </c>
      <c r="J61" s="358">
        <v>1</v>
      </c>
      <c r="K61" s="358" t="s">
        <v>485</v>
      </c>
      <c r="L61" s="358" t="s">
        <v>662</v>
      </c>
    </row>
    <row r="62" spans="1:12" x14ac:dyDescent="0.2">
      <c r="A62" s="358" t="s">
        <v>663</v>
      </c>
      <c r="B62" s="359" t="s">
        <v>664</v>
      </c>
      <c r="C62" s="358" t="b">
        <v>1</v>
      </c>
      <c r="D62" s="358" t="b">
        <v>0</v>
      </c>
      <c r="E62" s="358" t="b">
        <v>0</v>
      </c>
      <c r="F62" s="358" t="b">
        <v>0</v>
      </c>
      <c r="G62" s="358" t="b">
        <v>0</v>
      </c>
      <c r="H62" s="358" t="b">
        <v>0</v>
      </c>
      <c r="I62" s="358">
        <v>1</v>
      </c>
      <c r="J62" s="358">
        <v>1</v>
      </c>
      <c r="K62" s="358" t="s">
        <v>485</v>
      </c>
      <c r="L62" s="358" t="s">
        <v>665</v>
      </c>
    </row>
    <row r="63" spans="1:12" x14ac:dyDescent="0.2">
      <c r="A63" s="358" t="s">
        <v>666</v>
      </c>
      <c r="B63" s="359" t="s">
        <v>667</v>
      </c>
      <c r="C63" s="358" t="b">
        <v>1</v>
      </c>
      <c r="D63" s="358" t="b">
        <v>1</v>
      </c>
      <c r="E63" s="358" t="b">
        <v>0</v>
      </c>
      <c r="F63" s="358" t="b">
        <v>0</v>
      </c>
      <c r="G63" s="358" t="b">
        <v>0</v>
      </c>
      <c r="H63" s="358" t="b">
        <v>0</v>
      </c>
      <c r="I63" s="358">
        <v>1</v>
      </c>
      <c r="J63" s="358">
        <v>1</v>
      </c>
      <c r="K63" s="358" t="s">
        <v>485</v>
      </c>
      <c r="L63" s="358" t="s">
        <v>668</v>
      </c>
    </row>
    <row r="64" spans="1:12" x14ac:dyDescent="0.2">
      <c r="A64" s="358" t="s">
        <v>669</v>
      </c>
      <c r="B64" s="359" t="s">
        <v>670</v>
      </c>
      <c r="C64" s="358" t="b">
        <v>1</v>
      </c>
      <c r="D64" s="358" t="b">
        <v>1</v>
      </c>
      <c r="E64" s="358" t="b">
        <v>0</v>
      </c>
      <c r="F64" s="358" t="b">
        <v>0</v>
      </c>
      <c r="G64" s="358" t="b">
        <v>0</v>
      </c>
      <c r="H64" s="358" t="b">
        <v>0</v>
      </c>
      <c r="I64" s="358">
        <v>1</v>
      </c>
      <c r="J64" s="358">
        <v>1</v>
      </c>
      <c r="K64" s="358" t="s">
        <v>485</v>
      </c>
      <c r="L64" s="358" t="s">
        <v>671</v>
      </c>
    </row>
    <row r="65" spans="1:12" x14ac:dyDescent="0.2">
      <c r="A65" s="358" t="s">
        <v>672</v>
      </c>
      <c r="B65" s="359" t="s">
        <v>673</v>
      </c>
      <c r="C65" s="358" t="b">
        <v>1</v>
      </c>
      <c r="D65" s="358" t="b">
        <v>1</v>
      </c>
      <c r="E65" s="358" t="b">
        <v>0</v>
      </c>
      <c r="F65" s="358" t="b">
        <v>0</v>
      </c>
      <c r="G65" s="358" t="b">
        <v>0</v>
      </c>
      <c r="H65" s="358" t="b">
        <v>0</v>
      </c>
      <c r="I65" s="358">
        <v>1</v>
      </c>
      <c r="J65" s="358">
        <v>1</v>
      </c>
      <c r="K65" s="358" t="s">
        <v>485</v>
      </c>
      <c r="L65" s="358" t="s">
        <v>674</v>
      </c>
    </row>
    <row r="66" spans="1:12" x14ac:dyDescent="0.2">
      <c r="A66" s="358" t="s">
        <v>675</v>
      </c>
      <c r="B66" s="359" t="s">
        <v>676</v>
      </c>
      <c r="C66" s="358" t="b">
        <v>1</v>
      </c>
      <c r="D66" s="358" t="b">
        <v>1</v>
      </c>
      <c r="E66" s="358" t="b">
        <v>0</v>
      </c>
      <c r="F66" s="358" t="b">
        <v>0</v>
      </c>
      <c r="G66" s="358" t="b">
        <v>0</v>
      </c>
      <c r="H66" s="358" t="b">
        <v>0</v>
      </c>
      <c r="I66" s="358">
        <v>1</v>
      </c>
      <c r="J66" s="358">
        <v>1</v>
      </c>
      <c r="K66" s="358" t="s">
        <v>485</v>
      </c>
      <c r="L66" s="358" t="s">
        <v>677</v>
      </c>
    </row>
    <row r="67" spans="1:12" x14ac:dyDescent="0.2">
      <c r="A67" s="358" t="s">
        <v>678</v>
      </c>
      <c r="B67" s="359" t="s">
        <v>679</v>
      </c>
      <c r="C67" s="358" t="b">
        <v>1</v>
      </c>
      <c r="D67" s="358" t="b">
        <v>1</v>
      </c>
      <c r="E67" s="358" t="b">
        <v>0</v>
      </c>
      <c r="F67" s="358" t="b">
        <v>0</v>
      </c>
      <c r="G67" s="358" t="b">
        <v>0</v>
      </c>
      <c r="H67" s="358" t="b">
        <v>0</v>
      </c>
      <c r="I67" s="358">
        <v>1</v>
      </c>
      <c r="J67" s="358">
        <v>1</v>
      </c>
      <c r="K67" s="358" t="s">
        <v>485</v>
      </c>
      <c r="L67" s="358" t="s">
        <v>680</v>
      </c>
    </row>
    <row r="68" spans="1:12" x14ac:dyDescent="0.2">
      <c r="A68" s="358" t="s">
        <v>681</v>
      </c>
      <c r="B68" s="359" t="s">
        <v>682</v>
      </c>
      <c r="C68" s="358" t="b">
        <v>1</v>
      </c>
      <c r="D68" s="358" t="b">
        <v>1</v>
      </c>
      <c r="E68" s="358" t="b">
        <v>0</v>
      </c>
      <c r="F68" s="358" t="b">
        <v>0</v>
      </c>
      <c r="G68" s="358" t="b">
        <v>0</v>
      </c>
      <c r="H68" s="358" t="b">
        <v>0</v>
      </c>
      <c r="I68" s="358">
        <v>1</v>
      </c>
      <c r="J68" s="358">
        <v>1</v>
      </c>
      <c r="K68" s="358" t="s">
        <v>485</v>
      </c>
      <c r="L68" s="358" t="s">
        <v>683</v>
      </c>
    </row>
    <row r="69" spans="1:12" x14ac:dyDescent="0.2">
      <c r="A69" s="358" t="s">
        <v>684</v>
      </c>
      <c r="B69" s="359" t="s">
        <v>685</v>
      </c>
      <c r="C69" s="358" t="b">
        <v>1</v>
      </c>
      <c r="D69" s="358" t="b">
        <v>0</v>
      </c>
      <c r="E69" s="358" t="b">
        <v>0</v>
      </c>
      <c r="F69" s="358" t="b">
        <v>0</v>
      </c>
      <c r="G69" s="358" t="b">
        <v>0</v>
      </c>
      <c r="H69" s="358" t="b">
        <v>0</v>
      </c>
      <c r="I69" s="358">
        <v>1</v>
      </c>
      <c r="J69" s="358">
        <v>1</v>
      </c>
      <c r="K69" s="358" t="s">
        <v>485</v>
      </c>
      <c r="L69" s="358" t="s">
        <v>686</v>
      </c>
    </row>
    <row r="70" spans="1:12" x14ac:dyDescent="0.2">
      <c r="A70" s="358" t="s">
        <v>687</v>
      </c>
      <c r="B70" s="359" t="s">
        <v>688</v>
      </c>
      <c r="C70" s="358" t="b">
        <v>1</v>
      </c>
      <c r="D70" s="358" t="b">
        <v>0</v>
      </c>
      <c r="E70" s="358" t="b">
        <v>0</v>
      </c>
      <c r="F70" s="358" t="b">
        <v>0</v>
      </c>
      <c r="G70" s="358" t="b">
        <v>0</v>
      </c>
      <c r="H70" s="358" t="b">
        <v>0</v>
      </c>
      <c r="I70" s="358">
        <v>1</v>
      </c>
      <c r="J70" s="358">
        <v>1</v>
      </c>
      <c r="K70" s="358" t="s">
        <v>485</v>
      </c>
      <c r="L70" s="358" t="s">
        <v>689</v>
      </c>
    </row>
    <row r="71" spans="1:12" x14ac:dyDescent="0.2">
      <c r="A71" s="358" t="s">
        <v>690</v>
      </c>
      <c r="B71" s="359" t="s">
        <v>691</v>
      </c>
      <c r="C71" s="358" t="b">
        <v>1</v>
      </c>
      <c r="D71" s="358" t="b">
        <v>0</v>
      </c>
      <c r="E71" s="358" t="b">
        <v>0</v>
      </c>
      <c r="F71" s="358" t="b">
        <v>0</v>
      </c>
      <c r="G71" s="358" t="b">
        <v>0</v>
      </c>
      <c r="H71" s="358" t="b">
        <v>0</v>
      </c>
      <c r="I71" s="358">
        <v>1</v>
      </c>
      <c r="J71" s="358">
        <v>1</v>
      </c>
      <c r="K71" s="358" t="s">
        <v>485</v>
      </c>
      <c r="L71" s="358" t="s">
        <v>692</v>
      </c>
    </row>
    <row r="72" spans="1:12" x14ac:dyDescent="0.2">
      <c r="A72" s="358" t="s">
        <v>693</v>
      </c>
      <c r="B72" s="359" t="s">
        <v>694</v>
      </c>
      <c r="C72" s="358" t="b">
        <v>1</v>
      </c>
      <c r="D72" s="358" t="b">
        <v>0</v>
      </c>
      <c r="E72" s="358" t="b">
        <v>0</v>
      </c>
      <c r="F72" s="358" t="b">
        <v>0</v>
      </c>
      <c r="G72" s="358" t="b">
        <v>0</v>
      </c>
      <c r="H72" s="358" t="b">
        <v>0</v>
      </c>
      <c r="I72" s="358">
        <v>1</v>
      </c>
      <c r="J72" s="358">
        <v>1</v>
      </c>
      <c r="K72" s="358" t="s">
        <v>485</v>
      </c>
      <c r="L72" s="358" t="s">
        <v>695</v>
      </c>
    </row>
    <row r="73" spans="1:12" x14ac:dyDescent="0.2">
      <c r="A73" s="358" t="s">
        <v>696</v>
      </c>
      <c r="B73" s="359" t="s">
        <v>697</v>
      </c>
      <c r="C73" s="358" t="b">
        <v>1</v>
      </c>
      <c r="D73" s="358" t="b">
        <v>0</v>
      </c>
      <c r="E73" s="358" t="b">
        <v>0</v>
      </c>
      <c r="F73" s="358" t="b">
        <v>0</v>
      </c>
      <c r="G73" s="358" t="b">
        <v>0</v>
      </c>
      <c r="H73" s="358" t="b">
        <v>0</v>
      </c>
      <c r="I73" s="358">
        <v>1</v>
      </c>
      <c r="J73" s="358">
        <v>1</v>
      </c>
      <c r="K73" s="358" t="s">
        <v>485</v>
      </c>
      <c r="L73" s="358" t="s">
        <v>698</v>
      </c>
    </row>
    <row r="74" spans="1:12" x14ac:dyDescent="0.2">
      <c r="A74" s="358" t="s">
        <v>699</v>
      </c>
      <c r="B74" s="359" t="s">
        <v>700</v>
      </c>
      <c r="C74" s="358" t="b">
        <v>1</v>
      </c>
      <c r="D74" s="358" t="b">
        <v>0</v>
      </c>
      <c r="E74" s="358" t="b">
        <v>0</v>
      </c>
      <c r="F74" s="358" t="b">
        <v>0</v>
      </c>
      <c r="G74" s="358" t="b">
        <v>0</v>
      </c>
      <c r="H74" s="358" t="b">
        <v>0</v>
      </c>
      <c r="I74" s="358">
        <v>1</v>
      </c>
      <c r="J74" s="358">
        <v>1</v>
      </c>
      <c r="K74" s="358" t="s">
        <v>485</v>
      </c>
      <c r="L74" s="358" t="s">
        <v>701</v>
      </c>
    </row>
    <row r="75" spans="1:12" x14ac:dyDescent="0.2">
      <c r="A75" s="358" t="s">
        <v>702</v>
      </c>
      <c r="B75" s="359" t="s">
        <v>703</v>
      </c>
      <c r="C75" s="358" t="b">
        <v>1</v>
      </c>
      <c r="D75" s="358" t="b">
        <v>1</v>
      </c>
      <c r="E75" s="358" t="b">
        <v>0</v>
      </c>
      <c r="F75" s="358" t="b">
        <v>0</v>
      </c>
      <c r="G75" s="358" t="b">
        <v>0</v>
      </c>
      <c r="H75" s="358" t="b">
        <v>0</v>
      </c>
      <c r="I75" s="358">
        <v>1</v>
      </c>
      <c r="J75" s="358">
        <v>5</v>
      </c>
      <c r="K75" s="358" t="s">
        <v>485</v>
      </c>
      <c r="L75" s="358" t="s">
        <v>704</v>
      </c>
    </row>
    <row r="76" spans="1:12" x14ac:dyDescent="0.2">
      <c r="A76" s="358" t="s">
        <v>705</v>
      </c>
      <c r="B76" s="359" t="s">
        <v>706</v>
      </c>
      <c r="C76" s="358" t="b">
        <v>1</v>
      </c>
      <c r="D76" s="358" t="b">
        <v>1</v>
      </c>
      <c r="E76" s="358" t="b">
        <v>0</v>
      </c>
      <c r="F76" s="358" t="b">
        <v>0</v>
      </c>
      <c r="G76" s="358" t="b">
        <v>0</v>
      </c>
      <c r="H76" s="358" t="b">
        <v>0</v>
      </c>
      <c r="I76" s="358">
        <v>1</v>
      </c>
      <c r="J76" s="358">
        <v>5</v>
      </c>
      <c r="K76" s="358" t="s">
        <v>485</v>
      </c>
      <c r="L76" s="358" t="s">
        <v>707</v>
      </c>
    </row>
    <row r="77" spans="1:12" x14ac:dyDescent="0.2">
      <c r="A77" s="358" t="s">
        <v>708</v>
      </c>
      <c r="B77" s="359" t="s">
        <v>709</v>
      </c>
      <c r="C77" s="358" t="b">
        <v>1</v>
      </c>
      <c r="D77" s="358" t="b">
        <v>0</v>
      </c>
      <c r="E77" s="358" t="b">
        <v>0</v>
      </c>
      <c r="F77" s="358" t="b">
        <v>0</v>
      </c>
      <c r="G77" s="358" t="b">
        <v>0</v>
      </c>
      <c r="H77" s="358" t="b">
        <v>0</v>
      </c>
      <c r="I77" s="358">
        <v>1</v>
      </c>
      <c r="J77" s="358">
        <v>1</v>
      </c>
      <c r="K77" s="358" t="s">
        <v>485</v>
      </c>
      <c r="L77" s="358" t="s">
        <v>710</v>
      </c>
    </row>
    <row r="78" spans="1:12" x14ac:dyDescent="0.2">
      <c r="A78" s="358" t="s">
        <v>711</v>
      </c>
      <c r="B78" s="359" t="s">
        <v>712</v>
      </c>
      <c r="C78" s="358" t="b">
        <v>1</v>
      </c>
      <c r="D78" s="358" t="b">
        <v>0</v>
      </c>
      <c r="E78" s="358" t="b">
        <v>0</v>
      </c>
      <c r="F78" s="358" t="b">
        <v>0</v>
      </c>
      <c r="G78" s="358" t="b">
        <v>0</v>
      </c>
      <c r="H78" s="358" t="b">
        <v>0</v>
      </c>
      <c r="I78" s="358">
        <v>1</v>
      </c>
      <c r="J78" s="358">
        <v>5</v>
      </c>
      <c r="K78" s="358" t="s">
        <v>485</v>
      </c>
      <c r="L78" s="358" t="s">
        <v>713</v>
      </c>
    </row>
    <row r="79" spans="1:12" x14ac:dyDescent="0.2">
      <c r="A79" s="358" t="s">
        <v>714</v>
      </c>
      <c r="B79" s="359" t="s">
        <v>715</v>
      </c>
      <c r="C79" s="358" t="b">
        <v>1</v>
      </c>
      <c r="D79" s="358" t="b">
        <v>0</v>
      </c>
      <c r="E79" s="358" t="b">
        <v>0</v>
      </c>
      <c r="F79" s="358" t="b">
        <v>0</v>
      </c>
      <c r="G79" s="358" t="b">
        <v>0</v>
      </c>
      <c r="H79" s="358" t="b">
        <v>0</v>
      </c>
      <c r="I79" s="358">
        <v>1</v>
      </c>
      <c r="J79" s="358">
        <v>1</v>
      </c>
      <c r="K79" s="358" t="s">
        <v>485</v>
      </c>
      <c r="L79" s="358" t="s">
        <v>716</v>
      </c>
    </row>
    <row r="80" spans="1:12" x14ac:dyDescent="0.2">
      <c r="A80" s="358" t="s">
        <v>717</v>
      </c>
      <c r="B80" s="359" t="s">
        <v>718</v>
      </c>
      <c r="C80" s="358" t="b">
        <v>1</v>
      </c>
      <c r="D80" s="358" t="b">
        <v>0</v>
      </c>
      <c r="E80" s="358" t="b">
        <v>0</v>
      </c>
      <c r="F80" s="358" t="b">
        <v>0</v>
      </c>
      <c r="G80" s="358" t="b">
        <v>0</v>
      </c>
      <c r="H80" s="358" t="b">
        <v>0</v>
      </c>
      <c r="I80" s="358">
        <v>1</v>
      </c>
      <c r="J80" s="358">
        <v>1</v>
      </c>
      <c r="K80" s="358" t="s">
        <v>485</v>
      </c>
      <c r="L80" s="358" t="s">
        <v>719</v>
      </c>
    </row>
    <row r="81" spans="1:12" x14ac:dyDescent="0.2">
      <c r="A81" s="358" t="s">
        <v>720</v>
      </c>
      <c r="B81" s="359" t="s">
        <v>721</v>
      </c>
      <c r="C81" s="358" t="b">
        <v>1</v>
      </c>
      <c r="D81" s="358" t="b">
        <v>0</v>
      </c>
      <c r="E81" s="358" t="b">
        <v>0</v>
      </c>
      <c r="F81" s="358" t="b">
        <v>0</v>
      </c>
      <c r="G81" s="358" t="b">
        <v>0</v>
      </c>
      <c r="H81" s="358" t="b">
        <v>0</v>
      </c>
      <c r="I81" s="358">
        <v>1</v>
      </c>
      <c r="J81" s="358">
        <v>1</v>
      </c>
      <c r="K81" s="358" t="s">
        <v>485</v>
      </c>
      <c r="L81" s="358" t="s">
        <v>722</v>
      </c>
    </row>
    <row r="82" spans="1:12" x14ac:dyDescent="0.2">
      <c r="A82" s="358" t="s">
        <v>723</v>
      </c>
      <c r="B82" s="359" t="s">
        <v>724</v>
      </c>
      <c r="C82" s="358" t="b">
        <v>1</v>
      </c>
      <c r="D82" s="358" t="b">
        <v>0</v>
      </c>
      <c r="E82" s="358" t="b">
        <v>0</v>
      </c>
      <c r="F82" s="358" t="b">
        <v>0</v>
      </c>
      <c r="G82" s="358" t="b">
        <v>0</v>
      </c>
      <c r="H82" s="358" t="b">
        <v>0</v>
      </c>
      <c r="I82" s="358">
        <v>1</v>
      </c>
      <c r="J82" s="358">
        <v>1</v>
      </c>
      <c r="K82" s="358" t="s">
        <v>485</v>
      </c>
      <c r="L82" s="358" t="s">
        <v>725</v>
      </c>
    </row>
    <row r="83" spans="1:12" x14ac:dyDescent="0.2">
      <c r="A83" s="358" t="s">
        <v>726</v>
      </c>
      <c r="B83" s="359" t="s">
        <v>727</v>
      </c>
      <c r="C83" s="358" t="b">
        <v>1</v>
      </c>
      <c r="D83" s="358" t="b">
        <v>0</v>
      </c>
      <c r="E83" s="358" t="b">
        <v>0</v>
      </c>
      <c r="F83" s="358" t="b">
        <v>0</v>
      </c>
      <c r="G83" s="358" t="b">
        <v>0</v>
      </c>
      <c r="H83" s="358" t="b">
        <v>0</v>
      </c>
      <c r="I83" s="358">
        <v>1</v>
      </c>
      <c r="J83" s="358">
        <v>5</v>
      </c>
      <c r="K83" s="358" t="s">
        <v>485</v>
      </c>
      <c r="L83" s="358" t="s">
        <v>728</v>
      </c>
    </row>
    <row r="84" spans="1:12" x14ac:dyDescent="0.2">
      <c r="A84" s="358" t="s">
        <v>729</v>
      </c>
      <c r="B84" s="359" t="s">
        <v>730</v>
      </c>
      <c r="C84" s="358" t="b">
        <v>1</v>
      </c>
      <c r="D84" s="358" t="b">
        <v>1</v>
      </c>
      <c r="E84" s="358" t="b">
        <v>0</v>
      </c>
      <c r="F84" s="358" t="b">
        <v>0</v>
      </c>
      <c r="G84" s="358" t="b">
        <v>0</v>
      </c>
      <c r="H84" s="358" t="b">
        <v>0</v>
      </c>
      <c r="I84" s="358">
        <v>1</v>
      </c>
      <c r="J84" s="358">
        <v>1</v>
      </c>
      <c r="K84" s="358" t="s">
        <v>485</v>
      </c>
      <c r="L84" s="358" t="s">
        <v>731</v>
      </c>
    </row>
    <row r="85" spans="1:12" x14ac:dyDescent="0.2">
      <c r="A85" s="358" t="s">
        <v>732</v>
      </c>
      <c r="B85" s="359" t="s">
        <v>733</v>
      </c>
      <c r="C85" s="358" t="b">
        <v>1</v>
      </c>
      <c r="D85" s="358" t="b">
        <v>1</v>
      </c>
      <c r="E85" s="358" t="b">
        <v>0</v>
      </c>
      <c r="F85" s="358" t="b">
        <v>0</v>
      </c>
      <c r="G85" s="358" t="b">
        <v>0</v>
      </c>
      <c r="H85" s="358" t="b">
        <v>0</v>
      </c>
      <c r="I85" s="358">
        <v>1</v>
      </c>
      <c r="J85" s="358">
        <v>1</v>
      </c>
      <c r="K85" s="358" t="s">
        <v>485</v>
      </c>
      <c r="L85" s="358" t="s">
        <v>734</v>
      </c>
    </row>
    <row r="86" spans="1:12" x14ac:dyDescent="0.2">
      <c r="A86" s="358" t="s">
        <v>735</v>
      </c>
      <c r="B86" s="359" t="s">
        <v>736</v>
      </c>
      <c r="C86" s="358" t="b">
        <v>1</v>
      </c>
      <c r="D86" s="358" t="b">
        <v>0</v>
      </c>
      <c r="E86" s="358" t="b">
        <v>0</v>
      </c>
      <c r="F86" s="358" t="b">
        <v>0</v>
      </c>
      <c r="G86" s="358" t="b">
        <v>0</v>
      </c>
      <c r="H86" s="358" t="b">
        <v>0</v>
      </c>
      <c r="I86" s="358">
        <v>1</v>
      </c>
      <c r="J86" s="358">
        <v>1</v>
      </c>
      <c r="K86" s="358" t="s">
        <v>485</v>
      </c>
      <c r="L86" s="358" t="s">
        <v>737</v>
      </c>
    </row>
    <row r="87" spans="1:12" x14ac:dyDescent="0.2">
      <c r="A87" s="358" t="s">
        <v>738</v>
      </c>
      <c r="B87" s="359" t="s">
        <v>739</v>
      </c>
      <c r="C87" s="358" t="b">
        <v>1</v>
      </c>
      <c r="D87" s="358" t="b">
        <v>1</v>
      </c>
      <c r="E87" s="358" t="b">
        <v>0</v>
      </c>
      <c r="F87" s="358" t="b">
        <v>0</v>
      </c>
      <c r="G87" s="358" t="b">
        <v>0</v>
      </c>
      <c r="H87" s="358" t="b">
        <v>0</v>
      </c>
      <c r="I87" s="358">
        <v>1</v>
      </c>
      <c r="J87" s="358">
        <v>1</v>
      </c>
      <c r="K87" s="358" t="s">
        <v>485</v>
      </c>
      <c r="L87" s="358" t="s">
        <v>740</v>
      </c>
    </row>
    <row r="88" spans="1:12" x14ac:dyDescent="0.2">
      <c r="A88" s="358" t="s">
        <v>741</v>
      </c>
      <c r="B88" s="359" t="s">
        <v>742</v>
      </c>
      <c r="C88" s="358" t="b">
        <v>1</v>
      </c>
      <c r="D88" s="358" t="b">
        <v>1</v>
      </c>
      <c r="E88" s="358" t="b">
        <v>0</v>
      </c>
      <c r="F88" s="358" t="b">
        <v>0</v>
      </c>
      <c r="G88" s="358" t="b">
        <v>0</v>
      </c>
      <c r="H88" s="358" t="b">
        <v>0</v>
      </c>
      <c r="I88" s="358">
        <v>1</v>
      </c>
      <c r="J88" s="358">
        <v>1</v>
      </c>
      <c r="K88" s="358" t="s">
        <v>485</v>
      </c>
      <c r="L88" s="358" t="s">
        <v>743</v>
      </c>
    </row>
    <row r="89" spans="1:12" x14ac:dyDescent="0.2">
      <c r="A89" s="358" t="s">
        <v>744</v>
      </c>
      <c r="B89" s="359" t="s">
        <v>745</v>
      </c>
      <c r="C89" s="358" t="b">
        <v>1</v>
      </c>
      <c r="D89" s="358" t="b">
        <v>1</v>
      </c>
      <c r="E89" s="358" t="b">
        <v>0</v>
      </c>
      <c r="F89" s="358" t="b">
        <v>0</v>
      </c>
      <c r="G89" s="358" t="b">
        <v>0</v>
      </c>
      <c r="H89" s="358" t="b">
        <v>0</v>
      </c>
      <c r="I89" s="358">
        <v>1</v>
      </c>
      <c r="J89" s="358">
        <v>1</v>
      </c>
      <c r="K89" s="358" t="s">
        <v>485</v>
      </c>
      <c r="L89" s="358" t="s">
        <v>746</v>
      </c>
    </row>
    <row r="90" spans="1:12" x14ac:dyDescent="0.2">
      <c r="A90" s="358" t="s">
        <v>747</v>
      </c>
      <c r="B90" s="359" t="s">
        <v>748</v>
      </c>
      <c r="C90" s="358" t="b">
        <v>1</v>
      </c>
      <c r="D90" s="358" t="b">
        <v>1</v>
      </c>
      <c r="E90" s="358" t="b">
        <v>0</v>
      </c>
      <c r="F90" s="358" t="b">
        <v>0</v>
      </c>
      <c r="G90" s="358" t="b">
        <v>0</v>
      </c>
      <c r="H90" s="358" t="b">
        <v>0</v>
      </c>
      <c r="I90" s="358">
        <v>1</v>
      </c>
      <c r="J90" s="358">
        <v>1</v>
      </c>
      <c r="K90" s="358" t="s">
        <v>485</v>
      </c>
      <c r="L90" s="358" t="s">
        <v>749</v>
      </c>
    </row>
    <row r="91" spans="1:12" x14ac:dyDescent="0.2">
      <c r="A91" s="358" t="s">
        <v>750</v>
      </c>
      <c r="B91" s="359" t="s">
        <v>751</v>
      </c>
      <c r="C91" s="358" t="b">
        <v>1</v>
      </c>
      <c r="D91" s="358" t="b">
        <v>0</v>
      </c>
      <c r="E91" s="358" t="b">
        <v>0</v>
      </c>
      <c r="F91" s="358" t="b">
        <v>0</v>
      </c>
      <c r="G91" s="358" t="b">
        <v>0</v>
      </c>
      <c r="H91" s="358" t="b">
        <v>0</v>
      </c>
      <c r="I91" s="358">
        <v>1</v>
      </c>
      <c r="J91" s="358">
        <v>1</v>
      </c>
      <c r="K91" s="358" t="s">
        <v>485</v>
      </c>
      <c r="L91" s="358" t="s">
        <v>752</v>
      </c>
    </row>
    <row r="92" spans="1:12" x14ac:dyDescent="0.2">
      <c r="A92" s="358" t="s">
        <v>753</v>
      </c>
      <c r="B92" s="359" t="s">
        <v>754</v>
      </c>
      <c r="C92" s="358" t="b">
        <v>1</v>
      </c>
      <c r="D92" s="358" t="b">
        <v>0</v>
      </c>
      <c r="E92" s="358" t="b">
        <v>0</v>
      </c>
      <c r="F92" s="358" t="b">
        <v>0</v>
      </c>
      <c r="G92" s="358" t="b">
        <v>0</v>
      </c>
      <c r="H92" s="358" t="b">
        <v>0</v>
      </c>
      <c r="I92" s="358">
        <v>1</v>
      </c>
      <c r="J92" s="358">
        <v>1</v>
      </c>
      <c r="K92" s="358" t="s">
        <v>485</v>
      </c>
      <c r="L92" s="358" t="s">
        <v>755</v>
      </c>
    </row>
    <row r="93" spans="1:12" x14ac:dyDescent="0.2">
      <c r="A93" s="358" t="s">
        <v>756</v>
      </c>
      <c r="B93" s="359" t="s">
        <v>757</v>
      </c>
      <c r="C93" s="358" t="b">
        <v>1</v>
      </c>
      <c r="D93" s="358" t="b">
        <v>0</v>
      </c>
      <c r="E93" s="358" t="b">
        <v>0</v>
      </c>
      <c r="F93" s="358" t="b">
        <v>0</v>
      </c>
      <c r="G93" s="358" t="b">
        <v>0</v>
      </c>
      <c r="H93" s="358" t="b">
        <v>0</v>
      </c>
      <c r="I93" s="358">
        <v>1</v>
      </c>
      <c r="J93" s="358">
        <v>1</v>
      </c>
      <c r="K93" s="358" t="s">
        <v>485</v>
      </c>
      <c r="L93" s="358" t="s">
        <v>758</v>
      </c>
    </row>
    <row r="94" spans="1:12" x14ac:dyDescent="0.2">
      <c r="A94" s="360" t="s">
        <v>759</v>
      </c>
      <c r="B94" s="359" t="s">
        <v>760</v>
      </c>
      <c r="C94" s="358" t="b">
        <v>1</v>
      </c>
      <c r="D94" s="358" t="b">
        <v>1</v>
      </c>
      <c r="E94" s="358" t="b">
        <v>0</v>
      </c>
      <c r="F94" s="358" t="b">
        <v>0</v>
      </c>
      <c r="G94" s="358" t="b">
        <v>0</v>
      </c>
      <c r="H94" s="358" t="b">
        <v>0</v>
      </c>
      <c r="I94" s="358">
        <v>1</v>
      </c>
      <c r="J94" s="358">
        <v>1</v>
      </c>
      <c r="K94" s="358" t="s">
        <v>485</v>
      </c>
      <c r="L94" s="360" t="s">
        <v>761</v>
      </c>
    </row>
    <row r="95" spans="1:12" x14ac:dyDescent="0.2">
      <c r="A95" s="360" t="s">
        <v>762</v>
      </c>
      <c r="B95" s="359" t="s">
        <v>763</v>
      </c>
      <c r="C95" s="358" t="b">
        <v>1</v>
      </c>
      <c r="D95" s="358" t="b">
        <v>1</v>
      </c>
      <c r="E95" s="358" t="b">
        <v>0</v>
      </c>
      <c r="F95" s="358" t="b">
        <v>0</v>
      </c>
      <c r="G95" s="358" t="b">
        <v>0</v>
      </c>
      <c r="H95" s="358" t="b">
        <v>0</v>
      </c>
      <c r="I95" s="358">
        <v>1</v>
      </c>
      <c r="J95" s="358">
        <v>1</v>
      </c>
      <c r="K95" s="358" t="s">
        <v>485</v>
      </c>
      <c r="L95" s="360" t="s">
        <v>764</v>
      </c>
    </row>
    <row r="96" spans="1:12" x14ac:dyDescent="0.2">
      <c r="A96" s="360" t="s">
        <v>765</v>
      </c>
      <c r="B96" s="359" t="s">
        <v>766</v>
      </c>
      <c r="C96" s="358" t="b">
        <v>1</v>
      </c>
      <c r="D96" s="358" t="b">
        <v>1</v>
      </c>
      <c r="E96" s="358" t="b">
        <v>0</v>
      </c>
      <c r="F96" s="358" t="b">
        <v>0</v>
      </c>
      <c r="G96" s="358" t="b">
        <v>0</v>
      </c>
      <c r="H96" s="358" t="b">
        <v>0</v>
      </c>
      <c r="I96" s="358">
        <v>1</v>
      </c>
      <c r="J96" s="358">
        <v>1</v>
      </c>
      <c r="K96" s="358" t="s">
        <v>485</v>
      </c>
      <c r="L96" s="360" t="s">
        <v>767</v>
      </c>
    </row>
    <row r="97" spans="1:12" x14ac:dyDescent="0.2">
      <c r="A97" s="358" t="s">
        <v>768</v>
      </c>
      <c r="B97" s="359" t="s">
        <v>769</v>
      </c>
      <c r="C97" s="358" t="b">
        <v>1</v>
      </c>
      <c r="D97" s="358" t="b">
        <v>0</v>
      </c>
      <c r="E97" s="358" t="b">
        <v>0</v>
      </c>
      <c r="F97" s="358" t="b">
        <v>0</v>
      </c>
      <c r="G97" s="358" t="b">
        <v>0</v>
      </c>
      <c r="H97" s="358" t="b">
        <v>0</v>
      </c>
      <c r="I97" s="358">
        <v>1</v>
      </c>
      <c r="J97" s="358">
        <v>1</v>
      </c>
      <c r="K97" s="358" t="s">
        <v>485</v>
      </c>
      <c r="L97" s="360" t="s">
        <v>770</v>
      </c>
    </row>
    <row r="98" spans="1:12" x14ac:dyDescent="0.2">
      <c r="A98" s="360" t="s">
        <v>771</v>
      </c>
      <c r="B98" s="359" t="s">
        <v>772</v>
      </c>
      <c r="C98" s="358" t="b">
        <v>1</v>
      </c>
      <c r="D98" s="358" t="b">
        <v>1</v>
      </c>
      <c r="E98" s="358" t="b">
        <v>0</v>
      </c>
      <c r="F98" s="358" t="b">
        <v>0</v>
      </c>
      <c r="G98" s="358" t="b">
        <v>0</v>
      </c>
      <c r="H98" s="358" t="b">
        <v>0</v>
      </c>
      <c r="I98" s="358">
        <v>1</v>
      </c>
      <c r="J98" s="358">
        <v>1</v>
      </c>
      <c r="K98" s="358" t="s">
        <v>485</v>
      </c>
      <c r="L98" s="360" t="s">
        <v>773</v>
      </c>
    </row>
    <row r="99" spans="1:12" x14ac:dyDescent="0.2">
      <c r="A99" s="360" t="s">
        <v>774</v>
      </c>
      <c r="B99" s="359" t="s">
        <v>775</v>
      </c>
      <c r="C99" s="358" t="b">
        <v>1</v>
      </c>
      <c r="D99" s="358" t="b">
        <v>1</v>
      </c>
      <c r="E99" s="358" t="b">
        <v>0</v>
      </c>
      <c r="F99" s="358" t="b">
        <v>0</v>
      </c>
      <c r="G99" s="358" t="b">
        <v>0</v>
      </c>
      <c r="H99" s="358" t="b">
        <v>0</v>
      </c>
      <c r="I99" s="358">
        <v>1</v>
      </c>
      <c r="J99" s="358">
        <v>1</v>
      </c>
      <c r="K99" s="358" t="s">
        <v>485</v>
      </c>
      <c r="L99" s="360" t="s">
        <v>776</v>
      </c>
    </row>
    <row r="100" spans="1:12" x14ac:dyDescent="0.2">
      <c r="A100" s="360" t="s">
        <v>777</v>
      </c>
      <c r="B100" s="359" t="s">
        <v>778</v>
      </c>
      <c r="C100" s="358" t="b">
        <v>1</v>
      </c>
      <c r="D100" s="358" t="b">
        <v>1</v>
      </c>
      <c r="E100" s="358" t="b">
        <v>0</v>
      </c>
      <c r="F100" s="358" t="b">
        <v>0</v>
      </c>
      <c r="G100" s="358" t="b">
        <v>0</v>
      </c>
      <c r="H100" s="358" t="b">
        <v>0</v>
      </c>
      <c r="I100" s="358">
        <v>1</v>
      </c>
      <c r="J100" s="358">
        <v>1</v>
      </c>
      <c r="K100" s="358" t="s">
        <v>485</v>
      </c>
      <c r="L100" s="360" t="s">
        <v>779</v>
      </c>
    </row>
    <row r="101" spans="1:12" x14ac:dyDescent="0.2">
      <c r="A101" s="360" t="s">
        <v>780</v>
      </c>
      <c r="B101" s="359" t="s">
        <v>781</v>
      </c>
      <c r="C101" s="358" t="b">
        <v>1</v>
      </c>
      <c r="D101" s="358" t="b">
        <v>1</v>
      </c>
      <c r="E101" s="358" t="b">
        <v>0</v>
      </c>
      <c r="F101" s="358" t="b">
        <v>0</v>
      </c>
      <c r="G101" s="358" t="b">
        <v>0</v>
      </c>
      <c r="H101" s="358" t="b">
        <v>0</v>
      </c>
      <c r="I101" s="358">
        <v>1</v>
      </c>
      <c r="J101" s="358">
        <v>1</v>
      </c>
      <c r="K101" s="358" t="s">
        <v>485</v>
      </c>
      <c r="L101" s="360" t="s">
        <v>782</v>
      </c>
    </row>
    <row r="102" spans="1:12" x14ac:dyDescent="0.2">
      <c r="A102" s="360" t="s">
        <v>783</v>
      </c>
      <c r="B102" s="359" t="s">
        <v>784</v>
      </c>
      <c r="C102" s="358" t="b">
        <v>1</v>
      </c>
      <c r="D102" s="358" t="b">
        <v>1</v>
      </c>
      <c r="E102" s="358" t="b">
        <v>0</v>
      </c>
      <c r="F102" s="358" t="b">
        <v>0</v>
      </c>
      <c r="G102" s="358" t="b">
        <v>0</v>
      </c>
      <c r="H102" s="358" t="b">
        <v>0</v>
      </c>
      <c r="I102" s="358">
        <v>1</v>
      </c>
      <c r="J102" s="358">
        <v>1</v>
      </c>
      <c r="K102" s="358" t="s">
        <v>485</v>
      </c>
      <c r="L102" s="360" t="s">
        <v>785</v>
      </c>
    </row>
    <row r="103" spans="1:12" x14ac:dyDescent="0.2">
      <c r="A103" s="358" t="s">
        <v>786</v>
      </c>
      <c r="B103" s="359" t="s">
        <v>787</v>
      </c>
      <c r="C103" s="358" t="b">
        <v>1</v>
      </c>
      <c r="D103" s="358" t="b">
        <v>0</v>
      </c>
      <c r="E103" s="358" t="b">
        <v>0</v>
      </c>
      <c r="F103" s="358" t="b">
        <v>0</v>
      </c>
      <c r="G103" s="358" t="b">
        <v>0</v>
      </c>
      <c r="H103" s="358" t="b">
        <v>0</v>
      </c>
      <c r="I103" s="358">
        <v>1</v>
      </c>
      <c r="J103" s="358">
        <v>1</v>
      </c>
      <c r="K103" s="358" t="s">
        <v>485</v>
      </c>
      <c r="L103" s="360" t="s">
        <v>788</v>
      </c>
    </row>
    <row r="104" spans="1:12" x14ac:dyDescent="0.2">
      <c r="A104" s="358" t="s">
        <v>789</v>
      </c>
      <c r="B104" s="359" t="s">
        <v>790</v>
      </c>
      <c r="C104" s="358" t="b">
        <v>1</v>
      </c>
      <c r="D104" s="358" t="b">
        <v>0</v>
      </c>
      <c r="E104" s="358" t="b">
        <v>0</v>
      </c>
      <c r="F104" s="358" t="b">
        <v>0</v>
      </c>
      <c r="G104" s="358" t="b">
        <v>0</v>
      </c>
      <c r="H104" s="358" t="b">
        <v>0</v>
      </c>
      <c r="I104" s="358">
        <v>1</v>
      </c>
      <c r="J104" s="358">
        <v>1</v>
      </c>
      <c r="K104" s="358" t="s">
        <v>485</v>
      </c>
      <c r="L104" s="360" t="s">
        <v>791</v>
      </c>
    </row>
    <row r="105" spans="1:12" x14ac:dyDescent="0.2">
      <c r="A105" s="360" t="s">
        <v>792</v>
      </c>
      <c r="B105" s="359" t="s">
        <v>793</v>
      </c>
      <c r="C105" s="358" t="b">
        <v>1</v>
      </c>
      <c r="D105" s="358" t="b">
        <v>1</v>
      </c>
      <c r="E105" s="358" t="b">
        <v>0</v>
      </c>
      <c r="F105" s="358" t="b">
        <v>0</v>
      </c>
      <c r="G105" s="358" t="b">
        <v>0</v>
      </c>
      <c r="H105" s="358" t="b">
        <v>0</v>
      </c>
      <c r="I105" s="358">
        <v>1</v>
      </c>
      <c r="J105" s="358">
        <v>1</v>
      </c>
      <c r="K105" s="358" t="s">
        <v>485</v>
      </c>
      <c r="L105" s="360" t="s">
        <v>794</v>
      </c>
    </row>
    <row r="106" spans="1:12" x14ac:dyDescent="0.2">
      <c r="A106" s="360" t="s">
        <v>795</v>
      </c>
      <c r="B106" s="359" t="s">
        <v>796</v>
      </c>
      <c r="C106" s="358" t="b">
        <v>1</v>
      </c>
      <c r="D106" s="358" t="b">
        <v>1</v>
      </c>
      <c r="E106" s="358" t="b">
        <v>0</v>
      </c>
      <c r="F106" s="358" t="b">
        <v>0</v>
      </c>
      <c r="G106" s="358" t="b">
        <v>0</v>
      </c>
      <c r="H106" s="358" t="b">
        <v>0</v>
      </c>
      <c r="I106" s="358">
        <v>1</v>
      </c>
      <c r="J106" s="358">
        <v>1</v>
      </c>
      <c r="K106" s="358" t="s">
        <v>485</v>
      </c>
      <c r="L106" s="360" t="s">
        <v>797</v>
      </c>
    </row>
    <row r="107" spans="1:12" x14ac:dyDescent="0.2">
      <c r="A107" s="360" t="s">
        <v>798</v>
      </c>
      <c r="B107" s="359" t="s">
        <v>799</v>
      </c>
      <c r="C107" s="358" t="b">
        <v>1</v>
      </c>
      <c r="D107" s="358" t="b">
        <v>1</v>
      </c>
      <c r="E107" s="358" t="b">
        <v>0</v>
      </c>
      <c r="F107" s="358" t="b">
        <v>0</v>
      </c>
      <c r="G107" s="358" t="b">
        <v>0</v>
      </c>
      <c r="H107" s="358" t="b">
        <v>0</v>
      </c>
      <c r="I107" s="358">
        <v>1</v>
      </c>
      <c r="J107" s="358">
        <v>1</v>
      </c>
      <c r="K107" s="358" t="s">
        <v>485</v>
      </c>
      <c r="L107" s="360" t="s">
        <v>800</v>
      </c>
    </row>
    <row r="108" spans="1:12" x14ac:dyDescent="0.2">
      <c r="A108" s="360" t="s">
        <v>801</v>
      </c>
      <c r="B108" s="359" t="s">
        <v>802</v>
      </c>
      <c r="C108" s="358" t="b">
        <v>1</v>
      </c>
      <c r="D108" s="358" t="b">
        <v>1</v>
      </c>
      <c r="E108" s="358" t="b">
        <v>0</v>
      </c>
      <c r="F108" s="358" t="b">
        <v>0</v>
      </c>
      <c r="G108" s="358" t="b">
        <v>0</v>
      </c>
      <c r="H108" s="358" t="b">
        <v>0</v>
      </c>
      <c r="I108" s="358">
        <v>1</v>
      </c>
      <c r="J108" s="358">
        <v>1</v>
      </c>
      <c r="K108" s="358" t="s">
        <v>485</v>
      </c>
      <c r="L108" s="360" t="s">
        <v>803</v>
      </c>
    </row>
    <row r="109" spans="1:12" x14ac:dyDescent="0.2">
      <c r="A109" s="358" t="s">
        <v>804</v>
      </c>
      <c r="B109" s="359" t="s">
        <v>805</v>
      </c>
      <c r="C109" s="358" t="b">
        <v>1</v>
      </c>
      <c r="D109" s="358" t="b">
        <v>0</v>
      </c>
      <c r="E109" s="358" t="b">
        <v>0</v>
      </c>
      <c r="F109" s="358" t="b">
        <v>0</v>
      </c>
      <c r="G109" s="358" t="b">
        <v>0</v>
      </c>
      <c r="H109" s="358" t="b">
        <v>0</v>
      </c>
      <c r="I109" s="358">
        <v>1</v>
      </c>
      <c r="J109" s="358">
        <v>1</v>
      </c>
      <c r="K109" s="358" t="s">
        <v>485</v>
      </c>
      <c r="L109" s="360" t="s">
        <v>806</v>
      </c>
    </row>
    <row r="110" spans="1:12" x14ac:dyDescent="0.2">
      <c r="A110" s="358" t="s">
        <v>807</v>
      </c>
      <c r="B110" s="359" t="s">
        <v>808</v>
      </c>
      <c r="C110" s="358" t="b">
        <v>1</v>
      </c>
      <c r="D110" s="358" t="b">
        <v>0</v>
      </c>
      <c r="E110" s="358" t="b">
        <v>0</v>
      </c>
      <c r="F110" s="358" t="b">
        <v>0</v>
      </c>
      <c r="G110" s="358" t="b">
        <v>0</v>
      </c>
      <c r="H110" s="358" t="b">
        <v>0</v>
      </c>
      <c r="I110" s="358">
        <v>1</v>
      </c>
      <c r="J110" s="358">
        <v>1</v>
      </c>
      <c r="K110" s="358" t="s">
        <v>485</v>
      </c>
      <c r="L110" s="360" t="s">
        <v>809</v>
      </c>
    </row>
    <row r="111" spans="1:12" x14ac:dyDescent="0.2">
      <c r="A111" s="360" t="s">
        <v>810</v>
      </c>
      <c r="B111" s="359" t="s">
        <v>811</v>
      </c>
      <c r="C111" s="358" t="b">
        <v>1</v>
      </c>
      <c r="D111" s="358" t="b">
        <v>1</v>
      </c>
      <c r="E111" s="358" t="b">
        <v>0</v>
      </c>
      <c r="F111" s="358" t="b">
        <v>0</v>
      </c>
      <c r="G111" s="358" t="b">
        <v>0</v>
      </c>
      <c r="H111" s="358" t="b">
        <v>0</v>
      </c>
      <c r="I111" s="358">
        <v>1</v>
      </c>
      <c r="J111" s="358">
        <v>1</v>
      </c>
      <c r="K111" s="358" t="s">
        <v>485</v>
      </c>
      <c r="L111" s="360" t="s">
        <v>812</v>
      </c>
    </row>
    <row r="112" spans="1:12" x14ac:dyDescent="0.2">
      <c r="A112" s="360" t="s">
        <v>813</v>
      </c>
      <c r="B112" s="359" t="s">
        <v>814</v>
      </c>
      <c r="C112" s="358" t="b">
        <v>1</v>
      </c>
      <c r="D112" s="358" t="b">
        <v>1</v>
      </c>
      <c r="E112" s="358" t="b">
        <v>0</v>
      </c>
      <c r="F112" s="358" t="b">
        <v>0</v>
      </c>
      <c r="G112" s="358" t="b">
        <v>0</v>
      </c>
      <c r="H112" s="358" t="b">
        <v>0</v>
      </c>
      <c r="I112" s="358">
        <v>1</v>
      </c>
      <c r="J112" s="358">
        <v>1</v>
      </c>
      <c r="K112" s="358" t="s">
        <v>485</v>
      </c>
      <c r="L112" s="360" t="s">
        <v>815</v>
      </c>
    </row>
    <row r="113" spans="1:12" x14ac:dyDescent="0.2">
      <c r="A113" s="358" t="s">
        <v>816</v>
      </c>
      <c r="B113" s="359" t="s">
        <v>817</v>
      </c>
      <c r="C113" s="358" t="b">
        <v>1</v>
      </c>
      <c r="D113" s="358" t="b">
        <v>1</v>
      </c>
      <c r="E113" s="358" t="b">
        <v>0</v>
      </c>
      <c r="F113" s="358" t="b">
        <v>0</v>
      </c>
      <c r="G113" s="358" t="b">
        <v>0</v>
      </c>
      <c r="H113" s="358" t="b">
        <v>0</v>
      </c>
      <c r="I113" s="358">
        <v>1</v>
      </c>
      <c r="J113" s="358">
        <v>1</v>
      </c>
      <c r="K113" s="358" t="s">
        <v>485</v>
      </c>
      <c r="L113" s="358" t="s">
        <v>818</v>
      </c>
    </row>
    <row r="114" spans="1:12" x14ac:dyDescent="0.2">
      <c r="A114" s="358" t="s">
        <v>819</v>
      </c>
      <c r="B114" s="359" t="s">
        <v>820</v>
      </c>
      <c r="C114" s="358" t="b">
        <v>1</v>
      </c>
      <c r="D114" s="358" t="b">
        <v>0</v>
      </c>
      <c r="E114" s="358" t="b">
        <v>0</v>
      </c>
      <c r="F114" s="358" t="b">
        <v>0</v>
      </c>
      <c r="G114" s="358" t="b">
        <v>0</v>
      </c>
      <c r="H114" s="358" t="b">
        <v>0</v>
      </c>
      <c r="I114" s="358">
        <v>1</v>
      </c>
      <c r="J114" s="358">
        <v>1</v>
      </c>
      <c r="K114" s="358" t="s">
        <v>485</v>
      </c>
      <c r="L114" s="358" t="s">
        <v>821</v>
      </c>
    </row>
    <row r="115" spans="1:12" x14ac:dyDescent="0.2">
      <c r="A115" s="358" t="s">
        <v>822</v>
      </c>
      <c r="B115" s="359" t="s">
        <v>823</v>
      </c>
      <c r="C115" s="358" t="b">
        <v>1</v>
      </c>
      <c r="D115" s="358" t="b">
        <v>1</v>
      </c>
      <c r="E115" s="358" t="b">
        <v>0</v>
      </c>
      <c r="F115" s="358" t="b">
        <v>0</v>
      </c>
      <c r="G115" s="358" t="b">
        <v>0</v>
      </c>
      <c r="H115" s="358" t="b">
        <v>0</v>
      </c>
      <c r="I115" s="358">
        <v>1</v>
      </c>
      <c r="J115" s="358">
        <v>1</v>
      </c>
      <c r="K115" s="358" t="s">
        <v>485</v>
      </c>
      <c r="L115" s="358" t="s">
        <v>824</v>
      </c>
    </row>
    <row r="116" spans="1:12" x14ac:dyDescent="0.2">
      <c r="A116" s="358" t="s">
        <v>825</v>
      </c>
      <c r="B116" s="359" t="s">
        <v>826</v>
      </c>
      <c r="C116" s="358" t="b">
        <v>1</v>
      </c>
      <c r="D116" s="358" t="b">
        <v>1</v>
      </c>
      <c r="E116" s="358" t="b">
        <v>0</v>
      </c>
      <c r="F116" s="358" t="b">
        <v>0</v>
      </c>
      <c r="G116" s="358" t="b">
        <v>0</v>
      </c>
      <c r="H116" s="358" t="b">
        <v>0</v>
      </c>
      <c r="I116" s="358">
        <v>1</v>
      </c>
      <c r="J116" s="358">
        <v>12</v>
      </c>
      <c r="K116" s="358" t="s">
        <v>485</v>
      </c>
      <c r="L116" s="358" t="s">
        <v>827</v>
      </c>
    </row>
    <row r="117" spans="1:12" x14ac:dyDescent="0.2">
      <c r="A117" s="358" t="s">
        <v>828</v>
      </c>
      <c r="B117" s="359" t="s">
        <v>829</v>
      </c>
      <c r="C117" s="358" t="b">
        <v>1</v>
      </c>
      <c r="D117" s="358" t="b">
        <v>1</v>
      </c>
      <c r="E117" s="358" t="b">
        <v>0</v>
      </c>
      <c r="F117" s="358" t="b">
        <v>0</v>
      </c>
      <c r="G117" s="358" t="b">
        <v>0</v>
      </c>
      <c r="H117" s="358" t="b">
        <v>0</v>
      </c>
      <c r="I117" s="358">
        <v>1</v>
      </c>
      <c r="J117" s="358">
        <v>12</v>
      </c>
      <c r="K117" s="358" t="s">
        <v>485</v>
      </c>
      <c r="L117" s="358" t="s">
        <v>830</v>
      </c>
    </row>
    <row r="118" spans="1:12" x14ac:dyDescent="0.2">
      <c r="A118" s="358" t="s">
        <v>831</v>
      </c>
      <c r="B118" s="359" t="s">
        <v>832</v>
      </c>
      <c r="C118" s="358" t="b">
        <v>1</v>
      </c>
      <c r="D118" s="358" t="b">
        <v>1</v>
      </c>
      <c r="E118" s="358" t="b">
        <v>0</v>
      </c>
      <c r="F118" s="358" t="b">
        <v>0</v>
      </c>
      <c r="G118" s="358" t="b">
        <v>0</v>
      </c>
      <c r="H118" s="358" t="b">
        <v>0</v>
      </c>
      <c r="I118" s="358">
        <v>1</v>
      </c>
      <c r="J118" s="358">
        <v>12</v>
      </c>
      <c r="K118" s="358" t="s">
        <v>485</v>
      </c>
      <c r="L118" s="358" t="s">
        <v>833</v>
      </c>
    </row>
    <row r="119" spans="1:12" x14ac:dyDescent="0.2">
      <c r="A119" s="358" t="s">
        <v>834</v>
      </c>
      <c r="B119" s="359" t="s">
        <v>835</v>
      </c>
      <c r="C119" s="358" t="b">
        <v>1</v>
      </c>
      <c r="D119" s="358" t="b">
        <v>0</v>
      </c>
      <c r="E119" s="358" t="b">
        <v>0</v>
      </c>
      <c r="F119" s="358" t="b">
        <v>0</v>
      </c>
      <c r="G119" s="358" t="b">
        <v>0</v>
      </c>
      <c r="H119" s="358" t="b">
        <v>0</v>
      </c>
      <c r="I119" s="358">
        <v>1</v>
      </c>
      <c r="J119" s="358">
        <v>1</v>
      </c>
      <c r="K119" s="358" t="s">
        <v>485</v>
      </c>
      <c r="L119" s="358" t="s">
        <v>836</v>
      </c>
    </row>
    <row r="120" spans="1:12" x14ac:dyDescent="0.2">
      <c r="A120" s="358" t="s">
        <v>837</v>
      </c>
      <c r="B120" s="359" t="s">
        <v>838</v>
      </c>
      <c r="C120" s="358" t="b">
        <v>1</v>
      </c>
      <c r="D120" s="358" t="b">
        <v>0</v>
      </c>
      <c r="E120" s="358" t="b">
        <v>0</v>
      </c>
      <c r="F120" s="358" t="b">
        <v>0</v>
      </c>
      <c r="G120" s="358" t="b">
        <v>0</v>
      </c>
      <c r="H120" s="358" t="b">
        <v>0</v>
      </c>
      <c r="I120" s="358">
        <v>1</v>
      </c>
      <c r="J120" s="358">
        <v>1</v>
      </c>
      <c r="K120" s="358" t="s">
        <v>485</v>
      </c>
      <c r="L120" s="358" t="s">
        <v>839</v>
      </c>
    </row>
    <row r="121" spans="1:12" x14ac:dyDescent="0.2">
      <c r="A121" s="358" t="s">
        <v>840</v>
      </c>
      <c r="B121" s="359" t="s">
        <v>841</v>
      </c>
      <c r="C121" s="358" t="b">
        <v>1</v>
      </c>
      <c r="D121" s="358" t="b">
        <v>1</v>
      </c>
      <c r="E121" s="358" t="b">
        <v>0</v>
      </c>
      <c r="F121" s="358" t="b">
        <v>0</v>
      </c>
      <c r="G121" s="358" t="b">
        <v>0</v>
      </c>
      <c r="H121" s="358" t="b">
        <v>0</v>
      </c>
      <c r="I121" s="358">
        <v>1</v>
      </c>
      <c r="J121" s="358">
        <v>1</v>
      </c>
      <c r="K121" s="358" t="s">
        <v>485</v>
      </c>
      <c r="L121" s="358" t="s">
        <v>842</v>
      </c>
    </row>
    <row r="122" spans="1:12" x14ac:dyDescent="0.2">
      <c r="A122" s="358" t="s">
        <v>843</v>
      </c>
      <c r="B122" s="359" t="s">
        <v>844</v>
      </c>
      <c r="C122" s="358" t="b">
        <v>1</v>
      </c>
      <c r="D122" s="358" t="b">
        <v>1</v>
      </c>
      <c r="E122" s="358" t="b">
        <v>0</v>
      </c>
      <c r="F122" s="358" t="b">
        <v>0</v>
      </c>
      <c r="G122" s="358" t="b">
        <v>0</v>
      </c>
      <c r="H122" s="358" t="b">
        <v>0</v>
      </c>
      <c r="I122" s="358">
        <v>1</v>
      </c>
      <c r="J122" s="358">
        <v>1</v>
      </c>
      <c r="K122" s="358" t="s">
        <v>485</v>
      </c>
      <c r="L122" s="358" t="s">
        <v>845</v>
      </c>
    </row>
    <row r="123" spans="1:12" x14ac:dyDescent="0.2">
      <c r="A123" s="358" t="s">
        <v>846</v>
      </c>
      <c r="B123" s="359" t="s">
        <v>847</v>
      </c>
      <c r="C123" s="358" t="b">
        <v>1</v>
      </c>
      <c r="D123" s="358" t="b">
        <v>1</v>
      </c>
      <c r="E123" s="358" t="b">
        <v>0</v>
      </c>
      <c r="F123" s="358" t="b">
        <v>0</v>
      </c>
      <c r="G123" s="358" t="b">
        <v>0</v>
      </c>
      <c r="H123" s="358" t="b">
        <v>0</v>
      </c>
      <c r="I123" s="358">
        <v>1</v>
      </c>
      <c r="J123" s="358">
        <v>12</v>
      </c>
      <c r="K123" s="358" t="s">
        <v>485</v>
      </c>
      <c r="L123" s="358" t="s">
        <v>848</v>
      </c>
    </row>
    <row r="124" spans="1:12" x14ac:dyDescent="0.2">
      <c r="A124" s="358" t="s">
        <v>849</v>
      </c>
      <c r="B124" s="359" t="s">
        <v>850</v>
      </c>
      <c r="C124" s="358" t="b">
        <v>1</v>
      </c>
      <c r="D124" s="358" t="b">
        <v>1</v>
      </c>
      <c r="E124" s="358" t="b">
        <v>0</v>
      </c>
      <c r="F124" s="358" t="b">
        <v>0</v>
      </c>
      <c r="G124" s="358" t="b">
        <v>0</v>
      </c>
      <c r="H124" s="358" t="b">
        <v>0</v>
      </c>
      <c r="I124" s="358">
        <v>1</v>
      </c>
      <c r="J124" s="358">
        <v>1</v>
      </c>
      <c r="K124" s="358" t="s">
        <v>485</v>
      </c>
      <c r="L124" s="358" t="s">
        <v>851</v>
      </c>
    </row>
    <row r="125" spans="1:12" x14ac:dyDescent="0.2">
      <c r="A125" s="358" t="s">
        <v>852</v>
      </c>
      <c r="B125" s="359" t="s">
        <v>853</v>
      </c>
      <c r="C125" s="358" t="b">
        <v>1</v>
      </c>
      <c r="D125" s="358" t="b">
        <v>1</v>
      </c>
      <c r="E125" s="358" t="b">
        <v>0</v>
      </c>
      <c r="F125" s="358" t="b">
        <v>0</v>
      </c>
      <c r="G125" s="358" t="b">
        <v>0</v>
      </c>
      <c r="H125" s="358" t="b">
        <v>0</v>
      </c>
      <c r="I125" s="358">
        <v>1</v>
      </c>
      <c r="J125" s="358">
        <v>1</v>
      </c>
      <c r="K125" s="358" t="s">
        <v>485</v>
      </c>
      <c r="L125" s="358" t="s">
        <v>854</v>
      </c>
    </row>
    <row r="126" spans="1:12" x14ac:dyDescent="0.2">
      <c r="A126" s="358" t="s">
        <v>855</v>
      </c>
      <c r="B126" s="359" t="s">
        <v>856</v>
      </c>
      <c r="C126" s="358" t="b">
        <v>1</v>
      </c>
      <c r="D126" s="358" t="b">
        <v>1</v>
      </c>
      <c r="E126" s="358" t="b">
        <v>0</v>
      </c>
      <c r="F126" s="358" t="b">
        <v>0</v>
      </c>
      <c r="G126" s="358" t="b">
        <v>0</v>
      </c>
      <c r="H126" s="358" t="b">
        <v>0</v>
      </c>
      <c r="I126" s="358">
        <v>1</v>
      </c>
      <c r="J126" s="358">
        <v>1</v>
      </c>
      <c r="K126" s="358" t="s">
        <v>485</v>
      </c>
      <c r="L126" s="358" t="s">
        <v>857</v>
      </c>
    </row>
    <row r="127" spans="1:12" x14ac:dyDescent="0.2">
      <c r="A127" s="358" t="s">
        <v>858</v>
      </c>
      <c r="B127" s="359" t="s">
        <v>859</v>
      </c>
      <c r="C127" s="358" t="b">
        <v>1</v>
      </c>
      <c r="D127" s="358" t="b">
        <v>1</v>
      </c>
      <c r="E127" s="358" t="b">
        <v>0</v>
      </c>
      <c r="F127" s="358" t="b">
        <v>0</v>
      </c>
      <c r="G127" s="358" t="b">
        <v>0</v>
      </c>
      <c r="H127" s="358" t="b">
        <v>0</v>
      </c>
      <c r="I127" s="358">
        <v>1</v>
      </c>
      <c r="J127" s="358">
        <v>12</v>
      </c>
      <c r="K127" s="358" t="s">
        <v>485</v>
      </c>
      <c r="L127" s="358" t="s">
        <v>860</v>
      </c>
    </row>
    <row r="128" spans="1:12" x14ac:dyDescent="0.2">
      <c r="A128" s="358" t="s">
        <v>861</v>
      </c>
      <c r="B128" s="359" t="s">
        <v>862</v>
      </c>
      <c r="C128" s="358" t="b">
        <v>1</v>
      </c>
      <c r="D128" s="358" t="b">
        <v>1</v>
      </c>
      <c r="E128" s="358" t="b">
        <v>0</v>
      </c>
      <c r="F128" s="358" t="b">
        <v>0</v>
      </c>
      <c r="G128" s="358" t="b">
        <v>0</v>
      </c>
      <c r="H128" s="358" t="b">
        <v>0</v>
      </c>
      <c r="I128" s="358">
        <v>1</v>
      </c>
      <c r="J128" s="358">
        <v>12</v>
      </c>
      <c r="K128" s="358" t="s">
        <v>485</v>
      </c>
      <c r="L128" s="358" t="s">
        <v>863</v>
      </c>
    </row>
    <row r="129" spans="1:12" x14ac:dyDescent="0.2">
      <c r="A129" s="358" t="s">
        <v>864</v>
      </c>
      <c r="B129" s="359" t="s">
        <v>865</v>
      </c>
      <c r="C129" s="358" t="b">
        <v>1</v>
      </c>
      <c r="D129" s="358" t="b">
        <v>1</v>
      </c>
      <c r="E129" s="358" t="b">
        <v>0</v>
      </c>
      <c r="F129" s="358" t="b">
        <v>0</v>
      </c>
      <c r="G129" s="358" t="b">
        <v>0</v>
      </c>
      <c r="H129" s="358" t="b">
        <v>0</v>
      </c>
      <c r="I129" s="358">
        <v>1</v>
      </c>
      <c r="J129" s="358">
        <v>12</v>
      </c>
      <c r="K129" s="358" t="s">
        <v>485</v>
      </c>
      <c r="L129" s="358" t="s">
        <v>866</v>
      </c>
    </row>
    <row r="130" spans="1:12" x14ac:dyDescent="0.2">
      <c r="A130" s="358" t="s">
        <v>867</v>
      </c>
      <c r="B130" s="359" t="s">
        <v>868</v>
      </c>
      <c r="C130" s="358" t="b">
        <v>1</v>
      </c>
      <c r="D130" s="358" t="b">
        <v>1</v>
      </c>
      <c r="E130" s="358" t="b">
        <v>0</v>
      </c>
      <c r="F130" s="358" t="b">
        <v>0</v>
      </c>
      <c r="G130" s="358" t="b">
        <v>0</v>
      </c>
      <c r="H130" s="358" t="b">
        <v>0</v>
      </c>
      <c r="I130" s="358">
        <v>1</v>
      </c>
      <c r="J130" s="358">
        <v>12</v>
      </c>
      <c r="K130" s="358" t="s">
        <v>485</v>
      </c>
      <c r="L130" s="358" t="s">
        <v>869</v>
      </c>
    </row>
    <row r="131" spans="1:12" x14ac:dyDescent="0.2">
      <c r="A131" s="358" t="s">
        <v>870</v>
      </c>
      <c r="B131" s="359" t="s">
        <v>871</v>
      </c>
      <c r="C131" s="358" t="b">
        <v>1</v>
      </c>
      <c r="D131" s="358" t="b">
        <v>1</v>
      </c>
      <c r="E131" s="358" t="b">
        <v>0</v>
      </c>
      <c r="F131" s="358" t="b">
        <v>0</v>
      </c>
      <c r="G131" s="358" t="b">
        <v>0</v>
      </c>
      <c r="H131" s="358" t="b">
        <v>0</v>
      </c>
      <c r="I131" s="358">
        <v>1</v>
      </c>
      <c r="J131" s="358">
        <v>12</v>
      </c>
      <c r="K131" s="358" t="s">
        <v>485</v>
      </c>
      <c r="L131" s="358" t="s">
        <v>872</v>
      </c>
    </row>
    <row r="132" spans="1:12" x14ac:dyDescent="0.2">
      <c r="A132" s="358" t="s">
        <v>873</v>
      </c>
      <c r="B132" s="359" t="s">
        <v>874</v>
      </c>
      <c r="C132" s="358" t="b">
        <v>1</v>
      </c>
      <c r="D132" s="358" t="b">
        <v>1</v>
      </c>
      <c r="E132" s="358" t="b">
        <v>0</v>
      </c>
      <c r="F132" s="358" t="b">
        <v>0</v>
      </c>
      <c r="G132" s="358" t="b">
        <v>0</v>
      </c>
      <c r="H132" s="358" t="b">
        <v>0</v>
      </c>
      <c r="I132" s="358">
        <v>1</v>
      </c>
      <c r="J132" s="358">
        <v>1</v>
      </c>
      <c r="K132" s="358" t="s">
        <v>485</v>
      </c>
      <c r="L132" s="358" t="s">
        <v>875</v>
      </c>
    </row>
    <row r="133" spans="1:12" x14ac:dyDescent="0.2">
      <c r="A133" s="358" t="s">
        <v>876</v>
      </c>
      <c r="B133" s="359" t="s">
        <v>877</v>
      </c>
      <c r="C133" s="358" t="b">
        <v>1</v>
      </c>
      <c r="D133" s="358" t="b">
        <v>1</v>
      </c>
      <c r="E133" s="358" t="b">
        <v>0</v>
      </c>
      <c r="F133" s="358" t="b">
        <v>0</v>
      </c>
      <c r="G133" s="358" t="b">
        <v>0</v>
      </c>
      <c r="H133" s="358" t="b">
        <v>0</v>
      </c>
      <c r="I133" s="358">
        <v>1</v>
      </c>
      <c r="J133" s="358">
        <v>12</v>
      </c>
      <c r="K133" s="358" t="s">
        <v>485</v>
      </c>
      <c r="L133" s="358" t="s">
        <v>878</v>
      </c>
    </row>
    <row r="134" spans="1:12" x14ac:dyDescent="0.2">
      <c r="A134" s="358" t="s">
        <v>879</v>
      </c>
      <c r="B134" s="359" t="s">
        <v>880</v>
      </c>
      <c r="C134" s="358" t="b">
        <v>1</v>
      </c>
      <c r="D134" s="358" t="b">
        <v>1</v>
      </c>
      <c r="E134" s="358" t="b">
        <v>0</v>
      </c>
      <c r="F134" s="358" t="b">
        <v>0</v>
      </c>
      <c r="G134" s="358" t="b">
        <v>0</v>
      </c>
      <c r="H134" s="358" t="b">
        <v>0</v>
      </c>
      <c r="I134" s="358">
        <v>1</v>
      </c>
      <c r="J134" s="358">
        <v>12</v>
      </c>
      <c r="K134" s="358" t="s">
        <v>485</v>
      </c>
      <c r="L134" s="358" t="s">
        <v>881</v>
      </c>
    </row>
    <row r="135" spans="1:12" x14ac:dyDescent="0.2">
      <c r="A135" s="358" t="s">
        <v>882</v>
      </c>
      <c r="B135" s="359" t="s">
        <v>883</v>
      </c>
      <c r="C135" s="358" t="b">
        <v>1</v>
      </c>
      <c r="D135" s="358" t="b">
        <v>1</v>
      </c>
      <c r="E135" s="358" t="b">
        <v>0</v>
      </c>
      <c r="F135" s="358" t="b">
        <v>0</v>
      </c>
      <c r="G135" s="358" t="b">
        <v>0</v>
      </c>
      <c r="H135" s="358" t="b">
        <v>0</v>
      </c>
      <c r="I135" s="358">
        <v>1</v>
      </c>
      <c r="J135" s="358">
        <v>12</v>
      </c>
      <c r="K135" s="358" t="s">
        <v>485</v>
      </c>
      <c r="L135" s="358" t="s">
        <v>884</v>
      </c>
    </row>
    <row r="136" spans="1:12" x14ac:dyDescent="0.2">
      <c r="A136" s="358" t="s">
        <v>885</v>
      </c>
      <c r="B136" s="359" t="s">
        <v>886</v>
      </c>
      <c r="C136" s="358" t="b">
        <v>1</v>
      </c>
      <c r="D136" s="358" t="b">
        <v>1</v>
      </c>
      <c r="E136" s="358" t="b">
        <v>0</v>
      </c>
      <c r="F136" s="358" t="b">
        <v>0</v>
      </c>
      <c r="G136" s="358" t="b">
        <v>0</v>
      </c>
      <c r="H136" s="358" t="b">
        <v>0</v>
      </c>
      <c r="I136" s="358">
        <v>1</v>
      </c>
      <c r="J136" s="358">
        <v>12</v>
      </c>
      <c r="K136" s="358" t="s">
        <v>485</v>
      </c>
      <c r="L136" s="358" t="s">
        <v>887</v>
      </c>
    </row>
    <row r="137" spans="1:12" x14ac:dyDescent="0.2">
      <c r="A137" s="358" t="s">
        <v>888</v>
      </c>
      <c r="B137" s="359" t="s">
        <v>889</v>
      </c>
      <c r="C137" s="358" t="b">
        <v>1</v>
      </c>
      <c r="D137" s="358" t="b">
        <v>1</v>
      </c>
      <c r="E137" s="358" t="b">
        <v>0</v>
      </c>
      <c r="F137" s="358" t="b">
        <v>0</v>
      </c>
      <c r="G137" s="358" t="b">
        <v>0</v>
      </c>
      <c r="H137" s="358" t="b">
        <v>0</v>
      </c>
      <c r="I137" s="358">
        <v>1</v>
      </c>
      <c r="J137" s="358">
        <v>12</v>
      </c>
      <c r="K137" s="358" t="s">
        <v>485</v>
      </c>
      <c r="L137" s="358" t="s">
        <v>890</v>
      </c>
    </row>
    <row r="138" spans="1:12" x14ac:dyDescent="0.2">
      <c r="A138" s="358" t="s">
        <v>891</v>
      </c>
      <c r="B138" s="359" t="s">
        <v>892</v>
      </c>
      <c r="C138" s="358" t="b">
        <v>1</v>
      </c>
      <c r="D138" s="358" t="b">
        <v>1</v>
      </c>
      <c r="E138" s="358" t="b">
        <v>0</v>
      </c>
      <c r="F138" s="358" t="b">
        <v>0</v>
      </c>
      <c r="G138" s="358" t="b">
        <v>0</v>
      </c>
      <c r="H138" s="358" t="b">
        <v>0</v>
      </c>
      <c r="I138" s="358">
        <v>1</v>
      </c>
      <c r="J138" s="358">
        <v>12</v>
      </c>
      <c r="K138" s="358" t="s">
        <v>485</v>
      </c>
      <c r="L138" s="358" t="s">
        <v>893</v>
      </c>
    </row>
    <row r="139" spans="1:12" x14ac:dyDescent="0.2">
      <c r="A139" s="358" t="s">
        <v>894</v>
      </c>
      <c r="B139" s="359" t="s">
        <v>895</v>
      </c>
      <c r="C139" s="358" t="b">
        <v>1</v>
      </c>
      <c r="D139" s="358" t="b">
        <v>1</v>
      </c>
      <c r="E139" s="358" t="b">
        <v>0</v>
      </c>
      <c r="F139" s="358" t="b">
        <v>0</v>
      </c>
      <c r="G139" s="358" t="b">
        <v>0</v>
      </c>
      <c r="H139" s="358" t="b">
        <v>0</v>
      </c>
      <c r="I139" s="358">
        <v>1</v>
      </c>
      <c r="J139" s="358">
        <v>12</v>
      </c>
      <c r="K139" s="358" t="s">
        <v>485</v>
      </c>
      <c r="L139" s="358" t="s">
        <v>896</v>
      </c>
    </row>
    <row r="140" spans="1:12" x14ac:dyDescent="0.2">
      <c r="A140" s="358" t="s">
        <v>897</v>
      </c>
      <c r="B140" s="359" t="s">
        <v>898</v>
      </c>
      <c r="C140" s="358" t="b">
        <v>1</v>
      </c>
      <c r="D140" s="358" t="b">
        <v>1</v>
      </c>
      <c r="E140" s="358" t="b">
        <v>0</v>
      </c>
      <c r="F140" s="358" t="b">
        <v>0</v>
      </c>
      <c r="G140" s="358" t="b">
        <v>0</v>
      </c>
      <c r="H140" s="358" t="b">
        <v>0</v>
      </c>
      <c r="I140" s="358">
        <v>1</v>
      </c>
      <c r="J140" s="358">
        <v>12</v>
      </c>
      <c r="K140" s="358" t="s">
        <v>485</v>
      </c>
      <c r="L140" s="358" t="s">
        <v>899</v>
      </c>
    </row>
    <row r="141" spans="1:12" x14ac:dyDescent="0.2">
      <c r="A141" s="358" t="s">
        <v>900</v>
      </c>
      <c r="B141" s="359" t="s">
        <v>901</v>
      </c>
      <c r="C141" s="358" t="b">
        <v>1</v>
      </c>
      <c r="D141" s="358" t="b">
        <v>1</v>
      </c>
      <c r="E141" s="358" t="b">
        <v>0</v>
      </c>
      <c r="F141" s="358" t="b">
        <v>0</v>
      </c>
      <c r="G141" s="358" t="b">
        <v>0</v>
      </c>
      <c r="H141" s="358" t="b">
        <v>0</v>
      </c>
      <c r="I141" s="358">
        <v>1</v>
      </c>
      <c r="J141" s="358">
        <v>12</v>
      </c>
      <c r="K141" s="358" t="s">
        <v>485</v>
      </c>
      <c r="L141" s="358" t="s">
        <v>902</v>
      </c>
    </row>
    <row r="142" spans="1:12" x14ac:dyDescent="0.2">
      <c r="A142" s="358" t="s">
        <v>903</v>
      </c>
      <c r="B142" s="359" t="s">
        <v>904</v>
      </c>
      <c r="C142" s="358" t="b">
        <v>1</v>
      </c>
      <c r="D142" s="358" t="b">
        <v>1</v>
      </c>
      <c r="E142" s="358" t="b">
        <v>0</v>
      </c>
      <c r="F142" s="358" t="b">
        <v>0</v>
      </c>
      <c r="G142" s="358" t="b">
        <v>0</v>
      </c>
      <c r="H142" s="358" t="b">
        <v>0</v>
      </c>
      <c r="I142" s="358">
        <v>1</v>
      </c>
      <c r="J142" s="358">
        <v>12</v>
      </c>
      <c r="K142" s="358" t="s">
        <v>485</v>
      </c>
      <c r="L142" s="358" t="s">
        <v>905</v>
      </c>
    </row>
    <row r="143" spans="1:12" x14ac:dyDescent="0.2">
      <c r="A143" s="358" t="s">
        <v>906</v>
      </c>
      <c r="B143" s="359" t="s">
        <v>907</v>
      </c>
      <c r="C143" s="358" t="b">
        <v>1</v>
      </c>
      <c r="D143" s="358" t="b">
        <v>1</v>
      </c>
      <c r="E143" s="358" t="b">
        <v>0</v>
      </c>
      <c r="F143" s="358" t="b">
        <v>0</v>
      </c>
      <c r="G143" s="358" t="b">
        <v>0</v>
      </c>
      <c r="H143" s="358" t="b">
        <v>0</v>
      </c>
      <c r="I143" s="358">
        <v>1</v>
      </c>
      <c r="J143" s="358">
        <v>12</v>
      </c>
      <c r="K143" s="358" t="s">
        <v>485</v>
      </c>
      <c r="L143" s="358" t="s">
        <v>908</v>
      </c>
    </row>
    <row r="144" spans="1:12" x14ac:dyDescent="0.2">
      <c r="A144" s="358" t="s">
        <v>909</v>
      </c>
      <c r="B144" s="359" t="s">
        <v>910</v>
      </c>
      <c r="C144" s="358" t="b">
        <v>1</v>
      </c>
      <c r="D144" s="358" t="b">
        <v>1</v>
      </c>
      <c r="E144" s="358" t="b">
        <v>0</v>
      </c>
      <c r="F144" s="358" t="b">
        <v>0</v>
      </c>
      <c r="G144" s="358" t="b">
        <v>0</v>
      </c>
      <c r="H144" s="358" t="b">
        <v>0</v>
      </c>
      <c r="I144" s="358">
        <v>1</v>
      </c>
      <c r="J144" s="358">
        <v>12</v>
      </c>
      <c r="K144" s="358" t="s">
        <v>485</v>
      </c>
      <c r="L144" s="358" t="s">
        <v>911</v>
      </c>
    </row>
    <row r="145" spans="1:12" x14ac:dyDescent="0.2">
      <c r="A145" s="358" t="s">
        <v>912</v>
      </c>
      <c r="B145" s="359" t="s">
        <v>913</v>
      </c>
      <c r="C145" s="358" t="b">
        <v>1</v>
      </c>
      <c r="D145" s="358" t="b">
        <v>1</v>
      </c>
      <c r="E145" s="358" t="b">
        <v>0</v>
      </c>
      <c r="F145" s="358" t="b">
        <v>0</v>
      </c>
      <c r="G145" s="358" t="b">
        <v>0</v>
      </c>
      <c r="H145" s="358" t="b">
        <v>0</v>
      </c>
      <c r="I145" s="358">
        <v>1</v>
      </c>
      <c r="J145" s="358">
        <v>12</v>
      </c>
      <c r="K145" s="358" t="s">
        <v>485</v>
      </c>
      <c r="L145" s="358" t="s">
        <v>914</v>
      </c>
    </row>
    <row r="146" spans="1:12" x14ac:dyDescent="0.2">
      <c r="A146" s="358" t="s">
        <v>915</v>
      </c>
      <c r="B146" s="359" t="s">
        <v>916</v>
      </c>
      <c r="C146" s="358" t="b">
        <v>1</v>
      </c>
      <c r="D146" s="358" t="b">
        <v>1</v>
      </c>
      <c r="E146" s="358" t="b">
        <v>0</v>
      </c>
      <c r="F146" s="358" t="b">
        <v>0</v>
      </c>
      <c r="G146" s="358" t="b">
        <v>0</v>
      </c>
      <c r="H146" s="358" t="b">
        <v>0</v>
      </c>
      <c r="I146" s="358">
        <v>1</v>
      </c>
      <c r="J146" s="358">
        <v>12</v>
      </c>
      <c r="K146" s="358" t="s">
        <v>485</v>
      </c>
      <c r="L146" s="358" t="s">
        <v>917</v>
      </c>
    </row>
    <row r="147" spans="1:12" x14ac:dyDescent="0.2">
      <c r="A147" s="358" t="s">
        <v>918</v>
      </c>
      <c r="B147" s="359" t="s">
        <v>919</v>
      </c>
      <c r="C147" s="358" t="b">
        <v>1</v>
      </c>
      <c r="D147" s="358" t="b">
        <v>1</v>
      </c>
      <c r="E147" s="358" t="b">
        <v>0</v>
      </c>
      <c r="F147" s="358" t="b">
        <v>0</v>
      </c>
      <c r="G147" s="358" t="b">
        <v>0</v>
      </c>
      <c r="H147" s="358" t="b">
        <v>0</v>
      </c>
      <c r="I147" s="358">
        <v>1</v>
      </c>
      <c r="J147" s="358">
        <v>12</v>
      </c>
      <c r="K147" s="358" t="s">
        <v>485</v>
      </c>
      <c r="L147" s="358" t="s">
        <v>920</v>
      </c>
    </row>
    <row r="148" spans="1:12" x14ac:dyDescent="0.2">
      <c r="A148" s="358" t="s">
        <v>921</v>
      </c>
      <c r="B148" s="359" t="s">
        <v>922</v>
      </c>
      <c r="C148" s="358" t="b">
        <v>1</v>
      </c>
      <c r="D148" s="358" t="b">
        <v>1</v>
      </c>
      <c r="E148" s="358" t="b">
        <v>0</v>
      </c>
      <c r="F148" s="358" t="b">
        <v>0</v>
      </c>
      <c r="G148" s="358" t="b">
        <v>0</v>
      </c>
      <c r="H148" s="358" t="b">
        <v>0</v>
      </c>
      <c r="I148" s="358">
        <v>1</v>
      </c>
      <c r="J148" s="358">
        <v>12</v>
      </c>
      <c r="K148" s="358" t="s">
        <v>485</v>
      </c>
      <c r="L148" s="358" t="s">
        <v>923</v>
      </c>
    </row>
    <row r="149" spans="1:12" x14ac:dyDescent="0.2">
      <c r="A149" s="358" t="s">
        <v>924</v>
      </c>
      <c r="B149" s="359" t="s">
        <v>925</v>
      </c>
      <c r="C149" s="358" t="b">
        <v>1</v>
      </c>
      <c r="D149" s="358" t="b">
        <v>1</v>
      </c>
      <c r="E149" s="358" t="b">
        <v>0</v>
      </c>
      <c r="F149" s="358" t="b">
        <v>0</v>
      </c>
      <c r="G149" s="358" t="b">
        <v>0</v>
      </c>
      <c r="H149" s="358" t="b">
        <v>0</v>
      </c>
      <c r="I149" s="358">
        <v>1</v>
      </c>
      <c r="J149" s="358">
        <v>12</v>
      </c>
      <c r="K149" s="358" t="s">
        <v>485</v>
      </c>
      <c r="L149" s="358" t="s">
        <v>926</v>
      </c>
    </row>
    <row r="150" spans="1:12" x14ac:dyDescent="0.2">
      <c r="A150" s="358" t="s">
        <v>927</v>
      </c>
      <c r="B150" s="359" t="s">
        <v>928</v>
      </c>
      <c r="C150" s="358" t="b">
        <v>1</v>
      </c>
      <c r="D150" s="358" t="b">
        <v>1</v>
      </c>
      <c r="E150" s="358" t="b">
        <v>0</v>
      </c>
      <c r="F150" s="358" t="b">
        <v>0</v>
      </c>
      <c r="G150" s="358" t="b">
        <v>0</v>
      </c>
      <c r="H150" s="358" t="b">
        <v>0</v>
      </c>
      <c r="I150" s="358">
        <v>1</v>
      </c>
      <c r="J150" s="358">
        <v>12</v>
      </c>
      <c r="K150" s="358" t="s">
        <v>485</v>
      </c>
      <c r="L150" s="358" t="s">
        <v>929</v>
      </c>
    </row>
    <row r="151" spans="1:12" x14ac:dyDescent="0.2">
      <c r="A151" s="358" t="s">
        <v>930</v>
      </c>
      <c r="B151" s="359" t="s">
        <v>931</v>
      </c>
      <c r="C151" s="358" t="b">
        <v>1</v>
      </c>
      <c r="D151" s="358" t="b">
        <v>1</v>
      </c>
      <c r="E151" s="358" t="b">
        <v>0</v>
      </c>
      <c r="F151" s="358" t="b">
        <v>0</v>
      </c>
      <c r="G151" s="358" t="b">
        <v>0</v>
      </c>
      <c r="H151" s="358" t="b">
        <v>0</v>
      </c>
      <c r="I151" s="358">
        <v>1</v>
      </c>
      <c r="J151" s="358">
        <v>12</v>
      </c>
      <c r="K151" s="358" t="s">
        <v>485</v>
      </c>
      <c r="L151" s="358" t="s">
        <v>932</v>
      </c>
    </row>
    <row r="152" spans="1:12" x14ac:dyDescent="0.2">
      <c r="A152" s="358" t="s">
        <v>933</v>
      </c>
      <c r="B152" s="359" t="s">
        <v>934</v>
      </c>
      <c r="C152" s="358" t="b">
        <v>1</v>
      </c>
      <c r="D152" s="358" t="b">
        <v>1</v>
      </c>
      <c r="E152" s="358" t="b">
        <v>0</v>
      </c>
      <c r="F152" s="358" t="b">
        <v>0</v>
      </c>
      <c r="G152" s="358" t="b">
        <v>0</v>
      </c>
      <c r="H152" s="358" t="b">
        <v>0</v>
      </c>
      <c r="I152" s="358">
        <v>1</v>
      </c>
      <c r="J152" s="358">
        <v>12</v>
      </c>
      <c r="K152" s="358" t="s">
        <v>485</v>
      </c>
      <c r="L152" s="358" t="s">
        <v>935</v>
      </c>
    </row>
    <row r="153" spans="1:12" x14ac:dyDescent="0.2">
      <c r="A153" s="358" t="s">
        <v>936</v>
      </c>
      <c r="B153" s="359" t="s">
        <v>937</v>
      </c>
      <c r="C153" s="358" t="b">
        <v>1</v>
      </c>
      <c r="D153" s="358" t="b">
        <v>1</v>
      </c>
      <c r="E153" s="358" t="b">
        <v>0</v>
      </c>
      <c r="F153" s="358" t="b">
        <v>0</v>
      </c>
      <c r="G153" s="358" t="b">
        <v>0</v>
      </c>
      <c r="H153" s="358" t="b">
        <v>0</v>
      </c>
      <c r="I153" s="358">
        <v>1</v>
      </c>
      <c r="J153" s="358">
        <v>12</v>
      </c>
      <c r="K153" s="358" t="s">
        <v>485</v>
      </c>
      <c r="L153" s="358" t="s">
        <v>938</v>
      </c>
    </row>
    <row r="154" spans="1:12" x14ac:dyDescent="0.2">
      <c r="A154" s="358" t="s">
        <v>939</v>
      </c>
      <c r="B154" s="359" t="s">
        <v>940</v>
      </c>
      <c r="C154" s="358" t="b">
        <v>1</v>
      </c>
      <c r="D154" s="358" t="b">
        <v>1</v>
      </c>
      <c r="E154" s="358" t="b">
        <v>0</v>
      </c>
      <c r="F154" s="358" t="b">
        <v>0</v>
      </c>
      <c r="G154" s="358" t="b">
        <v>0</v>
      </c>
      <c r="H154" s="358" t="b">
        <v>0</v>
      </c>
      <c r="I154" s="358">
        <v>1</v>
      </c>
      <c r="J154" s="358">
        <v>12</v>
      </c>
      <c r="K154" s="358" t="s">
        <v>485</v>
      </c>
      <c r="L154" s="358" t="s">
        <v>941</v>
      </c>
    </row>
    <row r="155" spans="1:12" x14ac:dyDescent="0.2">
      <c r="A155" s="358" t="s">
        <v>942</v>
      </c>
      <c r="B155" s="359" t="s">
        <v>943</v>
      </c>
      <c r="C155" s="358" t="b">
        <v>1</v>
      </c>
      <c r="D155" s="358" t="b">
        <v>1</v>
      </c>
      <c r="E155" s="358" t="b">
        <v>0</v>
      </c>
      <c r="F155" s="358" t="b">
        <v>0</v>
      </c>
      <c r="G155" s="358" t="b">
        <v>0</v>
      </c>
      <c r="H155" s="358" t="b">
        <v>0</v>
      </c>
      <c r="I155" s="358">
        <v>1</v>
      </c>
      <c r="J155" s="358">
        <v>12</v>
      </c>
      <c r="K155" s="358" t="s">
        <v>485</v>
      </c>
      <c r="L155" s="358" t="s">
        <v>944</v>
      </c>
    </row>
    <row r="156" spans="1:12" x14ac:dyDescent="0.2">
      <c r="A156" s="358" t="s">
        <v>945</v>
      </c>
      <c r="B156" s="359" t="s">
        <v>946</v>
      </c>
      <c r="C156" s="358" t="b">
        <v>1</v>
      </c>
      <c r="D156" s="358" t="b">
        <v>1</v>
      </c>
      <c r="E156" s="358" t="b">
        <v>0</v>
      </c>
      <c r="F156" s="358" t="b">
        <v>0</v>
      </c>
      <c r="G156" s="358" t="b">
        <v>0</v>
      </c>
      <c r="H156" s="358" t="b">
        <v>0</v>
      </c>
      <c r="I156" s="358">
        <v>1</v>
      </c>
      <c r="J156" s="358">
        <v>12</v>
      </c>
      <c r="K156" s="358" t="s">
        <v>485</v>
      </c>
      <c r="L156" s="358" t="s">
        <v>947</v>
      </c>
    </row>
    <row r="157" spans="1:12" x14ac:dyDescent="0.2">
      <c r="A157" s="358" t="s">
        <v>948</v>
      </c>
      <c r="B157" s="359" t="s">
        <v>949</v>
      </c>
      <c r="C157" s="358" t="b">
        <v>1</v>
      </c>
      <c r="D157" s="358" t="b">
        <v>1</v>
      </c>
      <c r="E157" s="358" t="b">
        <v>0</v>
      </c>
      <c r="F157" s="358" t="b">
        <v>0</v>
      </c>
      <c r="G157" s="358" t="b">
        <v>0</v>
      </c>
      <c r="H157" s="358" t="b">
        <v>0</v>
      </c>
      <c r="I157" s="358">
        <v>1</v>
      </c>
      <c r="J157" s="358">
        <v>12</v>
      </c>
      <c r="K157" s="358" t="s">
        <v>485</v>
      </c>
      <c r="L157" s="358" t="s">
        <v>950</v>
      </c>
    </row>
    <row r="158" spans="1:12" x14ac:dyDescent="0.2">
      <c r="A158" s="358" t="s">
        <v>951</v>
      </c>
      <c r="B158" s="359" t="s">
        <v>952</v>
      </c>
      <c r="C158" s="358" t="b">
        <v>1</v>
      </c>
      <c r="D158" s="358" t="b">
        <v>1</v>
      </c>
      <c r="E158" s="358" t="b">
        <v>0</v>
      </c>
      <c r="F158" s="358" t="b">
        <v>0</v>
      </c>
      <c r="G158" s="358" t="b">
        <v>0</v>
      </c>
      <c r="H158" s="358" t="b">
        <v>0</v>
      </c>
      <c r="I158" s="358">
        <v>1</v>
      </c>
      <c r="J158" s="358">
        <v>1</v>
      </c>
      <c r="K158" s="358" t="s">
        <v>485</v>
      </c>
      <c r="L158" s="358" t="s">
        <v>953</v>
      </c>
    </row>
    <row r="159" spans="1:12" x14ac:dyDescent="0.2">
      <c r="A159" s="358" t="s">
        <v>954</v>
      </c>
      <c r="B159" s="359" t="s">
        <v>955</v>
      </c>
      <c r="C159" s="358" t="b">
        <v>1</v>
      </c>
      <c r="D159" s="358" t="b">
        <v>1</v>
      </c>
      <c r="E159" s="358" t="b">
        <v>0</v>
      </c>
      <c r="F159" s="358" t="b">
        <v>0</v>
      </c>
      <c r="G159" s="358" t="b">
        <v>0</v>
      </c>
      <c r="H159" s="358" t="b">
        <v>0</v>
      </c>
      <c r="I159" s="358">
        <v>1</v>
      </c>
      <c r="J159" s="358">
        <v>1</v>
      </c>
      <c r="K159" s="358" t="s">
        <v>485</v>
      </c>
      <c r="L159" s="358" t="s">
        <v>956</v>
      </c>
    </row>
    <row r="160" spans="1:12" x14ac:dyDescent="0.2">
      <c r="A160" s="358" t="s">
        <v>957</v>
      </c>
      <c r="B160" s="359" t="s">
        <v>958</v>
      </c>
      <c r="C160" s="358" t="b">
        <v>1</v>
      </c>
      <c r="D160" s="358" t="b">
        <v>1</v>
      </c>
      <c r="E160" s="358" t="b">
        <v>0</v>
      </c>
      <c r="F160" s="358" t="b">
        <v>0</v>
      </c>
      <c r="G160" s="358" t="b">
        <v>0</v>
      </c>
      <c r="H160" s="358" t="b">
        <v>0</v>
      </c>
      <c r="I160" s="358">
        <v>1</v>
      </c>
      <c r="J160" s="358">
        <v>1</v>
      </c>
      <c r="K160" s="358" t="s">
        <v>485</v>
      </c>
      <c r="L160" s="358" t="s">
        <v>959</v>
      </c>
    </row>
    <row r="161" spans="1:12" x14ac:dyDescent="0.2">
      <c r="A161" s="358" t="s">
        <v>960</v>
      </c>
      <c r="B161" s="359" t="s">
        <v>961</v>
      </c>
      <c r="C161" s="358" t="b">
        <v>1</v>
      </c>
      <c r="D161" s="358" t="b">
        <v>1</v>
      </c>
      <c r="E161" s="358" t="b">
        <v>0</v>
      </c>
      <c r="F161" s="358" t="b">
        <v>0</v>
      </c>
      <c r="G161" s="358" t="b">
        <v>0</v>
      </c>
      <c r="H161" s="358" t="b">
        <v>0</v>
      </c>
      <c r="I161" s="358">
        <v>1</v>
      </c>
      <c r="J161" s="358">
        <v>1</v>
      </c>
      <c r="K161" s="358" t="s">
        <v>485</v>
      </c>
      <c r="L161" s="358" t="s">
        <v>962</v>
      </c>
    </row>
    <row r="162" spans="1:12" x14ac:dyDescent="0.2">
      <c r="A162" s="358" t="s">
        <v>963</v>
      </c>
      <c r="B162" s="359" t="s">
        <v>964</v>
      </c>
      <c r="C162" s="358" t="b">
        <v>1</v>
      </c>
      <c r="D162" s="358" t="b">
        <v>1</v>
      </c>
      <c r="E162" s="358" t="b">
        <v>0</v>
      </c>
      <c r="F162" s="358" t="b">
        <v>0</v>
      </c>
      <c r="G162" s="358" t="b">
        <v>0</v>
      </c>
      <c r="H162" s="358" t="b">
        <v>0</v>
      </c>
      <c r="I162" s="358">
        <v>1</v>
      </c>
      <c r="J162" s="358">
        <v>1</v>
      </c>
      <c r="K162" s="358" t="s">
        <v>485</v>
      </c>
      <c r="L162" s="358" t="s">
        <v>965</v>
      </c>
    </row>
    <row r="163" spans="1:12" x14ac:dyDescent="0.2">
      <c r="A163" s="358" t="s">
        <v>966</v>
      </c>
      <c r="B163" s="359" t="s">
        <v>967</v>
      </c>
      <c r="C163" s="358" t="b">
        <v>1</v>
      </c>
      <c r="D163" s="358" t="b">
        <v>1</v>
      </c>
      <c r="E163" s="358" t="b">
        <v>0</v>
      </c>
      <c r="F163" s="358" t="b">
        <v>0</v>
      </c>
      <c r="G163" s="358" t="b">
        <v>0</v>
      </c>
      <c r="H163" s="358" t="b">
        <v>0</v>
      </c>
      <c r="I163" s="358">
        <v>1</v>
      </c>
      <c r="J163" s="358">
        <v>1</v>
      </c>
      <c r="K163" s="358" t="s">
        <v>485</v>
      </c>
      <c r="L163" s="358" t="s">
        <v>968</v>
      </c>
    </row>
    <row r="164" spans="1:12" x14ac:dyDescent="0.2">
      <c r="A164" s="358" t="s">
        <v>969</v>
      </c>
      <c r="B164" s="359" t="s">
        <v>970</v>
      </c>
      <c r="C164" s="358" t="b">
        <v>1</v>
      </c>
      <c r="D164" s="358" t="b">
        <v>1</v>
      </c>
      <c r="E164" s="358" t="b">
        <v>0</v>
      </c>
      <c r="F164" s="358" t="b">
        <v>0</v>
      </c>
      <c r="G164" s="358" t="b">
        <v>0</v>
      </c>
      <c r="H164" s="358" t="b">
        <v>0</v>
      </c>
      <c r="I164" s="358">
        <v>1</v>
      </c>
      <c r="J164" s="358">
        <v>1</v>
      </c>
      <c r="K164" s="358" t="s">
        <v>485</v>
      </c>
      <c r="L164" s="358" t="s">
        <v>971</v>
      </c>
    </row>
    <row r="165" spans="1:12" x14ac:dyDescent="0.2">
      <c r="A165" s="358" t="s">
        <v>972</v>
      </c>
      <c r="B165" s="359" t="s">
        <v>973</v>
      </c>
      <c r="C165" s="358" t="b">
        <v>1</v>
      </c>
      <c r="D165" s="358" t="b">
        <v>1</v>
      </c>
      <c r="E165" s="358" t="b">
        <v>0</v>
      </c>
      <c r="F165" s="358" t="b">
        <v>0</v>
      </c>
      <c r="G165" s="358" t="b">
        <v>0</v>
      </c>
      <c r="H165" s="358" t="b">
        <v>0</v>
      </c>
      <c r="I165" s="358">
        <v>1</v>
      </c>
      <c r="J165" s="358">
        <v>1</v>
      </c>
      <c r="K165" s="358" t="s">
        <v>485</v>
      </c>
      <c r="L165" s="358" t="s">
        <v>974</v>
      </c>
    </row>
    <row r="166" spans="1:12" x14ac:dyDescent="0.2">
      <c r="A166" s="358" t="s">
        <v>975</v>
      </c>
      <c r="B166" s="359" t="s">
        <v>976</v>
      </c>
      <c r="C166" s="358" t="b">
        <v>1</v>
      </c>
      <c r="D166" s="358" t="b">
        <v>1</v>
      </c>
      <c r="E166" s="358" t="b">
        <v>0</v>
      </c>
      <c r="F166" s="358" t="b">
        <v>0</v>
      </c>
      <c r="G166" s="358" t="b">
        <v>0</v>
      </c>
      <c r="H166" s="358" t="b">
        <v>0</v>
      </c>
      <c r="I166" s="358">
        <v>1</v>
      </c>
      <c r="J166" s="358">
        <v>1</v>
      </c>
      <c r="K166" s="358" t="s">
        <v>485</v>
      </c>
      <c r="L166" s="358" t="s">
        <v>977</v>
      </c>
    </row>
    <row r="167" spans="1:12" x14ac:dyDescent="0.2">
      <c r="A167" s="358" t="s">
        <v>978</v>
      </c>
      <c r="B167" s="359" t="s">
        <v>979</v>
      </c>
      <c r="C167" s="358" t="b">
        <v>1</v>
      </c>
      <c r="D167" s="358" t="b">
        <v>1</v>
      </c>
      <c r="E167" s="358" t="b">
        <v>0</v>
      </c>
      <c r="F167" s="358" t="b">
        <v>0</v>
      </c>
      <c r="G167" s="358" t="b">
        <v>0</v>
      </c>
      <c r="H167" s="358" t="b">
        <v>0</v>
      </c>
      <c r="I167" s="358">
        <v>1</v>
      </c>
      <c r="J167" s="358">
        <v>1</v>
      </c>
      <c r="K167" s="358" t="s">
        <v>485</v>
      </c>
      <c r="L167" s="358" t="s">
        <v>980</v>
      </c>
    </row>
    <row r="168" spans="1:12" x14ac:dyDescent="0.2">
      <c r="A168" s="358" t="s">
        <v>981</v>
      </c>
      <c r="B168" s="359" t="s">
        <v>982</v>
      </c>
      <c r="C168" s="358" t="b">
        <v>1</v>
      </c>
      <c r="D168" s="358" t="b">
        <v>1</v>
      </c>
      <c r="E168" s="358" t="b">
        <v>0</v>
      </c>
      <c r="F168" s="358" t="b">
        <v>0</v>
      </c>
      <c r="G168" s="358" t="b">
        <v>0</v>
      </c>
      <c r="H168" s="358" t="b">
        <v>0</v>
      </c>
      <c r="I168" s="358">
        <v>1</v>
      </c>
      <c r="J168" s="358">
        <v>12</v>
      </c>
      <c r="K168" s="358" t="s">
        <v>485</v>
      </c>
      <c r="L168" s="358" t="s">
        <v>983</v>
      </c>
    </row>
    <row r="169" spans="1:12" x14ac:dyDescent="0.2">
      <c r="A169" s="358" t="s">
        <v>984</v>
      </c>
      <c r="B169" s="359" t="s">
        <v>985</v>
      </c>
      <c r="C169" s="358" t="b">
        <v>1</v>
      </c>
      <c r="D169" s="358" t="b">
        <v>1</v>
      </c>
      <c r="E169" s="358" t="b">
        <v>0</v>
      </c>
      <c r="F169" s="358" t="b">
        <v>0</v>
      </c>
      <c r="G169" s="358" t="b">
        <v>0</v>
      </c>
      <c r="H169" s="358" t="b">
        <v>0</v>
      </c>
      <c r="I169" s="358">
        <v>1</v>
      </c>
      <c r="J169" s="358">
        <v>12</v>
      </c>
      <c r="K169" s="358" t="s">
        <v>485</v>
      </c>
      <c r="L169" s="358" t="s">
        <v>986</v>
      </c>
    </row>
    <row r="170" spans="1:12" x14ac:dyDescent="0.2">
      <c r="A170" s="358" t="s">
        <v>987</v>
      </c>
      <c r="B170" s="359" t="s">
        <v>988</v>
      </c>
      <c r="C170" s="358" t="b">
        <v>1</v>
      </c>
      <c r="D170" s="358" t="b">
        <v>1</v>
      </c>
      <c r="E170" s="358" t="b">
        <v>0</v>
      </c>
      <c r="F170" s="358" t="b">
        <v>0</v>
      </c>
      <c r="G170" s="358" t="b">
        <v>0</v>
      </c>
      <c r="H170" s="358" t="b">
        <v>0</v>
      </c>
      <c r="I170" s="358">
        <v>1</v>
      </c>
      <c r="J170" s="358">
        <v>12</v>
      </c>
      <c r="K170" s="358" t="s">
        <v>485</v>
      </c>
      <c r="L170" s="358" t="s">
        <v>989</v>
      </c>
    </row>
    <row r="171" spans="1:12" x14ac:dyDescent="0.2">
      <c r="A171" s="358" t="s">
        <v>990</v>
      </c>
      <c r="B171" s="359" t="s">
        <v>991</v>
      </c>
      <c r="C171" s="358" t="b">
        <v>1</v>
      </c>
      <c r="D171" s="358" t="b">
        <v>1</v>
      </c>
      <c r="E171" s="358" t="b">
        <v>0</v>
      </c>
      <c r="F171" s="358" t="b">
        <v>0</v>
      </c>
      <c r="G171" s="358" t="b">
        <v>0</v>
      </c>
      <c r="H171" s="358" t="b">
        <v>0</v>
      </c>
      <c r="I171" s="358">
        <v>1</v>
      </c>
      <c r="J171" s="358">
        <v>12</v>
      </c>
      <c r="K171" s="358" t="s">
        <v>485</v>
      </c>
      <c r="L171" s="358" t="s">
        <v>992</v>
      </c>
    </row>
    <row r="172" spans="1:12" x14ac:dyDescent="0.2">
      <c r="A172" s="358" t="s">
        <v>993</v>
      </c>
      <c r="B172" s="359" t="s">
        <v>994</v>
      </c>
      <c r="C172" s="358" t="b">
        <v>1</v>
      </c>
      <c r="D172" s="358" t="b">
        <v>1</v>
      </c>
      <c r="E172" s="358" t="b">
        <v>0</v>
      </c>
      <c r="F172" s="358" t="b">
        <v>0</v>
      </c>
      <c r="G172" s="358" t="b">
        <v>0</v>
      </c>
      <c r="H172" s="358" t="b">
        <v>0</v>
      </c>
      <c r="I172" s="358">
        <v>1</v>
      </c>
      <c r="J172" s="358">
        <v>12</v>
      </c>
      <c r="K172" s="358" t="s">
        <v>485</v>
      </c>
      <c r="L172" s="358" t="s">
        <v>995</v>
      </c>
    </row>
    <row r="173" spans="1:12" x14ac:dyDescent="0.2">
      <c r="A173" s="358" t="s">
        <v>996</v>
      </c>
      <c r="B173" s="359" t="s">
        <v>997</v>
      </c>
      <c r="C173" s="358" t="b">
        <v>1</v>
      </c>
      <c r="D173" s="358" t="b">
        <v>1</v>
      </c>
      <c r="E173" s="358" t="b">
        <v>0</v>
      </c>
      <c r="F173" s="358" t="b">
        <v>0</v>
      </c>
      <c r="G173" s="358" t="b">
        <v>0</v>
      </c>
      <c r="H173" s="358" t="b">
        <v>0</v>
      </c>
      <c r="I173" s="358">
        <v>1</v>
      </c>
      <c r="J173" s="358">
        <v>12</v>
      </c>
      <c r="K173" s="358" t="s">
        <v>485</v>
      </c>
      <c r="L173" s="358" t="s">
        <v>998</v>
      </c>
    </row>
    <row r="174" spans="1:12" x14ac:dyDescent="0.2">
      <c r="A174" s="358" t="s">
        <v>999</v>
      </c>
      <c r="B174" s="359" t="s">
        <v>1000</v>
      </c>
      <c r="C174" s="358" t="b">
        <v>1</v>
      </c>
      <c r="D174" s="358" t="b">
        <v>1</v>
      </c>
      <c r="E174" s="358" t="b">
        <v>0</v>
      </c>
      <c r="F174" s="358" t="b">
        <v>0</v>
      </c>
      <c r="G174" s="358" t="b">
        <v>0</v>
      </c>
      <c r="H174" s="358" t="b">
        <v>0</v>
      </c>
      <c r="I174" s="358">
        <v>1</v>
      </c>
      <c r="J174" s="358">
        <v>12</v>
      </c>
      <c r="K174" s="358" t="s">
        <v>485</v>
      </c>
      <c r="L174" s="358" t="s">
        <v>1001</v>
      </c>
    </row>
    <row r="175" spans="1:12" x14ac:dyDescent="0.2">
      <c r="A175" s="358" t="s">
        <v>1002</v>
      </c>
      <c r="B175" s="359" t="s">
        <v>1003</v>
      </c>
      <c r="C175" s="358" t="b">
        <v>1</v>
      </c>
      <c r="D175" s="358" t="b">
        <v>1</v>
      </c>
      <c r="E175" s="358" t="b">
        <v>0</v>
      </c>
      <c r="F175" s="358" t="b">
        <v>0</v>
      </c>
      <c r="G175" s="358" t="b">
        <v>0</v>
      </c>
      <c r="H175" s="358" t="b">
        <v>0</v>
      </c>
      <c r="I175" s="358">
        <v>1</v>
      </c>
      <c r="J175" s="358">
        <v>12</v>
      </c>
      <c r="K175" s="358" t="s">
        <v>485</v>
      </c>
      <c r="L175" s="358" t="s">
        <v>1004</v>
      </c>
    </row>
    <row r="176" spans="1:12" x14ac:dyDescent="0.2">
      <c r="A176" s="358" t="s">
        <v>1005</v>
      </c>
      <c r="B176" s="359" t="s">
        <v>1006</v>
      </c>
      <c r="C176" s="358" t="b">
        <v>1</v>
      </c>
      <c r="D176" s="358" t="b">
        <v>1</v>
      </c>
      <c r="E176" s="358" t="b">
        <v>0</v>
      </c>
      <c r="F176" s="358" t="b">
        <v>0</v>
      </c>
      <c r="G176" s="358" t="b">
        <v>0</v>
      </c>
      <c r="H176" s="358" t="b">
        <v>0</v>
      </c>
      <c r="I176" s="358">
        <v>1</v>
      </c>
      <c r="J176" s="358">
        <v>12</v>
      </c>
      <c r="K176" s="358" t="s">
        <v>485</v>
      </c>
      <c r="L176" s="358" t="s">
        <v>1007</v>
      </c>
    </row>
    <row r="177" spans="1:12" x14ac:dyDescent="0.2">
      <c r="A177" s="358" t="s">
        <v>1008</v>
      </c>
      <c r="B177" s="359" t="s">
        <v>1009</v>
      </c>
      <c r="C177" s="358" t="b">
        <v>1</v>
      </c>
      <c r="D177" s="358" t="b">
        <v>1</v>
      </c>
      <c r="E177" s="358" t="b">
        <v>0</v>
      </c>
      <c r="F177" s="358" t="b">
        <v>0</v>
      </c>
      <c r="G177" s="358" t="b">
        <v>0</v>
      </c>
      <c r="H177" s="358" t="b">
        <v>0</v>
      </c>
      <c r="I177" s="358">
        <v>1</v>
      </c>
      <c r="J177" s="358">
        <v>12</v>
      </c>
      <c r="K177" s="358" t="s">
        <v>485</v>
      </c>
      <c r="L177" s="358" t="s">
        <v>1010</v>
      </c>
    </row>
    <row r="178" spans="1:12" x14ac:dyDescent="0.2">
      <c r="A178" s="358" t="s">
        <v>1011</v>
      </c>
      <c r="B178" s="359" t="s">
        <v>1012</v>
      </c>
      <c r="C178" s="358" t="b">
        <v>1</v>
      </c>
      <c r="D178" s="358" t="b">
        <v>1</v>
      </c>
      <c r="E178" s="358" t="b">
        <v>0</v>
      </c>
      <c r="F178" s="358" t="b">
        <v>0</v>
      </c>
      <c r="G178" s="358" t="b">
        <v>0</v>
      </c>
      <c r="H178" s="358" t="b">
        <v>0</v>
      </c>
      <c r="I178" s="358">
        <v>1</v>
      </c>
      <c r="J178" s="358">
        <v>1</v>
      </c>
      <c r="K178" s="358" t="s">
        <v>485</v>
      </c>
      <c r="L178" s="358" t="s">
        <v>1013</v>
      </c>
    </row>
    <row r="179" spans="1:12" x14ac:dyDescent="0.2">
      <c r="A179" s="358" t="s">
        <v>1014</v>
      </c>
      <c r="B179" s="359" t="s">
        <v>1015</v>
      </c>
      <c r="C179" s="358" t="b">
        <v>1</v>
      </c>
      <c r="D179" s="358" t="b">
        <v>1</v>
      </c>
      <c r="E179" s="358" t="b">
        <v>0</v>
      </c>
      <c r="F179" s="358" t="b">
        <v>0</v>
      </c>
      <c r="G179" s="358" t="b">
        <v>0</v>
      </c>
      <c r="H179" s="358" t="b">
        <v>0</v>
      </c>
      <c r="I179" s="358">
        <v>1</v>
      </c>
      <c r="J179" s="358">
        <v>12</v>
      </c>
      <c r="K179" s="358" t="s">
        <v>485</v>
      </c>
      <c r="L179" s="358" t="s">
        <v>1016</v>
      </c>
    </row>
    <row r="180" spans="1:12" x14ac:dyDescent="0.2">
      <c r="A180" s="358" t="s">
        <v>1017</v>
      </c>
      <c r="B180" s="359" t="s">
        <v>1018</v>
      </c>
      <c r="C180" s="358" t="b">
        <v>1</v>
      </c>
      <c r="D180" s="358" t="b">
        <v>1</v>
      </c>
      <c r="E180" s="358" t="b">
        <v>0</v>
      </c>
      <c r="F180" s="358" t="b">
        <v>0</v>
      </c>
      <c r="G180" s="358" t="b">
        <v>0</v>
      </c>
      <c r="H180" s="358" t="b">
        <v>0</v>
      </c>
      <c r="I180" s="358">
        <v>1</v>
      </c>
      <c r="J180" s="358">
        <v>1</v>
      </c>
      <c r="K180" s="358" t="s">
        <v>485</v>
      </c>
      <c r="L180" s="358" t="s">
        <v>1019</v>
      </c>
    </row>
    <row r="181" spans="1:12" x14ac:dyDescent="0.2">
      <c r="A181" s="358" t="s">
        <v>1020</v>
      </c>
      <c r="B181" s="359" t="s">
        <v>1021</v>
      </c>
      <c r="C181" s="358" t="b">
        <v>1</v>
      </c>
      <c r="D181" s="358" t="b">
        <v>1</v>
      </c>
      <c r="E181" s="358" t="b">
        <v>0</v>
      </c>
      <c r="F181" s="358" t="b">
        <v>0</v>
      </c>
      <c r="G181" s="358" t="b">
        <v>0</v>
      </c>
      <c r="H181" s="358" t="b">
        <v>0</v>
      </c>
      <c r="I181" s="358">
        <v>1</v>
      </c>
      <c r="J181" s="358">
        <v>1</v>
      </c>
      <c r="K181" s="358" t="s">
        <v>485</v>
      </c>
      <c r="L181" s="358" t="s">
        <v>1022</v>
      </c>
    </row>
    <row r="182" spans="1:12" x14ac:dyDescent="0.2">
      <c r="A182" s="358" t="s">
        <v>1023</v>
      </c>
      <c r="B182" s="359" t="s">
        <v>1024</v>
      </c>
      <c r="C182" s="358" t="b">
        <v>1</v>
      </c>
      <c r="D182" s="358" t="b">
        <v>1</v>
      </c>
      <c r="E182" s="358" t="b">
        <v>0</v>
      </c>
      <c r="F182" s="358" t="b">
        <v>0</v>
      </c>
      <c r="G182" s="358" t="b">
        <v>0</v>
      </c>
      <c r="H182" s="358" t="b">
        <v>0</v>
      </c>
      <c r="I182" s="358">
        <v>1</v>
      </c>
      <c r="J182" s="358">
        <v>1</v>
      </c>
      <c r="K182" s="358" t="s">
        <v>485</v>
      </c>
      <c r="L182" s="358" t="s">
        <v>1025</v>
      </c>
    </row>
    <row r="183" spans="1:12" x14ac:dyDescent="0.2">
      <c r="A183" s="358" t="s">
        <v>1026</v>
      </c>
      <c r="B183" s="359" t="s">
        <v>1027</v>
      </c>
      <c r="C183" s="358" t="b">
        <v>1</v>
      </c>
      <c r="D183" s="358" t="b">
        <v>1</v>
      </c>
      <c r="E183" s="358" t="b">
        <v>0</v>
      </c>
      <c r="F183" s="358" t="b">
        <v>0</v>
      </c>
      <c r="G183" s="358" t="b">
        <v>0</v>
      </c>
      <c r="H183" s="358" t="b">
        <v>0</v>
      </c>
      <c r="I183" s="358">
        <v>1</v>
      </c>
      <c r="J183" s="358">
        <v>1</v>
      </c>
      <c r="K183" s="358" t="s">
        <v>485</v>
      </c>
      <c r="L183" s="358" t="s">
        <v>1028</v>
      </c>
    </row>
    <row r="184" spans="1:12" x14ac:dyDescent="0.2">
      <c r="A184" s="358" t="s">
        <v>1029</v>
      </c>
      <c r="B184" s="359" t="s">
        <v>1030</v>
      </c>
      <c r="C184" s="358" t="b">
        <v>1</v>
      </c>
      <c r="D184" s="358" t="b">
        <v>1</v>
      </c>
      <c r="E184" s="358" t="b">
        <v>0</v>
      </c>
      <c r="F184" s="358" t="b">
        <v>0</v>
      </c>
      <c r="G184" s="358" t="b">
        <v>0</v>
      </c>
      <c r="H184" s="358" t="b">
        <v>0</v>
      </c>
      <c r="I184" s="358">
        <v>1</v>
      </c>
      <c r="J184" s="358">
        <v>12</v>
      </c>
      <c r="K184" s="358" t="s">
        <v>485</v>
      </c>
      <c r="L184" s="358" t="s">
        <v>1031</v>
      </c>
    </row>
    <row r="185" spans="1:12" x14ac:dyDescent="0.2">
      <c r="A185" s="358" t="s">
        <v>1032</v>
      </c>
      <c r="B185" s="359" t="s">
        <v>1033</v>
      </c>
      <c r="C185" s="358" t="b">
        <v>1</v>
      </c>
      <c r="D185" s="358" t="b">
        <v>1</v>
      </c>
      <c r="E185" s="358" t="b">
        <v>0</v>
      </c>
      <c r="F185" s="358" t="b">
        <v>0</v>
      </c>
      <c r="G185" s="358" t="b">
        <v>0</v>
      </c>
      <c r="H185" s="358" t="b">
        <v>0</v>
      </c>
      <c r="I185" s="358">
        <v>1</v>
      </c>
      <c r="J185" s="358">
        <v>12</v>
      </c>
      <c r="K185" s="358" t="s">
        <v>485</v>
      </c>
      <c r="L185" s="358" t="s">
        <v>1034</v>
      </c>
    </row>
    <row r="186" spans="1:12" x14ac:dyDescent="0.2">
      <c r="A186" s="358" t="s">
        <v>1035</v>
      </c>
      <c r="B186" s="359" t="s">
        <v>1036</v>
      </c>
      <c r="C186" s="358" t="b">
        <v>1</v>
      </c>
      <c r="D186" s="358" t="b">
        <v>1</v>
      </c>
      <c r="E186" s="358" t="b">
        <v>0</v>
      </c>
      <c r="F186" s="358" t="b">
        <v>0</v>
      </c>
      <c r="G186" s="358" t="b">
        <v>0</v>
      </c>
      <c r="H186" s="358" t="b">
        <v>0</v>
      </c>
      <c r="I186" s="358">
        <v>1</v>
      </c>
      <c r="J186" s="358">
        <v>12</v>
      </c>
      <c r="K186" s="358" t="s">
        <v>485</v>
      </c>
      <c r="L186" s="358" t="s">
        <v>1037</v>
      </c>
    </row>
    <row r="187" spans="1:12" x14ac:dyDescent="0.2">
      <c r="A187" s="358" t="s">
        <v>1038</v>
      </c>
      <c r="B187" s="359" t="s">
        <v>1039</v>
      </c>
      <c r="C187" s="358" t="b">
        <v>1</v>
      </c>
      <c r="D187" s="358" t="b">
        <v>1</v>
      </c>
      <c r="E187" s="358" t="b">
        <v>0</v>
      </c>
      <c r="F187" s="358" t="b">
        <v>0</v>
      </c>
      <c r="G187" s="358" t="b">
        <v>0</v>
      </c>
      <c r="H187" s="358" t="b">
        <v>0</v>
      </c>
      <c r="I187" s="358">
        <v>1</v>
      </c>
      <c r="J187" s="358">
        <v>12</v>
      </c>
      <c r="K187" s="358" t="s">
        <v>485</v>
      </c>
      <c r="L187" s="358" t="s">
        <v>1040</v>
      </c>
    </row>
    <row r="188" spans="1:12" x14ac:dyDescent="0.2">
      <c r="A188" s="358" t="s">
        <v>1041</v>
      </c>
      <c r="B188" s="359" t="s">
        <v>1042</v>
      </c>
      <c r="C188" s="358" t="b">
        <v>1</v>
      </c>
      <c r="D188" s="358" t="b">
        <v>1</v>
      </c>
      <c r="E188" s="358" t="b">
        <v>0</v>
      </c>
      <c r="F188" s="358" t="b">
        <v>0</v>
      </c>
      <c r="G188" s="358" t="b">
        <v>0</v>
      </c>
      <c r="H188" s="358" t="b">
        <v>0</v>
      </c>
      <c r="I188" s="358">
        <v>1</v>
      </c>
      <c r="J188" s="358">
        <v>12</v>
      </c>
      <c r="K188" s="358" t="s">
        <v>485</v>
      </c>
      <c r="L188" s="358" t="s">
        <v>1043</v>
      </c>
    </row>
    <row r="189" spans="1:12" x14ac:dyDescent="0.2">
      <c r="A189" s="358" t="s">
        <v>1044</v>
      </c>
      <c r="B189" s="359" t="s">
        <v>1045</v>
      </c>
      <c r="C189" s="358" t="b">
        <v>1</v>
      </c>
      <c r="D189" s="358" t="b">
        <v>1</v>
      </c>
      <c r="E189" s="358" t="b">
        <v>0</v>
      </c>
      <c r="F189" s="358" t="b">
        <v>0</v>
      </c>
      <c r="G189" s="358" t="b">
        <v>0</v>
      </c>
      <c r="H189" s="358" t="b">
        <v>0</v>
      </c>
      <c r="I189" s="358">
        <v>1</v>
      </c>
      <c r="J189" s="358">
        <v>12</v>
      </c>
      <c r="K189" s="358" t="s">
        <v>485</v>
      </c>
      <c r="L189" s="358" t="s">
        <v>1046</v>
      </c>
    </row>
    <row r="190" spans="1:12" x14ac:dyDescent="0.2">
      <c r="A190" s="358" t="s">
        <v>1047</v>
      </c>
      <c r="B190" s="359" t="s">
        <v>1048</v>
      </c>
      <c r="C190" s="358" t="b">
        <v>1</v>
      </c>
      <c r="D190" s="358" t="b">
        <v>1</v>
      </c>
      <c r="E190" s="358" t="b">
        <v>0</v>
      </c>
      <c r="F190" s="358" t="b">
        <v>0</v>
      </c>
      <c r="G190" s="358" t="b">
        <v>0</v>
      </c>
      <c r="H190" s="358" t="b">
        <v>0</v>
      </c>
      <c r="I190" s="358">
        <v>1</v>
      </c>
      <c r="J190" s="358">
        <v>12</v>
      </c>
      <c r="K190" s="358" t="s">
        <v>485</v>
      </c>
      <c r="L190" s="358" t="s">
        <v>1049</v>
      </c>
    </row>
    <row r="191" spans="1:12" x14ac:dyDescent="0.2">
      <c r="A191" s="358" t="s">
        <v>1050</v>
      </c>
      <c r="B191" s="359" t="s">
        <v>1051</v>
      </c>
      <c r="C191" s="358" t="b">
        <v>1</v>
      </c>
      <c r="D191" s="358" t="b">
        <v>1</v>
      </c>
      <c r="E191" s="358" t="b">
        <v>0</v>
      </c>
      <c r="F191" s="358" t="b">
        <v>0</v>
      </c>
      <c r="G191" s="358" t="b">
        <v>0</v>
      </c>
      <c r="H191" s="358" t="b">
        <v>0</v>
      </c>
      <c r="I191" s="358">
        <v>1</v>
      </c>
      <c r="J191" s="358">
        <v>12</v>
      </c>
      <c r="K191" s="358" t="s">
        <v>485</v>
      </c>
      <c r="L191" s="358" t="s">
        <v>1052</v>
      </c>
    </row>
    <row r="192" spans="1:12" x14ac:dyDescent="0.2">
      <c r="A192" s="358" t="s">
        <v>1053</v>
      </c>
      <c r="B192" s="359" t="s">
        <v>1054</v>
      </c>
      <c r="C192" s="358" t="b">
        <v>1</v>
      </c>
      <c r="D192" s="358" t="b">
        <v>1</v>
      </c>
      <c r="E192" s="358" t="b">
        <v>0</v>
      </c>
      <c r="F192" s="358" t="b">
        <v>0</v>
      </c>
      <c r="G192" s="358" t="b">
        <v>0</v>
      </c>
      <c r="H192" s="358" t="b">
        <v>0</v>
      </c>
      <c r="I192" s="358">
        <v>1</v>
      </c>
      <c r="J192" s="358">
        <v>12</v>
      </c>
      <c r="K192" s="358" t="s">
        <v>485</v>
      </c>
      <c r="L192" s="358" t="s">
        <v>1055</v>
      </c>
    </row>
    <row r="193" spans="1:12" x14ac:dyDescent="0.2">
      <c r="A193" s="358" t="s">
        <v>1056</v>
      </c>
      <c r="B193" s="359" t="s">
        <v>1057</v>
      </c>
      <c r="C193" s="358" t="b">
        <v>1</v>
      </c>
      <c r="D193" s="358" t="b">
        <v>1</v>
      </c>
      <c r="E193" s="358" t="b">
        <v>0</v>
      </c>
      <c r="F193" s="358" t="b">
        <v>0</v>
      </c>
      <c r="G193" s="358" t="b">
        <v>0</v>
      </c>
      <c r="H193" s="358" t="b">
        <v>0</v>
      </c>
      <c r="I193" s="358">
        <v>1</v>
      </c>
      <c r="J193" s="358">
        <v>12</v>
      </c>
      <c r="K193" s="358" t="s">
        <v>485</v>
      </c>
      <c r="L193" s="358" t="s">
        <v>1058</v>
      </c>
    </row>
    <row r="194" spans="1:12" x14ac:dyDescent="0.2">
      <c r="A194" s="358" t="s">
        <v>1059</v>
      </c>
      <c r="B194" s="359" t="s">
        <v>1060</v>
      </c>
      <c r="C194" s="358" t="b">
        <v>1</v>
      </c>
      <c r="D194" s="358" t="b">
        <v>1</v>
      </c>
      <c r="E194" s="358" t="b">
        <v>0</v>
      </c>
      <c r="F194" s="358" t="b">
        <v>0</v>
      </c>
      <c r="G194" s="358" t="b">
        <v>0</v>
      </c>
      <c r="H194" s="358" t="b">
        <v>0</v>
      </c>
      <c r="I194" s="358">
        <v>1</v>
      </c>
      <c r="J194" s="358">
        <v>12</v>
      </c>
      <c r="K194" s="358" t="s">
        <v>485</v>
      </c>
      <c r="L194" s="358" t="s">
        <v>1061</v>
      </c>
    </row>
    <row r="195" spans="1:12" x14ac:dyDescent="0.2">
      <c r="A195" s="358" t="s">
        <v>1062</v>
      </c>
      <c r="B195" s="359" t="s">
        <v>1063</v>
      </c>
      <c r="C195" s="358" t="b">
        <v>1</v>
      </c>
      <c r="D195" s="358" t="b">
        <v>1</v>
      </c>
      <c r="E195" s="358" t="b">
        <v>0</v>
      </c>
      <c r="F195" s="358" t="b">
        <v>0</v>
      </c>
      <c r="G195" s="358" t="b">
        <v>0</v>
      </c>
      <c r="H195" s="358" t="b">
        <v>0</v>
      </c>
      <c r="I195" s="358">
        <v>1</v>
      </c>
      <c r="J195" s="358">
        <v>12</v>
      </c>
      <c r="K195" s="358" t="s">
        <v>485</v>
      </c>
      <c r="L195" s="358" t="s">
        <v>1064</v>
      </c>
    </row>
    <row r="196" spans="1:12" x14ac:dyDescent="0.2">
      <c r="A196" s="358" t="s">
        <v>1065</v>
      </c>
      <c r="B196" s="359" t="s">
        <v>1066</v>
      </c>
      <c r="C196" s="358" t="b">
        <v>1</v>
      </c>
      <c r="D196" s="358" t="b">
        <v>1</v>
      </c>
      <c r="E196" s="358" t="b">
        <v>0</v>
      </c>
      <c r="F196" s="358" t="b">
        <v>0</v>
      </c>
      <c r="G196" s="358" t="b">
        <v>0</v>
      </c>
      <c r="H196" s="358" t="b">
        <v>0</v>
      </c>
      <c r="I196" s="358">
        <v>1</v>
      </c>
      <c r="J196" s="358">
        <v>12</v>
      </c>
      <c r="K196" s="358" t="s">
        <v>485</v>
      </c>
      <c r="L196" s="358" t="s">
        <v>1067</v>
      </c>
    </row>
    <row r="197" spans="1:12" x14ac:dyDescent="0.2">
      <c r="A197" s="358" t="s">
        <v>1068</v>
      </c>
      <c r="B197" s="359" t="s">
        <v>1069</v>
      </c>
      <c r="C197" s="358" t="b">
        <v>1</v>
      </c>
      <c r="D197" s="358" t="b">
        <v>1</v>
      </c>
      <c r="E197" s="358" t="b">
        <v>0</v>
      </c>
      <c r="F197" s="358" t="b">
        <v>0</v>
      </c>
      <c r="G197" s="358" t="b">
        <v>0</v>
      </c>
      <c r="H197" s="358" t="b">
        <v>0</v>
      </c>
      <c r="I197" s="358">
        <v>1</v>
      </c>
      <c r="J197" s="358">
        <v>12</v>
      </c>
      <c r="K197" s="358" t="s">
        <v>485</v>
      </c>
      <c r="L197" s="358" t="s">
        <v>1070</v>
      </c>
    </row>
    <row r="198" spans="1:12" x14ac:dyDescent="0.2">
      <c r="A198" s="358" t="s">
        <v>1071</v>
      </c>
      <c r="B198" s="359" t="s">
        <v>1072</v>
      </c>
      <c r="C198" s="358" t="b">
        <v>1</v>
      </c>
      <c r="D198" s="358" t="b">
        <v>1</v>
      </c>
      <c r="E198" s="358" t="b">
        <v>0</v>
      </c>
      <c r="F198" s="358" t="b">
        <v>0</v>
      </c>
      <c r="G198" s="358" t="b">
        <v>0</v>
      </c>
      <c r="H198" s="358" t="b">
        <v>0</v>
      </c>
      <c r="I198" s="358">
        <v>1</v>
      </c>
      <c r="J198" s="358">
        <v>12</v>
      </c>
      <c r="K198" s="358" t="s">
        <v>485</v>
      </c>
      <c r="L198" s="358" t="s">
        <v>1073</v>
      </c>
    </row>
    <row r="199" spans="1:12" x14ac:dyDescent="0.2">
      <c r="A199" s="358" t="s">
        <v>1074</v>
      </c>
      <c r="B199" s="359" t="s">
        <v>1075</v>
      </c>
      <c r="C199" s="358" t="b">
        <v>1</v>
      </c>
      <c r="D199" s="358" t="b">
        <v>1</v>
      </c>
      <c r="E199" s="358" t="b">
        <v>0</v>
      </c>
      <c r="F199" s="358" t="b">
        <v>0</v>
      </c>
      <c r="G199" s="358" t="b">
        <v>0</v>
      </c>
      <c r="H199" s="358" t="b">
        <v>0</v>
      </c>
      <c r="I199" s="358">
        <v>1</v>
      </c>
      <c r="J199" s="358">
        <v>12</v>
      </c>
      <c r="K199" s="358" t="s">
        <v>485</v>
      </c>
      <c r="L199" s="358" t="s">
        <v>1076</v>
      </c>
    </row>
    <row r="200" spans="1:12" x14ac:dyDescent="0.2">
      <c r="A200" s="358" t="s">
        <v>1077</v>
      </c>
      <c r="B200" s="359" t="s">
        <v>1078</v>
      </c>
      <c r="C200" s="358" t="b">
        <v>1</v>
      </c>
      <c r="D200" s="358" t="b">
        <v>1</v>
      </c>
      <c r="E200" s="358" t="b">
        <v>0</v>
      </c>
      <c r="F200" s="358" t="b">
        <v>0</v>
      </c>
      <c r="G200" s="358" t="b">
        <v>0</v>
      </c>
      <c r="H200" s="358" t="b">
        <v>0</v>
      </c>
      <c r="I200" s="358">
        <v>1</v>
      </c>
      <c r="J200" s="358">
        <v>12</v>
      </c>
      <c r="K200" s="358" t="s">
        <v>485</v>
      </c>
      <c r="L200" s="358" t="s">
        <v>1079</v>
      </c>
    </row>
    <row r="201" spans="1:12" x14ac:dyDescent="0.2">
      <c r="A201" s="358" t="s">
        <v>1080</v>
      </c>
      <c r="B201" s="359" t="s">
        <v>1081</v>
      </c>
      <c r="C201" s="358" t="b">
        <v>1</v>
      </c>
      <c r="D201" s="358" t="b">
        <v>1</v>
      </c>
      <c r="E201" s="358" t="b">
        <v>0</v>
      </c>
      <c r="F201" s="358" t="b">
        <v>0</v>
      </c>
      <c r="G201" s="358" t="b">
        <v>0</v>
      </c>
      <c r="H201" s="358" t="b">
        <v>0</v>
      </c>
      <c r="I201" s="358">
        <v>1</v>
      </c>
      <c r="J201" s="358">
        <v>12</v>
      </c>
      <c r="K201" s="358" t="s">
        <v>485</v>
      </c>
      <c r="L201" s="358" t="s">
        <v>1082</v>
      </c>
    </row>
    <row r="202" spans="1:12" x14ac:dyDescent="0.2">
      <c r="A202" s="358" t="s">
        <v>1083</v>
      </c>
      <c r="B202" s="359" t="s">
        <v>1084</v>
      </c>
      <c r="C202" s="358" t="b">
        <v>1</v>
      </c>
      <c r="D202" s="358" t="b">
        <v>1</v>
      </c>
      <c r="E202" s="358" t="b">
        <v>0</v>
      </c>
      <c r="F202" s="358" t="b">
        <v>0</v>
      </c>
      <c r="G202" s="358" t="b">
        <v>0</v>
      </c>
      <c r="H202" s="358" t="b">
        <v>0</v>
      </c>
      <c r="I202" s="358">
        <v>1</v>
      </c>
      <c r="J202" s="358">
        <v>12</v>
      </c>
      <c r="K202" s="358" t="s">
        <v>485</v>
      </c>
      <c r="L202" s="358" t="s">
        <v>1085</v>
      </c>
    </row>
    <row r="203" spans="1:12" x14ac:dyDescent="0.2">
      <c r="A203" s="358" t="s">
        <v>1086</v>
      </c>
      <c r="B203" s="359" t="s">
        <v>1087</v>
      </c>
      <c r="C203" s="358" t="b">
        <v>1</v>
      </c>
      <c r="D203" s="358" t="b">
        <v>1</v>
      </c>
      <c r="E203" s="358" t="b">
        <v>0</v>
      </c>
      <c r="F203" s="358" t="b">
        <v>0</v>
      </c>
      <c r="G203" s="358" t="b">
        <v>0</v>
      </c>
      <c r="H203" s="358" t="b">
        <v>0</v>
      </c>
      <c r="I203" s="358">
        <v>1</v>
      </c>
      <c r="J203" s="358">
        <v>12</v>
      </c>
      <c r="K203" s="358" t="s">
        <v>485</v>
      </c>
      <c r="L203" s="358" t="s">
        <v>1088</v>
      </c>
    </row>
    <row r="204" spans="1:12" x14ac:dyDescent="0.2">
      <c r="A204" s="358" t="s">
        <v>1089</v>
      </c>
      <c r="B204" s="359" t="s">
        <v>1090</v>
      </c>
      <c r="C204" s="358" t="b">
        <v>1</v>
      </c>
      <c r="D204" s="358" t="b">
        <v>1</v>
      </c>
      <c r="E204" s="358" t="b">
        <v>0</v>
      </c>
      <c r="F204" s="358" t="b">
        <v>0</v>
      </c>
      <c r="G204" s="358" t="b">
        <v>0</v>
      </c>
      <c r="H204" s="358" t="b">
        <v>0</v>
      </c>
      <c r="I204" s="358">
        <v>1</v>
      </c>
      <c r="J204" s="358">
        <v>12</v>
      </c>
      <c r="K204" s="358" t="s">
        <v>485</v>
      </c>
      <c r="L204" s="358" t="s">
        <v>1091</v>
      </c>
    </row>
    <row r="205" spans="1:12" x14ac:dyDescent="0.2">
      <c r="A205" s="358" t="s">
        <v>1092</v>
      </c>
      <c r="B205" s="359" t="s">
        <v>1093</v>
      </c>
      <c r="C205" s="358" t="b">
        <v>1</v>
      </c>
      <c r="D205" s="358" t="b">
        <v>1</v>
      </c>
      <c r="E205" s="358" t="b">
        <v>0</v>
      </c>
      <c r="F205" s="358" t="b">
        <v>0</v>
      </c>
      <c r="G205" s="358" t="b">
        <v>0</v>
      </c>
      <c r="H205" s="358" t="b">
        <v>0</v>
      </c>
      <c r="I205" s="358">
        <v>1</v>
      </c>
      <c r="J205" s="358">
        <v>12</v>
      </c>
      <c r="K205" s="358" t="s">
        <v>485</v>
      </c>
      <c r="L205" s="358" t="s">
        <v>1094</v>
      </c>
    </row>
    <row r="206" spans="1:12" x14ac:dyDescent="0.2">
      <c r="A206" s="358" t="s">
        <v>1095</v>
      </c>
      <c r="B206" s="359" t="s">
        <v>1096</v>
      </c>
      <c r="C206" s="358" t="b">
        <v>1</v>
      </c>
      <c r="D206" s="358" t="b">
        <v>1</v>
      </c>
      <c r="E206" s="358" t="b">
        <v>0</v>
      </c>
      <c r="F206" s="358" t="b">
        <v>0</v>
      </c>
      <c r="G206" s="358" t="b">
        <v>0</v>
      </c>
      <c r="H206" s="358" t="b">
        <v>0</v>
      </c>
      <c r="I206" s="358">
        <v>1</v>
      </c>
      <c r="J206" s="358">
        <v>12</v>
      </c>
      <c r="K206" s="358" t="s">
        <v>485</v>
      </c>
      <c r="L206" s="358" t="s">
        <v>1097</v>
      </c>
    </row>
    <row r="207" spans="1:12" x14ac:dyDescent="0.2">
      <c r="A207" s="358" t="s">
        <v>1098</v>
      </c>
      <c r="B207" s="359" t="s">
        <v>1099</v>
      </c>
      <c r="C207" s="358" t="b">
        <v>1</v>
      </c>
      <c r="D207" s="358" t="b">
        <v>1</v>
      </c>
      <c r="E207" s="358" t="b">
        <v>0</v>
      </c>
      <c r="F207" s="358" t="b">
        <v>0</v>
      </c>
      <c r="G207" s="358" t="b">
        <v>0</v>
      </c>
      <c r="H207" s="358" t="b">
        <v>0</v>
      </c>
      <c r="I207" s="358">
        <v>1</v>
      </c>
      <c r="J207" s="358">
        <v>12</v>
      </c>
      <c r="K207" s="358" t="s">
        <v>485</v>
      </c>
      <c r="L207" s="358" t="s">
        <v>1100</v>
      </c>
    </row>
    <row r="208" spans="1:12" x14ac:dyDescent="0.2">
      <c r="A208" s="358" t="s">
        <v>1101</v>
      </c>
      <c r="B208" s="359" t="s">
        <v>1102</v>
      </c>
      <c r="C208" s="358" t="b">
        <v>1</v>
      </c>
      <c r="D208" s="358" t="b">
        <v>1</v>
      </c>
      <c r="E208" s="358" t="b">
        <v>0</v>
      </c>
      <c r="F208" s="358" t="b">
        <v>0</v>
      </c>
      <c r="G208" s="358" t="b">
        <v>0</v>
      </c>
      <c r="H208" s="358" t="b">
        <v>0</v>
      </c>
      <c r="I208" s="358">
        <v>1</v>
      </c>
      <c r="J208" s="358">
        <v>12</v>
      </c>
      <c r="K208" s="358" t="s">
        <v>485</v>
      </c>
      <c r="L208" s="358" t="s">
        <v>1103</v>
      </c>
    </row>
    <row r="209" spans="1:12" x14ac:dyDescent="0.2">
      <c r="A209" s="358" t="s">
        <v>1104</v>
      </c>
      <c r="B209" s="359" t="s">
        <v>1105</v>
      </c>
      <c r="C209" s="358" t="b">
        <v>1</v>
      </c>
      <c r="D209" s="358" t="b">
        <v>1</v>
      </c>
      <c r="E209" s="358" t="b">
        <v>0</v>
      </c>
      <c r="F209" s="358" t="b">
        <v>0</v>
      </c>
      <c r="G209" s="358" t="b">
        <v>0</v>
      </c>
      <c r="H209" s="358" t="b">
        <v>0</v>
      </c>
      <c r="I209" s="358">
        <v>1</v>
      </c>
      <c r="J209" s="358">
        <v>12</v>
      </c>
      <c r="K209" s="358" t="s">
        <v>485</v>
      </c>
      <c r="L209" s="358" t="s">
        <v>1106</v>
      </c>
    </row>
    <row r="210" spans="1:12" x14ac:dyDescent="0.2">
      <c r="A210" s="358" t="s">
        <v>1107</v>
      </c>
      <c r="B210" s="359" t="s">
        <v>1108</v>
      </c>
      <c r="C210" s="358" t="b">
        <v>1</v>
      </c>
      <c r="D210" s="358" t="b">
        <v>1</v>
      </c>
      <c r="E210" s="358" t="b">
        <v>0</v>
      </c>
      <c r="F210" s="358" t="b">
        <v>0</v>
      </c>
      <c r="G210" s="358" t="b">
        <v>0</v>
      </c>
      <c r="H210" s="358" t="b">
        <v>0</v>
      </c>
      <c r="I210" s="358">
        <v>1</v>
      </c>
      <c r="J210" s="358">
        <v>12</v>
      </c>
      <c r="K210" s="358" t="s">
        <v>485</v>
      </c>
      <c r="L210" s="358" t="s">
        <v>1109</v>
      </c>
    </row>
    <row r="211" spans="1:12" x14ac:dyDescent="0.2">
      <c r="A211" s="358" t="s">
        <v>1110</v>
      </c>
      <c r="B211" s="359" t="s">
        <v>1111</v>
      </c>
      <c r="C211" s="358" t="b">
        <v>1</v>
      </c>
      <c r="D211" s="358" t="b">
        <v>1</v>
      </c>
      <c r="E211" s="358" t="b">
        <v>0</v>
      </c>
      <c r="F211" s="358" t="b">
        <v>0</v>
      </c>
      <c r="G211" s="358" t="b">
        <v>0</v>
      </c>
      <c r="H211" s="358" t="b">
        <v>0</v>
      </c>
      <c r="I211" s="358">
        <v>1</v>
      </c>
      <c r="J211" s="358">
        <v>12</v>
      </c>
      <c r="K211" s="358" t="s">
        <v>485</v>
      </c>
      <c r="L211" s="358" t="s">
        <v>1112</v>
      </c>
    </row>
    <row r="212" spans="1:12" x14ac:dyDescent="0.2">
      <c r="A212" s="358" t="s">
        <v>1113</v>
      </c>
      <c r="B212" s="359" t="s">
        <v>1114</v>
      </c>
      <c r="C212" s="358" t="b">
        <v>1</v>
      </c>
      <c r="D212" s="358" t="b">
        <v>1</v>
      </c>
      <c r="E212" s="358" t="b">
        <v>0</v>
      </c>
      <c r="F212" s="358" t="b">
        <v>0</v>
      </c>
      <c r="G212" s="358" t="b">
        <v>0</v>
      </c>
      <c r="H212" s="358" t="b">
        <v>0</v>
      </c>
      <c r="I212" s="358">
        <v>1</v>
      </c>
      <c r="J212" s="358">
        <v>12</v>
      </c>
      <c r="K212" s="358" t="s">
        <v>485</v>
      </c>
      <c r="L212" s="358" t="s">
        <v>1115</v>
      </c>
    </row>
    <row r="213" spans="1:12" x14ac:dyDescent="0.2">
      <c r="A213" s="358" t="s">
        <v>1116</v>
      </c>
      <c r="B213" s="359" t="s">
        <v>1117</v>
      </c>
      <c r="C213" s="358" t="b">
        <v>1</v>
      </c>
      <c r="D213" s="358" t="b">
        <v>1</v>
      </c>
      <c r="E213" s="358" t="b">
        <v>0</v>
      </c>
      <c r="F213" s="358" t="b">
        <v>0</v>
      </c>
      <c r="G213" s="358" t="b">
        <v>0</v>
      </c>
      <c r="H213" s="358" t="b">
        <v>0</v>
      </c>
      <c r="I213" s="358">
        <v>1</v>
      </c>
      <c r="J213" s="358">
        <v>12</v>
      </c>
      <c r="K213" s="358" t="s">
        <v>485</v>
      </c>
      <c r="L213" s="358" t="s">
        <v>1118</v>
      </c>
    </row>
    <row r="214" spans="1:12" x14ac:dyDescent="0.2">
      <c r="A214" s="358" t="s">
        <v>1119</v>
      </c>
      <c r="B214" s="359" t="s">
        <v>1120</v>
      </c>
      <c r="C214" s="358" t="b">
        <v>1</v>
      </c>
      <c r="D214" s="358" t="b">
        <v>1</v>
      </c>
      <c r="E214" s="358" t="b">
        <v>0</v>
      </c>
      <c r="F214" s="358" t="b">
        <v>0</v>
      </c>
      <c r="G214" s="358" t="b">
        <v>0</v>
      </c>
      <c r="H214" s="358" t="b">
        <v>0</v>
      </c>
      <c r="I214" s="358">
        <v>1</v>
      </c>
      <c r="J214" s="358">
        <v>1</v>
      </c>
      <c r="K214" s="358" t="s">
        <v>485</v>
      </c>
      <c r="L214" s="358" t="s">
        <v>1121</v>
      </c>
    </row>
    <row r="215" spans="1:12" x14ac:dyDescent="0.2">
      <c r="A215" s="358" t="s">
        <v>1122</v>
      </c>
      <c r="B215" s="359" t="s">
        <v>1123</v>
      </c>
      <c r="C215" s="358" t="b">
        <v>1</v>
      </c>
      <c r="D215" s="358" t="b">
        <v>1</v>
      </c>
      <c r="E215" s="358" t="b">
        <v>0</v>
      </c>
      <c r="F215" s="358" t="b">
        <v>0</v>
      </c>
      <c r="G215" s="358" t="b">
        <v>0</v>
      </c>
      <c r="H215" s="358" t="b">
        <v>0</v>
      </c>
      <c r="I215" s="358">
        <v>1</v>
      </c>
      <c r="J215" s="358">
        <v>1</v>
      </c>
      <c r="K215" s="358" t="s">
        <v>485</v>
      </c>
      <c r="L215" s="358" t="s">
        <v>1124</v>
      </c>
    </row>
    <row r="216" spans="1:12" x14ac:dyDescent="0.2">
      <c r="A216" s="358" t="s">
        <v>1125</v>
      </c>
      <c r="B216" s="359" t="s">
        <v>1126</v>
      </c>
      <c r="C216" s="358" t="b">
        <v>1</v>
      </c>
      <c r="D216" s="358" t="b">
        <v>1</v>
      </c>
      <c r="E216" s="358" t="b">
        <v>0</v>
      </c>
      <c r="F216" s="358" t="b">
        <v>0</v>
      </c>
      <c r="G216" s="358" t="b">
        <v>0</v>
      </c>
      <c r="H216" s="358" t="b">
        <v>0</v>
      </c>
      <c r="I216" s="358">
        <v>1</v>
      </c>
      <c r="J216" s="358">
        <v>1</v>
      </c>
      <c r="K216" s="358" t="s">
        <v>485</v>
      </c>
      <c r="L216" s="358" t="s">
        <v>1127</v>
      </c>
    </row>
    <row r="217" spans="1:12" x14ac:dyDescent="0.2">
      <c r="A217" s="358" t="s">
        <v>1128</v>
      </c>
      <c r="B217" s="359" t="s">
        <v>1129</v>
      </c>
      <c r="C217" s="358" t="b">
        <v>1</v>
      </c>
      <c r="D217" s="358" t="b">
        <v>1</v>
      </c>
      <c r="E217" s="358" t="b">
        <v>0</v>
      </c>
      <c r="F217" s="358" t="b">
        <v>0</v>
      </c>
      <c r="G217" s="358" t="b">
        <v>0</v>
      </c>
      <c r="H217" s="358" t="b">
        <v>0</v>
      </c>
      <c r="I217" s="358">
        <v>1</v>
      </c>
      <c r="J217" s="358">
        <v>1</v>
      </c>
      <c r="K217" s="358" t="s">
        <v>485</v>
      </c>
      <c r="L217" s="358" t="s">
        <v>1130</v>
      </c>
    </row>
    <row r="218" spans="1:12" x14ac:dyDescent="0.2">
      <c r="A218" s="358" t="s">
        <v>1131</v>
      </c>
      <c r="B218" s="359" t="s">
        <v>1132</v>
      </c>
      <c r="C218" s="358" t="b">
        <v>1</v>
      </c>
      <c r="D218" s="358" t="b">
        <v>1</v>
      </c>
      <c r="E218" s="358" t="b">
        <v>0</v>
      </c>
      <c r="F218" s="358" t="b">
        <v>0</v>
      </c>
      <c r="G218" s="358" t="b">
        <v>0</v>
      </c>
      <c r="H218" s="358" t="b">
        <v>0</v>
      </c>
      <c r="I218" s="358">
        <v>1</v>
      </c>
      <c r="J218" s="358">
        <v>1</v>
      </c>
      <c r="K218" s="358" t="s">
        <v>485</v>
      </c>
      <c r="L218" s="358" t="s">
        <v>1133</v>
      </c>
    </row>
    <row r="219" spans="1:12" x14ac:dyDescent="0.2">
      <c r="A219" s="358" t="s">
        <v>1134</v>
      </c>
      <c r="B219" s="359" t="s">
        <v>1135</v>
      </c>
      <c r="C219" s="358" t="b">
        <v>1</v>
      </c>
      <c r="D219" s="358" t="b">
        <v>1</v>
      </c>
      <c r="E219" s="358" t="b">
        <v>0</v>
      </c>
      <c r="F219" s="358" t="b">
        <v>0</v>
      </c>
      <c r="G219" s="358" t="b">
        <v>0</v>
      </c>
      <c r="H219" s="358" t="b">
        <v>0</v>
      </c>
      <c r="I219" s="358">
        <v>1</v>
      </c>
      <c r="J219" s="358">
        <v>1</v>
      </c>
      <c r="K219" s="358" t="s">
        <v>485</v>
      </c>
      <c r="L219" s="358" t="s">
        <v>1136</v>
      </c>
    </row>
    <row r="220" spans="1:12" x14ac:dyDescent="0.2">
      <c r="A220" s="358" t="s">
        <v>1137</v>
      </c>
      <c r="B220" s="359" t="s">
        <v>1138</v>
      </c>
      <c r="C220" s="358" t="b">
        <v>1</v>
      </c>
      <c r="D220" s="358" t="b">
        <v>1</v>
      </c>
      <c r="E220" s="358" t="b">
        <v>0</v>
      </c>
      <c r="F220" s="358" t="b">
        <v>0</v>
      </c>
      <c r="G220" s="358" t="b">
        <v>0</v>
      </c>
      <c r="H220" s="358" t="b">
        <v>0</v>
      </c>
      <c r="I220" s="358">
        <v>1</v>
      </c>
      <c r="J220" s="358">
        <v>1</v>
      </c>
      <c r="K220" s="358" t="s">
        <v>485</v>
      </c>
      <c r="L220" s="358" t="s">
        <v>1139</v>
      </c>
    </row>
    <row r="221" spans="1:12" x14ac:dyDescent="0.2">
      <c r="A221" s="358" t="s">
        <v>1140</v>
      </c>
      <c r="B221" s="359" t="s">
        <v>1141</v>
      </c>
      <c r="C221" s="358" t="b">
        <v>1</v>
      </c>
      <c r="D221" s="358" t="b">
        <v>1</v>
      </c>
      <c r="E221" s="358" t="b">
        <v>0</v>
      </c>
      <c r="F221" s="358" t="b">
        <v>0</v>
      </c>
      <c r="G221" s="358" t="b">
        <v>0</v>
      </c>
      <c r="H221" s="358" t="b">
        <v>0</v>
      </c>
      <c r="I221" s="358">
        <v>1</v>
      </c>
      <c r="J221" s="358">
        <v>1</v>
      </c>
      <c r="K221" s="358" t="s">
        <v>485</v>
      </c>
      <c r="L221" s="358" t="s">
        <v>1142</v>
      </c>
    </row>
    <row r="222" spans="1:12" x14ac:dyDescent="0.2">
      <c r="A222" s="358" t="s">
        <v>1143</v>
      </c>
      <c r="B222" s="359" t="s">
        <v>1144</v>
      </c>
      <c r="C222" s="358" t="b">
        <v>1</v>
      </c>
      <c r="D222" s="358" t="b">
        <v>1</v>
      </c>
      <c r="E222" s="358" t="b">
        <v>0</v>
      </c>
      <c r="F222" s="358" t="b">
        <v>0</v>
      </c>
      <c r="G222" s="358" t="b">
        <v>0</v>
      </c>
      <c r="H222" s="358" t="b">
        <v>0</v>
      </c>
      <c r="I222" s="358">
        <v>1</v>
      </c>
      <c r="J222" s="358">
        <v>1</v>
      </c>
      <c r="K222" s="358" t="s">
        <v>485</v>
      </c>
      <c r="L222" s="358" t="s">
        <v>1145</v>
      </c>
    </row>
    <row r="223" spans="1:12" x14ac:dyDescent="0.2">
      <c r="A223" s="358" t="s">
        <v>1146</v>
      </c>
      <c r="B223" s="359" t="s">
        <v>1147</v>
      </c>
      <c r="C223" s="358" t="b">
        <v>1</v>
      </c>
      <c r="D223" s="358" t="b">
        <v>1</v>
      </c>
      <c r="E223" s="358" t="b">
        <v>0</v>
      </c>
      <c r="F223" s="358" t="b">
        <v>0</v>
      </c>
      <c r="G223" s="358" t="b">
        <v>0</v>
      </c>
      <c r="H223" s="358" t="b">
        <v>0</v>
      </c>
      <c r="I223" s="358">
        <v>1</v>
      </c>
      <c r="J223" s="358">
        <v>1</v>
      </c>
      <c r="K223" s="358" t="s">
        <v>485</v>
      </c>
      <c r="L223" s="358" t="s">
        <v>1148</v>
      </c>
    </row>
    <row r="224" spans="1:12" x14ac:dyDescent="0.2">
      <c r="A224" s="358" t="s">
        <v>1149</v>
      </c>
      <c r="B224" s="359" t="s">
        <v>1150</v>
      </c>
      <c r="C224" s="358" t="b">
        <v>1</v>
      </c>
      <c r="D224" s="358" t="b">
        <v>1</v>
      </c>
      <c r="E224" s="358" t="b">
        <v>0</v>
      </c>
      <c r="F224" s="358" t="b">
        <v>0</v>
      </c>
      <c r="G224" s="358" t="b">
        <v>0</v>
      </c>
      <c r="H224" s="358" t="b">
        <v>0</v>
      </c>
      <c r="I224" s="358">
        <v>1</v>
      </c>
      <c r="J224" s="358">
        <v>12</v>
      </c>
      <c r="K224" s="358" t="s">
        <v>485</v>
      </c>
      <c r="L224" s="358" t="s">
        <v>1151</v>
      </c>
    </row>
    <row r="225" spans="1:12" x14ac:dyDescent="0.2">
      <c r="A225" s="358" t="s">
        <v>1152</v>
      </c>
      <c r="B225" s="359" t="s">
        <v>1153</v>
      </c>
      <c r="C225" s="358" t="b">
        <v>1</v>
      </c>
      <c r="D225" s="358" t="b">
        <v>1</v>
      </c>
      <c r="E225" s="358" t="b">
        <v>0</v>
      </c>
      <c r="F225" s="358" t="b">
        <v>0</v>
      </c>
      <c r="G225" s="358" t="b">
        <v>0</v>
      </c>
      <c r="H225" s="358" t="b">
        <v>0</v>
      </c>
      <c r="I225" s="358">
        <v>1</v>
      </c>
      <c r="J225" s="358">
        <v>12</v>
      </c>
      <c r="K225" s="358" t="s">
        <v>485</v>
      </c>
      <c r="L225" s="358" t="s">
        <v>1154</v>
      </c>
    </row>
    <row r="226" spans="1:12" x14ac:dyDescent="0.2">
      <c r="A226" s="358" t="s">
        <v>1155</v>
      </c>
      <c r="B226" s="359" t="s">
        <v>1156</v>
      </c>
      <c r="C226" s="358" t="b">
        <v>1</v>
      </c>
      <c r="D226" s="358" t="b">
        <v>1</v>
      </c>
      <c r="E226" s="358" t="b">
        <v>0</v>
      </c>
      <c r="F226" s="358" t="b">
        <v>0</v>
      </c>
      <c r="G226" s="358" t="b">
        <v>0</v>
      </c>
      <c r="H226" s="358" t="b">
        <v>0</v>
      </c>
      <c r="I226" s="358">
        <v>1</v>
      </c>
      <c r="J226" s="358">
        <v>12</v>
      </c>
      <c r="K226" s="358" t="s">
        <v>485</v>
      </c>
      <c r="L226" s="358" t="s">
        <v>1157</v>
      </c>
    </row>
    <row r="227" spans="1:12" x14ac:dyDescent="0.2">
      <c r="A227" s="358" t="s">
        <v>1158</v>
      </c>
      <c r="B227" s="359" t="s">
        <v>1159</v>
      </c>
      <c r="C227" s="358" t="b">
        <v>1</v>
      </c>
      <c r="D227" s="358" t="b">
        <v>1</v>
      </c>
      <c r="E227" s="358" t="b">
        <v>0</v>
      </c>
      <c r="F227" s="358" t="b">
        <v>0</v>
      </c>
      <c r="G227" s="358" t="b">
        <v>0</v>
      </c>
      <c r="H227" s="358" t="b">
        <v>0</v>
      </c>
      <c r="I227" s="358">
        <v>1</v>
      </c>
      <c r="J227" s="358">
        <v>12</v>
      </c>
      <c r="K227" s="358" t="s">
        <v>485</v>
      </c>
      <c r="L227" s="358" t="s">
        <v>1160</v>
      </c>
    </row>
    <row r="228" spans="1:12" x14ac:dyDescent="0.2">
      <c r="A228" s="358" t="s">
        <v>1161</v>
      </c>
      <c r="B228" s="359" t="s">
        <v>1162</v>
      </c>
      <c r="C228" s="358" t="b">
        <v>1</v>
      </c>
      <c r="D228" s="358" t="b">
        <v>1</v>
      </c>
      <c r="E228" s="358" t="b">
        <v>0</v>
      </c>
      <c r="F228" s="358" t="b">
        <v>0</v>
      </c>
      <c r="G228" s="358" t="b">
        <v>0</v>
      </c>
      <c r="H228" s="358" t="b">
        <v>0</v>
      </c>
      <c r="I228" s="358">
        <v>1</v>
      </c>
      <c r="J228" s="358">
        <v>12</v>
      </c>
      <c r="K228" s="358" t="s">
        <v>485</v>
      </c>
      <c r="L228" s="358" t="s">
        <v>1163</v>
      </c>
    </row>
    <row r="229" spans="1:12" x14ac:dyDescent="0.2">
      <c r="A229" s="358" t="s">
        <v>1164</v>
      </c>
      <c r="B229" s="359" t="s">
        <v>1165</v>
      </c>
      <c r="C229" s="358" t="b">
        <v>1</v>
      </c>
      <c r="D229" s="358" t="b">
        <v>1</v>
      </c>
      <c r="E229" s="358" t="b">
        <v>0</v>
      </c>
      <c r="F229" s="358" t="b">
        <v>0</v>
      </c>
      <c r="G229" s="358" t="b">
        <v>0</v>
      </c>
      <c r="H229" s="358" t="b">
        <v>0</v>
      </c>
      <c r="I229" s="358">
        <v>1</v>
      </c>
      <c r="J229" s="358">
        <v>12</v>
      </c>
      <c r="K229" s="358" t="s">
        <v>485</v>
      </c>
      <c r="L229" s="358" t="s">
        <v>1166</v>
      </c>
    </row>
    <row r="230" spans="1:12" x14ac:dyDescent="0.2">
      <c r="A230" s="358" t="s">
        <v>1167</v>
      </c>
      <c r="B230" s="359" t="s">
        <v>1168</v>
      </c>
      <c r="C230" s="358" t="b">
        <v>1</v>
      </c>
      <c r="D230" s="358" t="b">
        <v>1</v>
      </c>
      <c r="E230" s="358" t="b">
        <v>0</v>
      </c>
      <c r="F230" s="358" t="b">
        <v>0</v>
      </c>
      <c r="G230" s="358" t="b">
        <v>0</v>
      </c>
      <c r="H230" s="358" t="b">
        <v>0</v>
      </c>
      <c r="I230" s="358">
        <v>1</v>
      </c>
      <c r="J230" s="358">
        <v>12</v>
      </c>
      <c r="K230" s="358" t="s">
        <v>485</v>
      </c>
      <c r="L230" s="358" t="s">
        <v>1169</v>
      </c>
    </row>
    <row r="231" spans="1:12" x14ac:dyDescent="0.2">
      <c r="A231" s="358" t="s">
        <v>1170</v>
      </c>
      <c r="B231" s="359" t="s">
        <v>1171</v>
      </c>
      <c r="C231" s="358" t="b">
        <v>1</v>
      </c>
      <c r="D231" s="358" t="b">
        <v>1</v>
      </c>
      <c r="E231" s="358" t="b">
        <v>0</v>
      </c>
      <c r="F231" s="358" t="b">
        <v>0</v>
      </c>
      <c r="G231" s="358" t="b">
        <v>0</v>
      </c>
      <c r="H231" s="358" t="b">
        <v>0</v>
      </c>
      <c r="I231" s="358">
        <v>1</v>
      </c>
      <c r="J231" s="358">
        <v>12</v>
      </c>
      <c r="K231" s="358" t="s">
        <v>485</v>
      </c>
      <c r="L231" s="358" t="s">
        <v>1172</v>
      </c>
    </row>
    <row r="232" spans="1:12" x14ac:dyDescent="0.2">
      <c r="A232" s="358" t="s">
        <v>1173</v>
      </c>
      <c r="B232" s="359" t="s">
        <v>1174</v>
      </c>
      <c r="C232" s="358" t="b">
        <v>1</v>
      </c>
      <c r="D232" s="358" t="b">
        <v>1</v>
      </c>
      <c r="E232" s="358" t="b">
        <v>0</v>
      </c>
      <c r="F232" s="358" t="b">
        <v>0</v>
      </c>
      <c r="G232" s="358" t="b">
        <v>0</v>
      </c>
      <c r="H232" s="358" t="b">
        <v>0</v>
      </c>
      <c r="I232" s="358">
        <v>1</v>
      </c>
      <c r="J232" s="358">
        <v>12</v>
      </c>
      <c r="K232" s="358" t="s">
        <v>485</v>
      </c>
      <c r="L232" s="358" t="s">
        <v>1175</v>
      </c>
    </row>
    <row r="233" spans="1:12" x14ac:dyDescent="0.2">
      <c r="A233" s="358" t="s">
        <v>1176</v>
      </c>
      <c r="B233" s="359" t="s">
        <v>1177</v>
      </c>
      <c r="C233" s="358" t="b">
        <v>1</v>
      </c>
      <c r="D233" s="358" t="b">
        <v>1</v>
      </c>
      <c r="E233" s="358" t="b">
        <v>0</v>
      </c>
      <c r="F233" s="358" t="b">
        <v>0</v>
      </c>
      <c r="G233" s="358" t="b">
        <v>0</v>
      </c>
      <c r="H233" s="358" t="b">
        <v>0</v>
      </c>
      <c r="I233" s="358">
        <v>1</v>
      </c>
      <c r="J233" s="358">
        <v>12</v>
      </c>
      <c r="K233" s="358" t="s">
        <v>485</v>
      </c>
      <c r="L233" s="358" t="s">
        <v>1178</v>
      </c>
    </row>
    <row r="234" spans="1:12" x14ac:dyDescent="0.2">
      <c r="A234" s="358" t="s">
        <v>1179</v>
      </c>
      <c r="B234" s="359" t="s">
        <v>1180</v>
      </c>
      <c r="C234" s="358" t="b">
        <v>1</v>
      </c>
      <c r="D234" s="358" t="b">
        <v>1</v>
      </c>
      <c r="E234" s="358" t="b">
        <v>0</v>
      </c>
      <c r="F234" s="358" t="b">
        <v>0</v>
      </c>
      <c r="G234" s="358" t="b">
        <v>0</v>
      </c>
      <c r="H234" s="358" t="b">
        <v>0</v>
      </c>
      <c r="I234" s="358">
        <v>1</v>
      </c>
      <c r="J234" s="358">
        <v>1</v>
      </c>
      <c r="K234" s="358" t="s">
        <v>485</v>
      </c>
      <c r="L234" s="358" t="s">
        <v>1181</v>
      </c>
    </row>
    <row r="235" spans="1:12" x14ac:dyDescent="0.2">
      <c r="A235" s="358" t="s">
        <v>1182</v>
      </c>
      <c r="B235" s="359" t="s">
        <v>1183</v>
      </c>
      <c r="C235" s="358" t="b">
        <v>1</v>
      </c>
      <c r="D235" s="358" t="b">
        <v>1</v>
      </c>
      <c r="E235" s="358" t="b">
        <v>0</v>
      </c>
      <c r="F235" s="358" t="b">
        <v>0</v>
      </c>
      <c r="G235" s="358" t="b">
        <v>0</v>
      </c>
      <c r="H235" s="358" t="b">
        <v>0</v>
      </c>
      <c r="I235" s="358">
        <v>1</v>
      </c>
      <c r="J235" s="358">
        <v>12</v>
      </c>
      <c r="K235" s="358" t="s">
        <v>485</v>
      </c>
      <c r="L235" s="358" t="s">
        <v>1184</v>
      </c>
    </row>
    <row r="236" spans="1:12" x14ac:dyDescent="0.2">
      <c r="A236" s="358" t="s">
        <v>1185</v>
      </c>
      <c r="B236" s="359" t="s">
        <v>1186</v>
      </c>
      <c r="C236" s="358" t="b">
        <v>1</v>
      </c>
      <c r="D236" s="358" t="b">
        <v>1</v>
      </c>
      <c r="E236" s="358" t="b">
        <v>0</v>
      </c>
      <c r="F236" s="358" t="b">
        <v>0</v>
      </c>
      <c r="G236" s="358" t="b">
        <v>0</v>
      </c>
      <c r="H236" s="358" t="b">
        <v>0</v>
      </c>
      <c r="I236" s="358">
        <v>1</v>
      </c>
      <c r="J236" s="358">
        <v>1</v>
      </c>
      <c r="K236" s="358" t="s">
        <v>485</v>
      </c>
      <c r="L236" s="358" t="s">
        <v>1187</v>
      </c>
    </row>
    <row r="237" spans="1:12" x14ac:dyDescent="0.2">
      <c r="A237" s="358" t="s">
        <v>1188</v>
      </c>
      <c r="B237" s="359" t="s">
        <v>1189</v>
      </c>
      <c r="C237" s="358" t="b">
        <v>1</v>
      </c>
      <c r="D237" s="358" t="b">
        <v>1</v>
      </c>
      <c r="E237" s="358" t="b">
        <v>0</v>
      </c>
      <c r="F237" s="358" t="b">
        <v>0</v>
      </c>
      <c r="G237" s="358" t="b">
        <v>0</v>
      </c>
      <c r="H237" s="358" t="b">
        <v>0</v>
      </c>
      <c r="I237" s="358">
        <v>1</v>
      </c>
      <c r="J237" s="358">
        <v>1</v>
      </c>
      <c r="K237" s="358" t="s">
        <v>485</v>
      </c>
      <c r="L237" s="358" t="s">
        <v>1190</v>
      </c>
    </row>
    <row r="238" spans="1:12" x14ac:dyDescent="0.2">
      <c r="A238" s="358" t="s">
        <v>1191</v>
      </c>
      <c r="B238" s="359" t="s">
        <v>1192</v>
      </c>
      <c r="C238" s="358" t="b">
        <v>1</v>
      </c>
      <c r="D238" s="358" t="b">
        <v>1</v>
      </c>
      <c r="E238" s="358" t="b">
        <v>0</v>
      </c>
      <c r="F238" s="358" t="b">
        <v>0</v>
      </c>
      <c r="G238" s="358" t="b">
        <v>0</v>
      </c>
      <c r="H238" s="358" t="b">
        <v>0</v>
      </c>
      <c r="I238" s="358">
        <v>1</v>
      </c>
      <c r="J238" s="358">
        <v>1</v>
      </c>
      <c r="K238" s="358" t="s">
        <v>485</v>
      </c>
      <c r="L238" s="358" t="s">
        <v>1193</v>
      </c>
    </row>
    <row r="239" spans="1:12" x14ac:dyDescent="0.2">
      <c r="A239" s="358" t="s">
        <v>1194</v>
      </c>
      <c r="B239" s="359" t="s">
        <v>1195</v>
      </c>
      <c r="C239" s="358" t="b">
        <v>1</v>
      </c>
      <c r="D239" s="358" t="b">
        <v>1</v>
      </c>
      <c r="E239" s="358" t="b">
        <v>0</v>
      </c>
      <c r="F239" s="358" t="b">
        <v>0</v>
      </c>
      <c r="G239" s="358" t="b">
        <v>0</v>
      </c>
      <c r="H239" s="358" t="b">
        <v>0</v>
      </c>
      <c r="I239" s="358">
        <v>1</v>
      </c>
      <c r="J239" s="358">
        <v>1</v>
      </c>
      <c r="K239" s="358" t="s">
        <v>485</v>
      </c>
      <c r="L239" s="358" t="s">
        <v>1196</v>
      </c>
    </row>
    <row r="240" spans="1:12" x14ac:dyDescent="0.2">
      <c r="A240" s="358" t="s">
        <v>1197</v>
      </c>
      <c r="B240" s="359" t="s">
        <v>1198</v>
      </c>
      <c r="C240" s="358" t="b">
        <v>1</v>
      </c>
      <c r="D240" s="358" t="b">
        <v>1</v>
      </c>
      <c r="E240" s="358" t="b">
        <v>0</v>
      </c>
      <c r="F240" s="358" t="b">
        <v>0</v>
      </c>
      <c r="G240" s="358" t="b">
        <v>0</v>
      </c>
      <c r="H240" s="358" t="b">
        <v>0</v>
      </c>
      <c r="I240" s="358">
        <v>1</v>
      </c>
      <c r="J240" s="358">
        <v>12</v>
      </c>
      <c r="K240" s="358" t="s">
        <v>485</v>
      </c>
      <c r="L240" s="358" t="s">
        <v>1199</v>
      </c>
    </row>
    <row r="241" spans="1:12" x14ac:dyDescent="0.2">
      <c r="A241" s="358" t="s">
        <v>1200</v>
      </c>
      <c r="B241" s="359" t="s">
        <v>1201</v>
      </c>
      <c r="C241" s="358" t="b">
        <v>1</v>
      </c>
      <c r="D241" s="358" t="b">
        <v>1</v>
      </c>
      <c r="E241" s="358" t="b">
        <v>0</v>
      </c>
      <c r="F241" s="358" t="b">
        <v>0</v>
      </c>
      <c r="G241" s="358" t="b">
        <v>0</v>
      </c>
      <c r="H241" s="358" t="b">
        <v>0</v>
      </c>
      <c r="I241" s="358">
        <v>1</v>
      </c>
      <c r="J241" s="358">
        <v>12</v>
      </c>
      <c r="K241" s="358" t="s">
        <v>485</v>
      </c>
      <c r="L241" s="358" t="s">
        <v>1202</v>
      </c>
    </row>
    <row r="242" spans="1:12" x14ac:dyDescent="0.2">
      <c r="A242" s="358" t="s">
        <v>1203</v>
      </c>
      <c r="B242" s="359" t="s">
        <v>1204</v>
      </c>
      <c r="C242" s="358" t="b">
        <v>1</v>
      </c>
      <c r="D242" s="358" t="b">
        <v>1</v>
      </c>
      <c r="E242" s="358" t="b">
        <v>0</v>
      </c>
      <c r="F242" s="358" t="b">
        <v>0</v>
      </c>
      <c r="G242" s="358" t="b">
        <v>0</v>
      </c>
      <c r="H242" s="358" t="b">
        <v>0</v>
      </c>
      <c r="I242" s="358">
        <v>1</v>
      </c>
      <c r="J242" s="358">
        <v>12</v>
      </c>
      <c r="K242" s="358" t="s">
        <v>485</v>
      </c>
      <c r="L242" s="358" t="s">
        <v>1205</v>
      </c>
    </row>
    <row r="243" spans="1:12" x14ac:dyDescent="0.2">
      <c r="A243" s="358" t="s">
        <v>1206</v>
      </c>
      <c r="B243" s="359" t="s">
        <v>1207</v>
      </c>
      <c r="C243" s="358" t="b">
        <v>1</v>
      </c>
      <c r="D243" s="358" t="b">
        <v>1</v>
      </c>
      <c r="E243" s="358" t="b">
        <v>0</v>
      </c>
      <c r="F243" s="358" t="b">
        <v>0</v>
      </c>
      <c r="G243" s="358" t="b">
        <v>0</v>
      </c>
      <c r="H243" s="358" t="b">
        <v>0</v>
      </c>
      <c r="I243" s="358">
        <v>1</v>
      </c>
      <c r="J243" s="358">
        <v>12</v>
      </c>
      <c r="K243" s="358" t="s">
        <v>485</v>
      </c>
      <c r="L243" s="358" t="s">
        <v>1208</v>
      </c>
    </row>
    <row r="244" spans="1:12" x14ac:dyDescent="0.2">
      <c r="A244" s="358" t="s">
        <v>1209</v>
      </c>
      <c r="B244" s="359" t="s">
        <v>1210</v>
      </c>
      <c r="C244" s="358" t="b">
        <v>1</v>
      </c>
      <c r="D244" s="358" t="b">
        <v>1</v>
      </c>
      <c r="E244" s="358" t="b">
        <v>0</v>
      </c>
      <c r="F244" s="358" t="b">
        <v>0</v>
      </c>
      <c r="G244" s="358" t="b">
        <v>0</v>
      </c>
      <c r="H244" s="358" t="b">
        <v>0</v>
      </c>
      <c r="I244" s="358">
        <v>1</v>
      </c>
      <c r="J244" s="358">
        <v>12</v>
      </c>
      <c r="K244" s="358" t="s">
        <v>485</v>
      </c>
      <c r="L244" s="358" t="s">
        <v>1211</v>
      </c>
    </row>
    <row r="245" spans="1:12" x14ac:dyDescent="0.2">
      <c r="A245" s="358" t="s">
        <v>1212</v>
      </c>
      <c r="B245" s="359" t="s">
        <v>1213</v>
      </c>
      <c r="C245" s="358" t="b">
        <v>1</v>
      </c>
      <c r="D245" s="358" t="b">
        <v>1</v>
      </c>
      <c r="E245" s="358" t="b">
        <v>0</v>
      </c>
      <c r="F245" s="358" t="b">
        <v>0</v>
      </c>
      <c r="G245" s="358" t="b">
        <v>0</v>
      </c>
      <c r="H245" s="358" t="b">
        <v>0</v>
      </c>
      <c r="I245" s="358">
        <v>1</v>
      </c>
      <c r="J245" s="358">
        <v>12</v>
      </c>
      <c r="K245" s="358" t="s">
        <v>485</v>
      </c>
      <c r="L245" s="358" t="s">
        <v>1214</v>
      </c>
    </row>
    <row r="246" spans="1:12" x14ac:dyDescent="0.2">
      <c r="A246" s="358" t="s">
        <v>1215</v>
      </c>
      <c r="B246" s="359" t="s">
        <v>1216</v>
      </c>
      <c r="C246" s="358" t="b">
        <v>1</v>
      </c>
      <c r="D246" s="358" t="b">
        <v>1</v>
      </c>
      <c r="E246" s="358" t="b">
        <v>0</v>
      </c>
      <c r="F246" s="358" t="b">
        <v>0</v>
      </c>
      <c r="G246" s="358" t="b">
        <v>0</v>
      </c>
      <c r="H246" s="358" t="b">
        <v>0</v>
      </c>
      <c r="I246" s="358">
        <v>1</v>
      </c>
      <c r="J246" s="358">
        <v>12</v>
      </c>
      <c r="K246" s="358" t="s">
        <v>485</v>
      </c>
      <c r="L246" s="358" t="s">
        <v>1217</v>
      </c>
    </row>
    <row r="247" spans="1:12" x14ac:dyDescent="0.2">
      <c r="A247" s="358" t="s">
        <v>1218</v>
      </c>
      <c r="B247" s="359" t="s">
        <v>1219</v>
      </c>
      <c r="C247" s="358" t="b">
        <v>1</v>
      </c>
      <c r="D247" s="358" t="b">
        <v>1</v>
      </c>
      <c r="E247" s="358" t="b">
        <v>0</v>
      </c>
      <c r="F247" s="358" t="b">
        <v>0</v>
      </c>
      <c r="G247" s="358" t="b">
        <v>0</v>
      </c>
      <c r="H247" s="358" t="b">
        <v>0</v>
      </c>
      <c r="I247" s="358">
        <v>1</v>
      </c>
      <c r="J247" s="358">
        <v>12</v>
      </c>
      <c r="K247" s="358" t="s">
        <v>485</v>
      </c>
      <c r="L247" s="358" t="s">
        <v>1220</v>
      </c>
    </row>
    <row r="248" spans="1:12" x14ac:dyDescent="0.2">
      <c r="A248" s="358" t="s">
        <v>1221</v>
      </c>
      <c r="B248" s="359" t="s">
        <v>1222</v>
      </c>
      <c r="C248" s="358" t="b">
        <v>1</v>
      </c>
      <c r="D248" s="358" t="b">
        <v>1</v>
      </c>
      <c r="E248" s="358" t="b">
        <v>0</v>
      </c>
      <c r="F248" s="358" t="b">
        <v>0</v>
      </c>
      <c r="G248" s="358" t="b">
        <v>0</v>
      </c>
      <c r="H248" s="358" t="b">
        <v>0</v>
      </c>
      <c r="I248" s="358">
        <v>1</v>
      </c>
      <c r="J248" s="358">
        <v>12</v>
      </c>
      <c r="K248" s="358" t="s">
        <v>485</v>
      </c>
      <c r="L248" s="358" t="s">
        <v>1223</v>
      </c>
    </row>
    <row r="249" spans="1:12" x14ac:dyDescent="0.2">
      <c r="A249" s="358" t="s">
        <v>1224</v>
      </c>
      <c r="B249" s="359" t="s">
        <v>1225</v>
      </c>
      <c r="C249" s="358" t="b">
        <v>1</v>
      </c>
      <c r="D249" s="358" t="b">
        <v>1</v>
      </c>
      <c r="E249" s="358" t="b">
        <v>0</v>
      </c>
      <c r="F249" s="358" t="b">
        <v>0</v>
      </c>
      <c r="G249" s="358" t="b">
        <v>0</v>
      </c>
      <c r="H249" s="358" t="b">
        <v>0</v>
      </c>
      <c r="I249" s="358">
        <v>1</v>
      </c>
      <c r="J249" s="358">
        <v>12</v>
      </c>
      <c r="K249" s="358" t="s">
        <v>485</v>
      </c>
      <c r="L249" s="358" t="s">
        <v>1226</v>
      </c>
    </row>
    <row r="250" spans="1:12" x14ac:dyDescent="0.2">
      <c r="A250" s="358" t="s">
        <v>1227</v>
      </c>
      <c r="B250" s="359" t="s">
        <v>1228</v>
      </c>
      <c r="C250" s="358" t="b">
        <v>1</v>
      </c>
      <c r="D250" s="358" t="b">
        <v>1</v>
      </c>
      <c r="E250" s="358" t="b">
        <v>0</v>
      </c>
      <c r="F250" s="358" t="b">
        <v>0</v>
      </c>
      <c r="G250" s="358" t="b">
        <v>0</v>
      </c>
      <c r="H250" s="358" t="b">
        <v>0</v>
      </c>
      <c r="I250" s="358">
        <v>1</v>
      </c>
      <c r="J250" s="358">
        <v>12</v>
      </c>
      <c r="K250" s="358" t="s">
        <v>485</v>
      </c>
      <c r="L250" s="358" t="s">
        <v>1229</v>
      </c>
    </row>
    <row r="251" spans="1:12" x14ac:dyDescent="0.2">
      <c r="A251" s="358" t="s">
        <v>1230</v>
      </c>
      <c r="B251" s="359" t="s">
        <v>1231</v>
      </c>
      <c r="C251" s="358" t="b">
        <v>1</v>
      </c>
      <c r="D251" s="358" t="b">
        <v>1</v>
      </c>
      <c r="E251" s="358" t="b">
        <v>0</v>
      </c>
      <c r="F251" s="358" t="b">
        <v>0</v>
      </c>
      <c r="G251" s="358" t="b">
        <v>0</v>
      </c>
      <c r="H251" s="358" t="b">
        <v>0</v>
      </c>
      <c r="I251" s="358">
        <v>1</v>
      </c>
      <c r="J251" s="358">
        <v>12</v>
      </c>
      <c r="K251" s="358" t="s">
        <v>485</v>
      </c>
      <c r="L251" s="358" t="s">
        <v>1232</v>
      </c>
    </row>
    <row r="252" spans="1:12" x14ac:dyDescent="0.2">
      <c r="A252" s="358" t="s">
        <v>1233</v>
      </c>
      <c r="B252" s="359" t="s">
        <v>1234</v>
      </c>
      <c r="C252" s="358" t="b">
        <v>1</v>
      </c>
      <c r="D252" s="358" t="b">
        <v>1</v>
      </c>
      <c r="E252" s="358" t="b">
        <v>0</v>
      </c>
      <c r="F252" s="358" t="b">
        <v>0</v>
      </c>
      <c r="G252" s="358" t="b">
        <v>0</v>
      </c>
      <c r="H252" s="358" t="b">
        <v>0</v>
      </c>
      <c r="I252" s="358">
        <v>1</v>
      </c>
      <c r="J252" s="358">
        <v>12</v>
      </c>
      <c r="K252" s="358" t="s">
        <v>485</v>
      </c>
      <c r="L252" s="358" t="s">
        <v>1235</v>
      </c>
    </row>
    <row r="253" spans="1:12" x14ac:dyDescent="0.2">
      <c r="A253" s="358" t="s">
        <v>1236</v>
      </c>
      <c r="B253" s="359" t="s">
        <v>1237</v>
      </c>
      <c r="C253" s="358" t="b">
        <v>1</v>
      </c>
      <c r="D253" s="358" t="b">
        <v>1</v>
      </c>
      <c r="E253" s="358" t="b">
        <v>0</v>
      </c>
      <c r="F253" s="358" t="b">
        <v>0</v>
      </c>
      <c r="G253" s="358" t="b">
        <v>0</v>
      </c>
      <c r="H253" s="358" t="b">
        <v>0</v>
      </c>
      <c r="I253" s="358">
        <v>1</v>
      </c>
      <c r="J253" s="358">
        <v>12</v>
      </c>
      <c r="K253" s="358" t="s">
        <v>485</v>
      </c>
      <c r="L253" s="358" t="s">
        <v>1238</v>
      </c>
    </row>
    <row r="254" spans="1:12" x14ac:dyDescent="0.2">
      <c r="A254" s="358" t="s">
        <v>1239</v>
      </c>
      <c r="B254" s="359" t="s">
        <v>1240</v>
      </c>
      <c r="C254" s="358" t="b">
        <v>1</v>
      </c>
      <c r="D254" s="358" t="b">
        <v>1</v>
      </c>
      <c r="E254" s="358" t="b">
        <v>0</v>
      </c>
      <c r="F254" s="358" t="b">
        <v>0</v>
      </c>
      <c r="G254" s="358" t="b">
        <v>0</v>
      </c>
      <c r="H254" s="358" t="b">
        <v>0</v>
      </c>
      <c r="I254" s="358">
        <v>1</v>
      </c>
      <c r="J254" s="358">
        <v>12</v>
      </c>
      <c r="K254" s="358" t="s">
        <v>485</v>
      </c>
      <c r="L254" s="358" t="s">
        <v>1241</v>
      </c>
    </row>
    <row r="255" spans="1:12" x14ac:dyDescent="0.2">
      <c r="A255" s="358" t="s">
        <v>1242</v>
      </c>
      <c r="B255" s="359" t="s">
        <v>1243</v>
      </c>
      <c r="C255" s="358" t="b">
        <v>1</v>
      </c>
      <c r="D255" s="358" t="b">
        <v>1</v>
      </c>
      <c r="E255" s="358" t="b">
        <v>0</v>
      </c>
      <c r="F255" s="358" t="b">
        <v>0</v>
      </c>
      <c r="G255" s="358" t="b">
        <v>0</v>
      </c>
      <c r="H255" s="358" t="b">
        <v>0</v>
      </c>
      <c r="I255" s="358">
        <v>1</v>
      </c>
      <c r="J255" s="358">
        <v>12</v>
      </c>
      <c r="K255" s="358" t="s">
        <v>485</v>
      </c>
      <c r="L255" s="358" t="s">
        <v>1244</v>
      </c>
    </row>
    <row r="256" spans="1:12" x14ac:dyDescent="0.2">
      <c r="A256" s="358" t="s">
        <v>1245</v>
      </c>
      <c r="B256" s="359" t="s">
        <v>1246</v>
      </c>
      <c r="C256" s="358" t="b">
        <v>1</v>
      </c>
      <c r="D256" s="358" t="b">
        <v>1</v>
      </c>
      <c r="E256" s="358" t="b">
        <v>0</v>
      </c>
      <c r="F256" s="358" t="b">
        <v>0</v>
      </c>
      <c r="G256" s="358" t="b">
        <v>0</v>
      </c>
      <c r="H256" s="358" t="b">
        <v>0</v>
      </c>
      <c r="I256" s="358">
        <v>1</v>
      </c>
      <c r="J256" s="358">
        <v>12</v>
      </c>
      <c r="K256" s="358" t="s">
        <v>485</v>
      </c>
      <c r="L256" s="358" t="s">
        <v>1247</v>
      </c>
    </row>
    <row r="257" spans="1:12" x14ac:dyDescent="0.2">
      <c r="A257" s="358" t="s">
        <v>1248</v>
      </c>
      <c r="B257" s="359" t="s">
        <v>1249</v>
      </c>
      <c r="C257" s="358" t="b">
        <v>1</v>
      </c>
      <c r="D257" s="358" t="b">
        <v>1</v>
      </c>
      <c r="E257" s="358" t="b">
        <v>0</v>
      </c>
      <c r="F257" s="358" t="b">
        <v>0</v>
      </c>
      <c r="G257" s="358" t="b">
        <v>0</v>
      </c>
      <c r="H257" s="358" t="b">
        <v>0</v>
      </c>
      <c r="I257" s="358">
        <v>1</v>
      </c>
      <c r="J257" s="358">
        <v>12</v>
      </c>
      <c r="K257" s="358" t="s">
        <v>485</v>
      </c>
      <c r="L257" s="358" t="s">
        <v>1250</v>
      </c>
    </row>
    <row r="258" spans="1:12" x14ac:dyDescent="0.2">
      <c r="A258" s="358" t="s">
        <v>1251</v>
      </c>
      <c r="B258" s="359" t="s">
        <v>1252</v>
      </c>
      <c r="C258" s="358" t="b">
        <v>1</v>
      </c>
      <c r="D258" s="358" t="b">
        <v>1</v>
      </c>
      <c r="E258" s="358" t="b">
        <v>0</v>
      </c>
      <c r="F258" s="358" t="b">
        <v>0</v>
      </c>
      <c r="G258" s="358" t="b">
        <v>0</v>
      </c>
      <c r="H258" s="358" t="b">
        <v>0</v>
      </c>
      <c r="I258" s="358">
        <v>1</v>
      </c>
      <c r="J258" s="358">
        <v>12</v>
      </c>
      <c r="K258" s="358" t="s">
        <v>485</v>
      </c>
      <c r="L258" s="358" t="s">
        <v>1253</v>
      </c>
    </row>
    <row r="259" spans="1:12" x14ac:dyDescent="0.2">
      <c r="A259" s="358" t="s">
        <v>1254</v>
      </c>
      <c r="B259" s="359" t="s">
        <v>1255</v>
      </c>
      <c r="C259" s="358" t="b">
        <v>1</v>
      </c>
      <c r="D259" s="358" t="b">
        <v>1</v>
      </c>
      <c r="E259" s="358" t="b">
        <v>0</v>
      </c>
      <c r="F259" s="358" t="b">
        <v>0</v>
      </c>
      <c r="G259" s="358" t="b">
        <v>0</v>
      </c>
      <c r="H259" s="358" t="b">
        <v>0</v>
      </c>
      <c r="I259" s="358">
        <v>1</v>
      </c>
      <c r="J259" s="358">
        <v>12</v>
      </c>
      <c r="K259" s="358" t="s">
        <v>485</v>
      </c>
      <c r="L259" s="358" t="s">
        <v>1256</v>
      </c>
    </row>
    <row r="260" spans="1:12" x14ac:dyDescent="0.2">
      <c r="A260" s="358" t="s">
        <v>1257</v>
      </c>
      <c r="B260" s="359" t="s">
        <v>1258</v>
      </c>
      <c r="C260" s="358" t="b">
        <v>1</v>
      </c>
      <c r="D260" s="358" t="b">
        <v>1</v>
      </c>
      <c r="E260" s="358" t="b">
        <v>0</v>
      </c>
      <c r="F260" s="358" t="b">
        <v>0</v>
      </c>
      <c r="G260" s="358" t="b">
        <v>0</v>
      </c>
      <c r="H260" s="358" t="b">
        <v>0</v>
      </c>
      <c r="I260" s="358">
        <v>1</v>
      </c>
      <c r="J260" s="358">
        <v>12</v>
      </c>
      <c r="K260" s="358" t="s">
        <v>485</v>
      </c>
      <c r="L260" s="358" t="s">
        <v>1259</v>
      </c>
    </row>
    <row r="261" spans="1:12" x14ac:dyDescent="0.2">
      <c r="A261" s="358" t="s">
        <v>1260</v>
      </c>
      <c r="B261" s="359" t="s">
        <v>1261</v>
      </c>
      <c r="C261" s="358" t="b">
        <v>1</v>
      </c>
      <c r="D261" s="358" t="b">
        <v>1</v>
      </c>
      <c r="E261" s="358" t="b">
        <v>0</v>
      </c>
      <c r="F261" s="358" t="b">
        <v>0</v>
      </c>
      <c r="G261" s="358" t="b">
        <v>0</v>
      </c>
      <c r="H261" s="358" t="b">
        <v>0</v>
      </c>
      <c r="I261" s="358">
        <v>1</v>
      </c>
      <c r="J261" s="358">
        <v>12</v>
      </c>
      <c r="K261" s="358" t="s">
        <v>485</v>
      </c>
      <c r="L261" s="358" t="s">
        <v>1262</v>
      </c>
    </row>
    <row r="262" spans="1:12" x14ac:dyDescent="0.2">
      <c r="A262" s="358" t="s">
        <v>1263</v>
      </c>
      <c r="B262" s="359" t="s">
        <v>1264</v>
      </c>
      <c r="C262" s="358" t="b">
        <v>1</v>
      </c>
      <c r="D262" s="358" t="b">
        <v>1</v>
      </c>
      <c r="E262" s="358" t="b">
        <v>0</v>
      </c>
      <c r="F262" s="358" t="b">
        <v>0</v>
      </c>
      <c r="G262" s="358" t="b">
        <v>0</v>
      </c>
      <c r="H262" s="358" t="b">
        <v>0</v>
      </c>
      <c r="I262" s="358">
        <v>1</v>
      </c>
      <c r="J262" s="358">
        <v>12</v>
      </c>
      <c r="K262" s="358" t="s">
        <v>485</v>
      </c>
      <c r="L262" s="358" t="s">
        <v>1265</v>
      </c>
    </row>
    <row r="263" spans="1:12" x14ac:dyDescent="0.2">
      <c r="A263" s="358" t="s">
        <v>1266</v>
      </c>
      <c r="B263" s="359" t="s">
        <v>1267</v>
      </c>
      <c r="C263" s="358" t="b">
        <v>1</v>
      </c>
      <c r="D263" s="358" t="b">
        <v>1</v>
      </c>
      <c r="E263" s="358" t="b">
        <v>0</v>
      </c>
      <c r="F263" s="358" t="b">
        <v>0</v>
      </c>
      <c r="G263" s="358" t="b">
        <v>0</v>
      </c>
      <c r="H263" s="358" t="b">
        <v>0</v>
      </c>
      <c r="I263" s="358">
        <v>1</v>
      </c>
      <c r="J263" s="358">
        <v>12</v>
      </c>
      <c r="K263" s="358" t="s">
        <v>485</v>
      </c>
      <c r="L263" s="358" t="s">
        <v>1268</v>
      </c>
    </row>
    <row r="264" spans="1:12" x14ac:dyDescent="0.2">
      <c r="A264" s="358" t="s">
        <v>1269</v>
      </c>
      <c r="B264" s="359" t="s">
        <v>1270</v>
      </c>
      <c r="C264" s="358" t="b">
        <v>1</v>
      </c>
      <c r="D264" s="358" t="b">
        <v>1</v>
      </c>
      <c r="E264" s="358" t="b">
        <v>0</v>
      </c>
      <c r="F264" s="358" t="b">
        <v>0</v>
      </c>
      <c r="G264" s="358" t="b">
        <v>0</v>
      </c>
      <c r="H264" s="358" t="b">
        <v>0</v>
      </c>
      <c r="I264" s="358">
        <v>1</v>
      </c>
      <c r="J264" s="358">
        <v>12</v>
      </c>
      <c r="K264" s="358" t="s">
        <v>485</v>
      </c>
      <c r="L264" s="358" t="s">
        <v>1271</v>
      </c>
    </row>
    <row r="265" spans="1:12" x14ac:dyDescent="0.2">
      <c r="A265" s="358" t="s">
        <v>1272</v>
      </c>
      <c r="B265" s="359" t="s">
        <v>1273</v>
      </c>
      <c r="C265" s="358" t="b">
        <v>1</v>
      </c>
      <c r="D265" s="358" t="b">
        <v>1</v>
      </c>
      <c r="E265" s="358" t="b">
        <v>0</v>
      </c>
      <c r="F265" s="358" t="b">
        <v>0</v>
      </c>
      <c r="G265" s="358" t="b">
        <v>0</v>
      </c>
      <c r="H265" s="358" t="b">
        <v>0</v>
      </c>
      <c r="I265" s="358">
        <v>1</v>
      </c>
      <c r="J265" s="358">
        <v>12</v>
      </c>
      <c r="K265" s="358" t="s">
        <v>485</v>
      </c>
      <c r="L265" s="358" t="s">
        <v>1274</v>
      </c>
    </row>
    <row r="266" spans="1:12" x14ac:dyDescent="0.2">
      <c r="A266" s="358" t="s">
        <v>1275</v>
      </c>
      <c r="B266" s="359" t="s">
        <v>1276</v>
      </c>
      <c r="C266" s="358" t="b">
        <v>1</v>
      </c>
      <c r="D266" s="358" t="b">
        <v>1</v>
      </c>
      <c r="E266" s="358" t="b">
        <v>0</v>
      </c>
      <c r="F266" s="358" t="b">
        <v>0</v>
      </c>
      <c r="G266" s="358" t="b">
        <v>0</v>
      </c>
      <c r="H266" s="358" t="b">
        <v>0</v>
      </c>
      <c r="I266" s="358">
        <v>1</v>
      </c>
      <c r="J266" s="358">
        <v>12</v>
      </c>
      <c r="K266" s="358" t="s">
        <v>485</v>
      </c>
      <c r="L266" s="358" t="s">
        <v>1277</v>
      </c>
    </row>
    <row r="267" spans="1:12" x14ac:dyDescent="0.2">
      <c r="A267" s="358" t="s">
        <v>1278</v>
      </c>
      <c r="B267" s="359" t="s">
        <v>1279</v>
      </c>
      <c r="C267" s="358" t="b">
        <v>1</v>
      </c>
      <c r="D267" s="358" t="b">
        <v>1</v>
      </c>
      <c r="E267" s="358" t="b">
        <v>0</v>
      </c>
      <c r="F267" s="358" t="b">
        <v>0</v>
      </c>
      <c r="G267" s="358" t="b">
        <v>0</v>
      </c>
      <c r="H267" s="358" t="b">
        <v>0</v>
      </c>
      <c r="I267" s="358">
        <v>1</v>
      </c>
      <c r="J267" s="358">
        <v>12</v>
      </c>
      <c r="K267" s="358" t="s">
        <v>485</v>
      </c>
      <c r="L267" s="358" t="s">
        <v>1280</v>
      </c>
    </row>
    <row r="268" spans="1:12" x14ac:dyDescent="0.2">
      <c r="A268" s="358" t="s">
        <v>1281</v>
      </c>
      <c r="B268" s="359" t="s">
        <v>1282</v>
      </c>
      <c r="C268" s="358" t="b">
        <v>1</v>
      </c>
      <c r="D268" s="358" t="b">
        <v>1</v>
      </c>
      <c r="E268" s="358" t="b">
        <v>0</v>
      </c>
      <c r="F268" s="358" t="b">
        <v>0</v>
      </c>
      <c r="G268" s="358" t="b">
        <v>0</v>
      </c>
      <c r="H268" s="358" t="b">
        <v>0</v>
      </c>
      <c r="I268" s="358">
        <v>1</v>
      </c>
      <c r="J268" s="358">
        <v>12</v>
      </c>
      <c r="K268" s="358" t="s">
        <v>485</v>
      </c>
      <c r="L268" s="358" t="s">
        <v>1283</v>
      </c>
    </row>
    <row r="269" spans="1:12" x14ac:dyDescent="0.2">
      <c r="A269" s="358" t="s">
        <v>1284</v>
      </c>
      <c r="B269" s="359" t="s">
        <v>1285</v>
      </c>
      <c r="C269" s="358" t="b">
        <v>1</v>
      </c>
      <c r="D269" s="358" t="b">
        <v>1</v>
      </c>
      <c r="E269" s="358" t="b">
        <v>0</v>
      </c>
      <c r="F269" s="358" t="b">
        <v>0</v>
      </c>
      <c r="G269" s="358" t="b">
        <v>0</v>
      </c>
      <c r="H269" s="358" t="b">
        <v>0</v>
      </c>
      <c r="I269" s="358">
        <v>1</v>
      </c>
      <c r="J269" s="358">
        <v>12</v>
      </c>
      <c r="K269" s="358" t="s">
        <v>485</v>
      </c>
      <c r="L269" s="358" t="s">
        <v>1286</v>
      </c>
    </row>
    <row r="270" spans="1:12" x14ac:dyDescent="0.2">
      <c r="A270" s="358" t="s">
        <v>1287</v>
      </c>
      <c r="B270" s="359" t="s">
        <v>1288</v>
      </c>
      <c r="C270" s="358" t="b">
        <v>1</v>
      </c>
      <c r="D270" s="358" t="b">
        <v>1</v>
      </c>
      <c r="E270" s="358" t="b">
        <v>0</v>
      </c>
      <c r="F270" s="358" t="b">
        <v>0</v>
      </c>
      <c r="G270" s="358" t="b">
        <v>0</v>
      </c>
      <c r="H270" s="358" t="b">
        <v>0</v>
      </c>
      <c r="I270" s="358">
        <v>1</v>
      </c>
      <c r="J270" s="358">
        <v>1</v>
      </c>
      <c r="K270" s="358" t="s">
        <v>485</v>
      </c>
      <c r="L270" s="358" t="s">
        <v>1289</v>
      </c>
    </row>
    <row r="271" spans="1:12" x14ac:dyDescent="0.2">
      <c r="A271" s="358" t="s">
        <v>1290</v>
      </c>
      <c r="B271" s="359" t="s">
        <v>1291</v>
      </c>
      <c r="C271" s="358" t="b">
        <v>1</v>
      </c>
      <c r="D271" s="358" t="b">
        <v>1</v>
      </c>
      <c r="E271" s="358" t="b">
        <v>0</v>
      </c>
      <c r="F271" s="358" t="b">
        <v>0</v>
      </c>
      <c r="G271" s="358" t="b">
        <v>0</v>
      </c>
      <c r="H271" s="358" t="b">
        <v>0</v>
      </c>
      <c r="I271" s="358">
        <v>1</v>
      </c>
      <c r="J271" s="358">
        <v>1</v>
      </c>
      <c r="K271" s="358" t="s">
        <v>485</v>
      </c>
      <c r="L271" s="358" t="s">
        <v>1292</v>
      </c>
    </row>
    <row r="272" spans="1:12" x14ac:dyDescent="0.2">
      <c r="A272" s="358" t="s">
        <v>1293</v>
      </c>
      <c r="B272" s="359" t="s">
        <v>1294</v>
      </c>
      <c r="C272" s="358" t="b">
        <v>1</v>
      </c>
      <c r="D272" s="358" t="b">
        <v>1</v>
      </c>
      <c r="E272" s="358" t="b">
        <v>0</v>
      </c>
      <c r="F272" s="358" t="b">
        <v>0</v>
      </c>
      <c r="G272" s="358" t="b">
        <v>0</v>
      </c>
      <c r="H272" s="358" t="b">
        <v>0</v>
      </c>
      <c r="I272" s="358">
        <v>1</v>
      </c>
      <c r="J272" s="358">
        <v>1</v>
      </c>
      <c r="K272" s="358" t="s">
        <v>485</v>
      </c>
      <c r="L272" s="358" t="s">
        <v>1295</v>
      </c>
    </row>
    <row r="273" spans="1:12" x14ac:dyDescent="0.2">
      <c r="A273" s="358" t="s">
        <v>1296</v>
      </c>
      <c r="B273" s="359" t="s">
        <v>1297</v>
      </c>
      <c r="C273" s="358" t="b">
        <v>1</v>
      </c>
      <c r="D273" s="358" t="b">
        <v>1</v>
      </c>
      <c r="E273" s="358" t="b">
        <v>0</v>
      </c>
      <c r="F273" s="358" t="b">
        <v>0</v>
      </c>
      <c r="G273" s="358" t="b">
        <v>0</v>
      </c>
      <c r="H273" s="358" t="b">
        <v>0</v>
      </c>
      <c r="I273" s="358">
        <v>1</v>
      </c>
      <c r="J273" s="358">
        <v>1</v>
      </c>
      <c r="K273" s="358" t="s">
        <v>485</v>
      </c>
      <c r="L273" s="358" t="s">
        <v>1298</v>
      </c>
    </row>
    <row r="274" spans="1:12" x14ac:dyDescent="0.2">
      <c r="A274" s="358" t="s">
        <v>1299</v>
      </c>
      <c r="B274" s="359" t="s">
        <v>1300</v>
      </c>
      <c r="C274" s="358" t="b">
        <v>1</v>
      </c>
      <c r="D274" s="358" t="b">
        <v>1</v>
      </c>
      <c r="E274" s="358" t="b">
        <v>0</v>
      </c>
      <c r="F274" s="358" t="b">
        <v>0</v>
      </c>
      <c r="G274" s="358" t="b">
        <v>0</v>
      </c>
      <c r="H274" s="358" t="b">
        <v>0</v>
      </c>
      <c r="I274" s="358">
        <v>1</v>
      </c>
      <c r="J274" s="358">
        <v>1</v>
      </c>
      <c r="K274" s="358" t="s">
        <v>485</v>
      </c>
      <c r="L274" s="358" t="s">
        <v>1301</v>
      </c>
    </row>
    <row r="275" spans="1:12" x14ac:dyDescent="0.2">
      <c r="A275" s="358" t="s">
        <v>1302</v>
      </c>
      <c r="B275" s="359" t="s">
        <v>1303</v>
      </c>
      <c r="C275" s="358" t="b">
        <v>1</v>
      </c>
      <c r="D275" s="358" t="b">
        <v>1</v>
      </c>
      <c r="E275" s="358" t="b">
        <v>0</v>
      </c>
      <c r="F275" s="358" t="b">
        <v>0</v>
      </c>
      <c r="G275" s="358" t="b">
        <v>0</v>
      </c>
      <c r="H275" s="358" t="b">
        <v>0</v>
      </c>
      <c r="I275" s="358">
        <v>1</v>
      </c>
      <c r="J275" s="358">
        <v>1</v>
      </c>
      <c r="K275" s="358" t="s">
        <v>485</v>
      </c>
      <c r="L275" s="358" t="s">
        <v>1304</v>
      </c>
    </row>
    <row r="276" spans="1:12" x14ac:dyDescent="0.2">
      <c r="A276" s="358" t="s">
        <v>1305</v>
      </c>
      <c r="B276" s="359" t="s">
        <v>1306</v>
      </c>
      <c r="C276" s="358" t="b">
        <v>1</v>
      </c>
      <c r="D276" s="358" t="b">
        <v>1</v>
      </c>
      <c r="E276" s="358" t="b">
        <v>0</v>
      </c>
      <c r="F276" s="358" t="b">
        <v>0</v>
      </c>
      <c r="G276" s="358" t="b">
        <v>0</v>
      </c>
      <c r="H276" s="358" t="b">
        <v>0</v>
      </c>
      <c r="I276" s="358">
        <v>1</v>
      </c>
      <c r="J276" s="358">
        <v>1</v>
      </c>
      <c r="K276" s="358" t="s">
        <v>485</v>
      </c>
      <c r="L276" s="358" t="s">
        <v>1307</v>
      </c>
    </row>
    <row r="277" spans="1:12" x14ac:dyDescent="0.2">
      <c r="A277" s="358" t="s">
        <v>1308</v>
      </c>
      <c r="B277" s="359" t="s">
        <v>1309</v>
      </c>
      <c r="C277" s="358" t="b">
        <v>1</v>
      </c>
      <c r="D277" s="358" t="b">
        <v>1</v>
      </c>
      <c r="E277" s="358" t="b">
        <v>0</v>
      </c>
      <c r="F277" s="358" t="b">
        <v>0</v>
      </c>
      <c r="G277" s="358" t="b">
        <v>0</v>
      </c>
      <c r="H277" s="358" t="b">
        <v>0</v>
      </c>
      <c r="I277" s="358">
        <v>1</v>
      </c>
      <c r="J277" s="358">
        <v>1</v>
      </c>
      <c r="K277" s="358" t="s">
        <v>485</v>
      </c>
      <c r="L277" s="358" t="s">
        <v>1310</v>
      </c>
    </row>
    <row r="278" spans="1:12" x14ac:dyDescent="0.2">
      <c r="A278" s="358" t="s">
        <v>1311</v>
      </c>
      <c r="B278" s="359" t="s">
        <v>1312</v>
      </c>
      <c r="C278" s="358" t="b">
        <v>1</v>
      </c>
      <c r="D278" s="358" t="b">
        <v>1</v>
      </c>
      <c r="E278" s="358" t="b">
        <v>0</v>
      </c>
      <c r="F278" s="358" t="b">
        <v>0</v>
      </c>
      <c r="G278" s="358" t="b">
        <v>0</v>
      </c>
      <c r="H278" s="358" t="b">
        <v>0</v>
      </c>
      <c r="I278" s="358">
        <v>1</v>
      </c>
      <c r="J278" s="358">
        <v>1</v>
      </c>
      <c r="K278" s="358" t="s">
        <v>485</v>
      </c>
      <c r="L278" s="358" t="s">
        <v>1313</v>
      </c>
    </row>
    <row r="279" spans="1:12" x14ac:dyDescent="0.2">
      <c r="A279" s="358" t="s">
        <v>1314</v>
      </c>
      <c r="B279" s="359" t="s">
        <v>1315</v>
      </c>
      <c r="C279" s="358" t="b">
        <v>1</v>
      </c>
      <c r="D279" s="358" t="b">
        <v>1</v>
      </c>
      <c r="E279" s="358" t="b">
        <v>0</v>
      </c>
      <c r="F279" s="358" t="b">
        <v>0</v>
      </c>
      <c r="G279" s="358" t="b">
        <v>0</v>
      </c>
      <c r="H279" s="358" t="b">
        <v>0</v>
      </c>
      <c r="I279" s="358">
        <v>1</v>
      </c>
      <c r="J279" s="358">
        <v>1</v>
      </c>
      <c r="K279" s="358" t="s">
        <v>485</v>
      </c>
      <c r="L279" s="358" t="s">
        <v>1316</v>
      </c>
    </row>
    <row r="280" spans="1:12" x14ac:dyDescent="0.2">
      <c r="A280" s="358" t="s">
        <v>1317</v>
      </c>
      <c r="B280" s="359" t="s">
        <v>1318</v>
      </c>
      <c r="C280" s="358" t="b">
        <v>1</v>
      </c>
      <c r="D280" s="358" t="b">
        <v>1</v>
      </c>
      <c r="E280" s="358" t="b">
        <v>0</v>
      </c>
      <c r="F280" s="358" t="b">
        <v>0</v>
      </c>
      <c r="G280" s="358" t="b">
        <v>0</v>
      </c>
      <c r="H280" s="358" t="b">
        <v>0</v>
      </c>
      <c r="I280" s="358">
        <v>1</v>
      </c>
      <c r="J280" s="358">
        <v>12</v>
      </c>
      <c r="K280" s="358" t="s">
        <v>485</v>
      </c>
      <c r="L280" s="358" t="s">
        <v>1319</v>
      </c>
    </row>
    <row r="281" spans="1:12" x14ac:dyDescent="0.2">
      <c r="A281" s="358" t="s">
        <v>1320</v>
      </c>
      <c r="B281" s="359" t="s">
        <v>1321</v>
      </c>
      <c r="C281" s="358" t="b">
        <v>1</v>
      </c>
      <c r="D281" s="358" t="b">
        <v>1</v>
      </c>
      <c r="E281" s="358" t="b">
        <v>0</v>
      </c>
      <c r="F281" s="358" t="b">
        <v>0</v>
      </c>
      <c r="G281" s="358" t="b">
        <v>0</v>
      </c>
      <c r="H281" s="358" t="b">
        <v>0</v>
      </c>
      <c r="I281" s="358">
        <v>1</v>
      </c>
      <c r="J281" s="358">
        <v>12</v>
      </c>
      <c r="K281" s="358" t="s">
        <v>485</v>
      </c>
      <c r="L281" s="358" t="s">
        <v>1322</v>
      </c>
    </row>
    <row r="282" spans="1:12" x14ac:dyDescent="0.2">
      <c r="A282" s="358" t="s">
        <v>1323</v>
      </c>
      <c r="B282" s="359" t="s">
        <v>1324</v>
      </c>
      <c r="C282" s="358" t="b">
        <v>1</v>
      </c>
      <c r="D282" s="358" t="b">
        <v>1</v>
      </c>
      <c r="E282" s="358" t="b">
        <v>0</v>
      </c>
      <c r="F282" s="358" t="b">
        <v>0</v>
      </c>
      <c r="G282" s="358" t="b">
        <v>0</v>
      </c>
      <c r="H282" s="358" t="b">
        <v>0</v>
      </c>
      <c r="I282" s="358">
        <v>1</v>
      </c>
      <c r="J282" s="358">
        <v>12</v>
      </c>
      <c r="K282" s="358" t="s">
        <v>485</v>
      </c>
      <c r="L282" s="358" t="s">
        <v>1325</v>
      </c>
    </row>
    <row r="283" spans="1:12" x14ac:dyDescent="0.2">
      <c r="A283" s="358" t="s">
        <v>1326</v>
      </c>
      <c r="B283" s="359" t="s">
        <v>1327</v>
      </c>
      <c r="C283" s="358" t="b">
        <v>1</v>
      </c>
      <c r="D283" s="358" t="b">
        <v>1</v>
      </c>
      <c r="E283" s="358" t="b">
        <v>0</v>
      </c>
      <c r="F283" s="358" t="b">
        <v>0</v>
      </c>
      <c r="G283" s="358" t="b">
        <v>0</v>
      </c>
      <c r="H283" s="358" t="b">
        <v>0</v>
      </c>
      <c r="I283" s="358">
        <v>1</v>
      </c>
      <c r="J283" s="358">
        <v>12</v>
      </c>
      <c r="K283" s="358" t="s">
        <v>485</v>
      </c>
      <c r="L283" s="358" t="s">
        <v>1328</v>
      </c>
    </row>
    <row r="284" spans="1:12" x14ac:dyDescent="0.2">
      <c r="A284" s="358" t="s">
        <v>1329</v>
      </c>
      <c r="B284" s="359" t="s">
        <v>1330</v>
      </c>
      <c r="C284" s="358" t="b">
        <v>1</v>
      </c>
      <c r="D284" s="358" t="b">
        <v>1</v>
      </c>
      <c r="E284" s="358" t="b">
        <v>0</v>
      </c>
      <c r="F284" s="358" t="b">
        <v>0</v>
      </c>
      <c r="G284" s="358" t="b">
        <v>0</v>
      </c>
      <c r="H284" s="358" t="b">
        <v>0</v>
      </c>
      <c r="I284" s="358">
        <v>1</v>
      </c>
      <c r="J284" s="358">
        <v>12</v>
      </c>
      <c r="K284" s="358" t="s">
        <v>485</v>
      </c>
      <c r="L284" s="358" t="s">
        <v>1331</v>
      </c>
    </row>
    <row r="285" spans="1:12" x14ac:dyDescent="0.2">
      <c r="A285" s="358" t="s">
        <v>1332</v>
      </c>
      <c r="B285" s="359" t="s">
        <v>1333</v>
      </c>
      <c r="C285" s="358" t="b">
        <v>1</v>
      </c>
      <c r="D285" s="358" t="b">
        <v>1</v>
      </c>
      <c r="E285" s="358" t="b">
        <v>0</v>
      </c>
      <c r="F285" s="358" t="b">
        <v>0</v>
      </c>
      <c r="G285" s="358" t="b">
        <v>0</v>
      </c>
      <c r="H285" s="358" t="b">
        <v>0</v>
      </c>
      <c r="I285" s="358">
        <v>1</v>
      </c>
      <c r="J285" s="358">
        <v>12</v>
      </c>
      <c r="K285" s="358" t="s">
        <v>485</v>
      </c>
      <c r="L285" s="358" t="s">
        <v>1334</v>
      </c>
    </row>
    <row r="286" spans="1:12" x14ac:dyDescent="0.2">
      <c r="A286" s="358" t="s">
        <v>1335</v>
      </c>
      <c r="B286" s="359" t="s">
        <v>1336</v>
      </c>
      <c r="C286" s="358" t="b">
        <v>1</v>
      </c>
      <c r="D286" s="358" t="b">
        <v>1</v>
      </c>
      <c r="E286" s="358" t="b">
        <v>0</v>
      </c>
      <c r="F286" s="358" t="b">
        <v>0</v>
      </c>
      <c r="G286" s="358" t="b">
        <v>0</v>
      </c>
      <c r="H286" s="358" t="b">
        <v>0</v>
      </c>
      <c r="I286" s="358">
        <v>1</v>
      </c>
      <c r="J286" s="358">
        <v>12</v>
      </c>
      <c r="K286" s="358" t="s">
        <v>485</v>
      </c>
      <c r="L286" s="358" t="s">
        <v>1337</v>
      </c>
    </row>
    <row r="287" spans="1:12" x14ac:dyDescent="0.2">
      <c r="A287" s="358" t="s">
        <v>1338</v>
      </c>
      <c r="B287" s="359" t="s">
        <v>1339</v>
      </c>
      <c r="C287" s="358" t="b">
        <v>1</v>
      </c>
      <c r="D287" s="358" t="b">
        <v>1</v>
      </c>
      <c r="E287" s="358" t="b">
        <v>0</v>
      </c>
      <c r="F287" s="358" t="b">
        <v>0</v>
      </c>
      <c r="G287" s="358" t="b">
        <v>0</v>
      </c>
      <c r="H287" s="358" t="b">
        <v>0</v>
      </c>
      <c r="I287" s="358">
        <v>1</v>
      </c>
      <c r="J287" s="358">
        <v>12</v>
      </c>
      <c r="K287" s="358" t="s">
        <v>485</v>
      </c>
      <c r="L287" s="358" t="s">
        <v>1340</v>
      </c>
    </row>
    <row r="288" spans="1:12" x14ac:dyDescent="0.2">
      <c r="A288" s="358" t="s">
        <v>1341</v>
      </c>
      <c r="B288" s="359" t="s">
        <v>1342</v>
      </c>
      <c r="C288" s="358" t="b">
        <v>1</v>
      </c>
      <c r="D288" s="358" t="b">
        <v>1</v>
      </c>
      <c r="E288" s="358" t="b">
        <v>0</v>
      </c>
      <c r="F288" s="358" t="b">
        <v>0</v>
      </c>
      <c r="G288" s="358" t="b">
        <v>0</v>
      </c>
      <c r="H288" s="358" t="b">
        <v>0</v>
      </c>
      <c r="I288" s="358">
        <v>1</v>
      </c>
      <c r="J288" s="358">
        <v>12</v>
      </c>
      <c r="K288" s="358" t="s">
        <v>485</v>
      </c>
      <c r="L288" s="358" t="s">
        <v>1343</v>
      </c>
    </row>
    <row r="289" spans="1:12" x14ac:dyDescent="0.2">
      <c r="A289" s="358" t="s">
        <v>1344</v>
      </c>
      <c r="B289" s="359" t="s">
        <v>1345</v>
      </c>
      <c r="C289" s="358" t="b">
        <v>1</v>
      </c>
      <c r="D289" s="358" t="b">
        <v>1</v>
      </c>
      <c r="E289" s="358" t="b">
        <v>0</v>
      </c>
      <c r="F289" s="358" t="b">
        <v>0</v>
      </c>
      <c r="G289" s="358" t="b">
        <v>0</v>
      </c>
      <c r="H289" s="358" t="b">
        <v>0</v>
      </c>
      <c r="I289" s="358">
        <v>1</v>
      </c>
      <c r="J289" s="358">
        <v>12</v>
      </c>
      <c r="K289" s="358" t="s">
        <v>485</v>
      </c>
      <c r="L289" s="358" t="s">
        <v>1346</v>
      </c>
    </row>
    <row r="290" spans="1:12" x14ac:dyDescent="0.2">
      <c r="A290" s="358" t="s">
        <v>1347</v>
      </c>
      <c r="B290" s="359" t="s">
        <v>1348</v>
      </c>
      <c r="C290" s="358" t="b">
        <v>1</v>
      </c>
      <c r="D290" s="358" t="b">
        <v>1</v>
      </c>
      <c r="E290" s="358" t="b">
        <v>0</v>
      </c>
      <c r="F290" s="358" t="b">
        <v>0</v>
      </c>
      <c r="G290" s="358" t="b">
        <v>0</v>
      </c>
      <c r="H290" s="358" t="b">
        <v>0</v>
      </c>
      <c r="I290" s="358">
        <v>1</v>
      </c>
      <c r="J290" s="358">
        <v>1</v>
      </c>
      <c r="K290" s="358" t="s">
        <v>485</v>
      </c>
      <c r="L290" s="358" t="s">
        <v>1349</v>
      </c>
    </row>
    <row r="291" spans="1:12" x14ac:dyDescent="0.2">
      <c r="A291" s="358" t="s">
        <v>1350</v>
      </c>
      <c r="B291" s="359" t="s">
        <v>1351</v>
      </c>
      <c r="C291" s="358" t="b">
        <v>1</v>
      </c>
      <c r="D291" s="358" t="b">
        <v>1</v>
      </c>
      <c r="E291" s="358" t="b">
        <v>0</v>
      </c>
      <c r="F291" s="358" t="b">
        <v>0</v>
      </c>
      <c r="G291" s="358" t="b">
        <v>0</v>
      </c>
      <c r="H291" s="358" t="b">
        <v>0</v>
      </c>
      <c r="I291" s="358">
        <v>1</v>
      </c>
      <c r="J291" s="358">
        <v>12</v>
      </c>
      <c r="K291" s="358" t="s">
        <v>485</v>
      </c>
      <c r="L291" s="358" t="s">
        <v>1352</v>
      </c>
    </row>
    <row r="292" spans="1:12" x14ac:dyDescent="0.2">
      <c r="A292" s="358" t="s">
        <v>1353</v>
      </c>
      <c r="B292" s="359" t="s">
        <v>1354</v>
      </c>
      <c r="C292" s="358" t="b">
        <v>1</v>
      </c>
      <c r="D292" s="358" t="b">
        <v>1</v>
      </c>
      <c r="E292" s="358" t="b">
        <v>0</v>
      </c>
      <c r="F292" s="358" t="b">
        <v>0</v>
      </c>
      <c r="G292" s="358" t="b">
        <v>0</v>
      </c>
      <c r="H292" s="358" t="b">
        <v>0</v>
      </c>
      <c r="I292" s="358">
        <v>1</v>
      </c>
      <c r="J292" s="358">
        <v>1</v>
      </c>
      <c r="K292" s="358" t="s">
        <v>485</v>
      </c>
      <c r="L292" s="358" t="s">
        <v>1355</v>
      </c>
    </row>
    <row r="293" spans="1:12" x14ac:dyDescent="0.2">
      <c r="A293" s="358" t="s">
        <v>1356</v>
      </c>
      <c r="B293" s="359" t="s">
        <v>1357</v>
      </c>
      <c r="C293" s="358" t="b">
        <v>1</v>
      </c>
      <c r="D293" s="358" t="b">
        <v>1</v>
      </c>
      <c r="E293" s="358" t="b">
        <v>0</v>
      </c>
      <c r="F293" s="358" t="b">
        <v>0</v>
      </c>
      <c r="G293" s="358" t="b">
        <v>0</v>
      </c>
      <c r="H293" s="358" t="b">
        <v>0</v>
      </c>
      <c r="I293" s="358">
        <v>1</v>
      </c>
      <c r="J293" s="358">
        <v>1</v>
      </c>
      <c r="K293" s="358" t="s">
        <v>485</v>
      </c>
      <c r="L293" s="358" t="s">
        <v>1358</v>
      </c>
    </row>
    <row r="294" spans="1:12" x14ac:dyDescent="0.2">
      <c r="A294" s="358" t="s">
        <v>1359</v>
      </c>
      <c r="B294" s="359" t="s">
        <v>1360</v>
      </c>
      <c r="C294" s="358" t="b">
        <v>1</v>
      </c>
      <c r="D294" s="358" t="b">
        <v>1</v>
      </c>
      <c r="E294" s="358" t="b">
        <v>0</v>
      </c>
      <c r="F294" s="358" t="b">
        <v>0</v>
      </c>
      <c r="G294" s="358" t="b">
        <v>0</v>
      </c>
      <c r="H294" s="358" t="b">
        <v>0</v>
      </c>
      <c r="I294" s="358">
        <v>1</v>
      </c>
      <c r="J294" s="358">
        <v>1</v>
      </c>
      <c r="K294" s="358" t="s">
        <v>485</v>
      </c>
      <c r="L294" s="358" t="s">
        <v>1361</v>
      </c>
    </row>
    <row r="295" spans="1:12" x14ac:dyDescent="0.2">
      <c r="A295" s="358" t="s">
        <v>1362</v>
      </c>
      <c r="B295" s="359" t="s">
        <v>1363</v>
      </c>
      <c r="C295" s="358" t="b">
        <v>1</v>
      </c>
      <c r="D295" s="358" t="b">
        <v>1</v>
      </c>
      <c r="E295" s="358" t="b">
        <v>0</v>
      </c>
      <c r="F295" s="358" t="b">
        <v>0</v>
      </c>
      <c r="G295" s="358" t="b">
        <v>0</v>
      </c>
      <c r="H295" s="358" t="b">
        <v>0</v>
      </c>
      <c r="I295" s="358">
        <v>1</v>
      </c>
      <c r="J295" s="358">
        <v>1</v>
      </c>
      <c r="K295" s="358" t="s">
        <v>485</v>
      </c>
      <c r="L295" s="358" t="s">
        <v>1364</v>
      </c>
    </row>
    <row r="296" spans="1:12" x14ac:dyDescent="0.2">
      <c r="A296" s="358" t="s">
        <v>1365</v>
      </c>
      <c r="B296" s="359" t="s">
        <v>1366</v>
      </c>
      <c r="C296" s="358" t="b">
        <v>1</v>
      </c>
      <c r="D296" s="358" t="b">
        <v>1</v>
      </c>
      <c r="E296" s="358" t="b">
        <v>0</v>
      </c>
      <c r="F296" s="358" t="b">
        <v>0</v>
      </c>
      <c r="G296" s="358" t="b">
        <v>0</v>
      </c>
      <c r="H296" s="358" t="b">
        <v>0</v>
      </c>
      <c r="I296" s="358">
        <v>1</v>
      </c>
      <c r="J296" s="358">
        <v>12</v>
      </c>
      <c r="K296" s="358" t="s">
        <v>485</v>
      </c>
      <c r="L296" s="358" t="s">
        <v>1367</v>
      </c>
    </row>
    <row r="297" spans="1:12" x14ac:dyDescent="0.2">
      <c r="A297" s="358" t="s">
        <v>1368</v>
      </c>
      <c r="B297" s="359" t="s">
        <v>1369</v>
      </c>
      <c r="C297" s="358" t="b">
        <v>1</v>
      </c>
      <c r="D297" s="358" t="b">
        <v>1</v>
      </c>
      <c r="E297" s="358" t="b">
        <v>0</v>
      </c>
      <c r="F297" s="358" t="b">
        <v>0</v>
      </c>
      <c r="G297" s="358" t="b">
        <v>0</v>
      </c>
      <c r="H297" s="358" t="b">
        <v>0</v>
      </c>
      <c r="I297" s="358">
        <v>1</v>
      </c>
      <c r="J297" s="358">
        <v>12</v>
      </c>
      <c r="K297" s="358" t="s">
        <v>485</v>
      </c>
      <c r="L297" s="358" t="s">
        <v>1370</v>
      </c>
    </row>
    <row r="298" spans="1:12" x14ac:dyDescent="0.2">
      <c r="A298" s="358" t="s">
        <v>1371</v>
      </c>
      <c r="B298" s="359" t="s">
        <v>1372</v>
      </c>
      <c r="C298" s="358" t="b">
        <v>1</v>
      </c>
      <c r="D298" s="358" t="b">
        <v>1</v>
      </c>
      <c r="E298" s="358" t="b">
        <v>0</v>
      </c>
      <c r="F298" s="358" t="b">
        <v>0</v>
      </c>
      <c r="G298" s="358" t="b">
        <v>0</v>
      </c>
      <c r="H298" s="358" t="b">
        <v>0</v>
      </c>
      <c r="I298" s="358">
        <v>1</v>
      </c>
      <c r="J298" s="358">
        <v>12</v>
      </c>
      <c r="K298" s="358" t="s">
        <v>485</v>
      </c>
      <c r="L298" s="358" t="s">
        <v>1373</v>
      </c>
    </row>
    <row r="299" spans="1:12" x14ac:dyDescent="0.2">
      <c r="A299" s="358" t="s">
        <v>1374</v>
      </c>
      <c r="B299" s="359" t="s">
        <v>1375</v>
      </c>
      <c r="C299" s="358" t="b">
        <v>1</v>
      </c>
      <c r="D299" s="358" t="b">
        <v>1</v>
      </c>
      <c r="E299" s="358" t="b">
        <v>0</v>
      </c>
      <c r="F299" s="358" t="b">
        <v>0</v>
      </c>
      <c r="G299" s="358" t="b">
        <v>0</v>
      </c>
      <c r="H299" s="358" t="b">
        <v>0</v>
      </c>
      <c r="I299" s="358">
        <v>1</v>
      </c>
      <c r="J299" s="358">
        <v>12</v>
      </c>
      <c r="K299" s="358" t="s">
        <v>485</v>
      </c>
      <c r="L299" s="358" t="s">
        <v>1376</v>
      </c>
    </row>
    <row r="300" spans="1:12" x14ac:dyDescent="0.2">
      <c r="A300" s="358" t="s">
        <v>1377</v>
      </c>
      <c r="B300" s="359" t="s">
        <v>1378</v>
      </c>
      <c r="C300" s="358" t="b">
        <v>1</v>
      </c>
      <c r="D300" s="358" t="b">
        <v>1</v>
      </c>
      <c r="E300" s="358" t="b">
        <v>0</v>
      </c>
      <c r="F300" s="358" t="b">
        <v>0</v>
      </c>
      <c r="G300" s="358" t="b">
        <v>0</v>
      </c>
      <c r="H300" s="358" t="b">
        <v>0</v>
      </c>
      <c r="I300" s="358">
        <v>1</v>
      </c>
      <c r="J300" s="358">
        <v>12</v>
      </c>
      <c r="K300" s="358" t="s">
        <v>485</v>
      </c>
      <c r="L300" s="358" t="s">
        <v>1379</v>
      </c>
    </row>
    <row r="301" spans="1:12" x14ac:dyDescent="0.2">
      <c r="A301" s="358" t="s">
        <v>1380</v>
      </c>
      <c r="B301" s="359" t="s">
        <v>1381</v>
      </c>
      <c r="C301" s="358" t="b">
        <v>1</v>
      </c>
      <c r="D301" s="358" t="b">
        <v>1</v>
      </c>
      <c r="E301" s="358" t="b">
        <v>0</v>
      </c>
      <c r="F301" s="358" t="b">
        <v>0</v>
      </c>
      <c r="G301" s="358" t="b">
        <v>0</v>
      </c>
      <c r="H301" s="358" t="b">
        <v>0</v>
      </c>
      <c r="I301" s="358">
        <v>1</v>
      </c>
      <c r="J301" s="358">
        <v>12</v>
      </c>
      <c r="K301" s="358" t="s">
        <v>485</v>
      </c>
      <c r="L301" s="358" t="s">
        <v>1382</v>
      </c>
    </row>
    <row r="302" spans="1:12" x14ac:dyDescent="0.2">
      <c r="A302" s="358" t="s">
        <v>1383</v>
      </c>
      <c r="B302" s="359" t="s">
        <v>1384</v>
      </c>
      <c r="C302" s="358" t="b">
        <v>1</v>
      </c>
      <c r="D302" s="358" t="b">
        <v>1</v>
      </c>
      <c r="E302" s="358" t="b">
        <v>0</v>
      </c>
      <c r="F302" s="358" t="b">
        <v>0</v>
      </c>
      <c r="G302" s="358" t="b">
        <v>0</v>
      </c>
      <c r="H302" s="358" t="b">
        <v>0</v>
      </c>
      <c r="I302" s="358">
        <v>1</v>
      </c>
      <c r="J302" s="358">
        <v>12</v>
      </c>
      <c r="K302" s="358" t="s">
        <v>485</v>
      </c>
      <c r="L302" s="358" t="s">
        <v>1385</v>
      </c>
    </row>
    <row r="303" spans="1:12" x14ac:dyDescent="0.2">
      <c r="A303" s="358" t="s">
        <v>1386</v>
      </c>
      <c r="B303" s="359" t="s">
        <v>1387</v>
      </c>
      <c r="C303" s="358" t="b">
        <v>1</v>
      </c>
      <c r="D303" s="358" t="b">
        <v>1</v>
      </c>
      <c r="E303" s="358" t="b">
        <v>0</v>
      </c>
      <c r="F303" s="358" t="b">
        <v>0</v>
      </c>
      <c r="G303" s="358" t="b">
        <v>0</v>
      </c>
      <c r="H303" s="358" t="b">
        <v>0</v>
      </c>
      <c r="I303" s="358">
        <v>1</v>
      </c>
      <c r="J303" s="358">
        <v>12</v>
      </c>
      <c r="K303" s="358" t="s">
        <v>485</v>
      </c>
      <c r="L303" s="358" t="s">
        <v>1388</v>
      </c>
    </row>
    <row r="304" spans="1:12" x14ac:dyDescent="0.2">
      <c r="A304" s="358" t="s">
        <v>1389</v>
      </c>
      <c r="B304" s="359" t="s">
        <v>1390</v>
      </c>
      <c r="C304" s="358" t="b">
        <v>1</v>
      </c>
      <c r="D304" s="358" t="b">
        <v>1</v>
      </c>
      <c r="E304" s="358" t="b">
        <v>0</v>
      </c>
      <c r="F304" s="358" t="b">
        <v>0</v>
      </c>
      <c r="G304" s="358" t="b">
        <v>0</v>
      </c>
      <c r="H304" s="358" t="b">
        <v>0</v>
      </c>
      <c r="I304" s="358">
        <v>1</v>
      </c>
      <c r="J304" s="358">
        <v>12</v>
      </c>
      <c r="K304" s="358" t="s">
        <v>485</v>
      </c>
      <c r="L304" s="358" t="s">
        <v>1391</v>
      </c>
    </row>
    <row r="305" spans="1:12" x14ac:dyDescent="0.2">
      <c r="A305" s="358" t="s">
        <v>1392</v>
      </c>
      <c r="B305" s="359" t="s">
        <v>1393</v>
      </c>
      <c r="C305" s="358" t="b">
        <v>1</v>
      </c>
      <c r="D305" s="358" t="b">
        <v>1</v>
      </c>
      <c r="E305" s="358" t="b">
        <v>0</v>
      </c>
      <c r="F305" s="358" t="b">
        <v>0</v>
      </c>
      <c r="G305" s="358" t="b">
        <v>0</v>
      </c>
      <c r="H305" s="358" t="b">
        <v>0</v>
      </c>
      <c r="I305" s="358">
        <v>1</v>
      </c>
      <c r="J305" s="358">
        <v>12</v>
      </c>
      <c r="K305" s="358" t="s">
        <v>485</v>
      </c>
      <c r="L305" s="358" t="s">
        <v>1394</v>
      </c>
    </row>
    <row r="306" spans="1:12" x14ac:dyDescent="0.2">
      <c r="A306" s="358" t="s">
        <v>1395</v>
      </c>
      <c r="B306" s="359" t="s">
        <v>1396</v>
      </c>
      <c r="C306" s="358" t="b">
        <v>1</v>
      </c>
      <c r="D306" s="358" t="b">
        <v>1</v>
      </c>
      <c r="E306" s="358" t="b">
        <v>0</v>
      </c>
      <c r="F306" s="358" t="b">
        <v>0</v>
      </c>
      <c r="G306" s="358" t="b">
        <v>0</v>
      </c>
      <c r="H306" s="358" t="b">
        <v>0</v>
      </c>
      <c r="I306" s="358">
        <v>1</v>
      </c>
      <c r="J306" s="358">
        <v>12</v>
      </c>
      <c r="K306" s="358" t="s">
        <v>485</v>
      </c>
      <c r="L306" s="358" t="s">
        <v>1397</v>
      </c>
    </row>
    <row r="307" spans="1:12" x14ac:dyDescent="0.2">
      <c r="A307" s="358" t="s">
        <v>1398</v>
      </c>
      <c r="B307" s="359" t="s">
        <v>1399</v>
      </c>
      <c r="C307" s="358" t="b">
        <v>1</v>
      </c>
      <c r="D307" s="358" t="b">
        <v>1</v>
      </c>
      <c r="E307" s="358" t="b">
        <v>0</v>
      </c>
      <c r="F307" s="358" t="b">
        <v>0</v>
      </c>
      <c r="G307" s="358" t="b">
        <v>0</v>
      </c>
      <c r="H307" s="358" t="b">
        <v>0</v>
      </c>
      <c r="I307" s="358">
        <v>1</v>
      </c>
      <c r="J307" s="358">
        <v>12</v>
      </c>
      <c r="K307" s="358" t="s">
        <v>485</v>
      </c>
      <c r="L307" s="358" t="s">
        <v>1400</v>
      </c>
    </row>
    <row r="308" spans="1:12" x14ac:dyDescent="0.2">
      <c r="A308" s="358" t="s">
        <v>1401</v>
      </c>
      <c r="B308" s="359" t="s">
        <v>1402</v>
      </c>
      <c r="C308" s="358" t="b">
        <v>1</v>
      </c>
      <c r="D308" s="358" t="b">
        <v>1</v>
      </c>
      <c r="E308" s="358" t="b">
        <v>0</v>
      </c>
      <c r="F308" s="358" t="b">
        <v>0</v>
      </c>
      <c r="G308" s="358" t="b">
        <v>0</v>
      </c>
      <c r="H308" s="358" t="b">
        <v>0</v>
      </c>
      <c r="I308" s="358">
        <v>1</v>
      </c>
      <c r="J308" s="358">
        <v>12</v>
      </c>
      <c r="K308" s="358" t="s">
        <v>485</v>
      </c>
      <c r="L308" s="358" t="s">
        <v>1403</v>
      </c>
    </row>
    <row r="309" spans="1:12" x14ac:dyDescent="0.2">
      <c r="A309" s="358" t="s">
        <v>1404</v>
      </c>
      <c r="B309" s="359" t="s">
        <v>1405</v>
      </c>
      <c r="C309" s="358" t="b">
        <v>1</v>
      </c>
      <c r="D309" s="358" t="b">
        <v>1</v>
      </c>
      <c r="E309" s="358" t="b">
        <v>0</v>
      </c>
      <c r="F309" s="358" t="b">
        <v>0</v>
      </c>
      <c r="G309" s="358" t="b">
        <v>0</v>
      </c>
      <c r="H309" s="358" t="b">
        <v>0</v>
      </c>
      <c r="I309" s="358">
        <v>1</v>
      </c>
      <c r="J309" s="358">
        <v>12</v>
      </c>
      <c r="K309" s="358" t="s">
        <v>485</v>
      </c>
      <c r="L309" s="358" t="s">
        <v>1406</v>
      </c>
    </row>
    <row r="310" spans="1:12" x14ac:dyDescent="0.2">
      <c r="A310" s="358" t="s">
        <v>1407</v>
      </c>
      <c r="B310" s="359" t="s">
        <v>1408</v>
      </c>
      <c r="C310" s="358" t="b">
        <v>1</v>
      </c>
      <c r="D310" s="358" t="b">
        <v>1</v>
      </c>
      <c r="E310" s="358" t="b">
        <v>0</v>
      </c>
      <c r="F310" s="358" t="b">
        <v>0</v>
      </c>
      <c r="G310" s="358" t="b">
        <v>0</v>
      </c>
      <c r="H310" s="358" t="b">
        <v>0</v>
      </c>
      <c r="I310" s="358">
        <v>1</v>
      </c>
      <c r="J310" s="358">
        <v>12</v>
      </c>
      <c r="K310" s="358" t="s">
        <v>485</v>
      </c>
      <c r="L310" s="358" t="s">
        <v>1409</v>
      </c>
    </row>
    <row r="311" spans="1:12" x14ac:dyDescent="0.2">
      <c r="A311" s="358" t="s">
        <v>1410</v>
      </c>
      <c r="B311" s="359" t="s">
        <v>1411</v>
      </c>
      <c r="C311" s="358" t="b">
        <v>1</v>
      </c>
      <c r="D311" s="358" t="b">
        <v>1</v>
      </c>
      <c r="E311" s="358" t="b">
        <v>0</v>
      </c>
      <c r="F311" s="358" t="b">
        <v>0</v>
      </c>
      <c r="G311" s="358" t="b">
        <v>0</v>
      </c>
      <c r="H311" s="358" t="b">
        <v>0</v>
      </c>
      <c r="I311" s="358">
        <v>1</v>
      </c>
      <c r="J311" s="358">
        <v>12</v>
      </c>
      <c r="K311" s="358" t="s">
        <v>485</v>
      </c>
      <c r="L311" s="358" t="s">
        <v>1412</v>
      </c>
    </row>
    <row r="312" spans="1:12" x14ac:dyDescent="0.2">
      <c r="A312" s="358" t="s">
        <v>1413</v>
      </c>
      <c r="B312" s="359" t="s">
        <v>1414</v>
      </c>
      <c r="C312" s="358" t="b">
        <v>1</v>
      </c>
      <c r="D312" s="358" t="b">
        <v>1</v>
      </c>
      <c r="E312" s="358" t="b">
        <v>0</v>
      </c>
      <c r="F312" s="358" t="b">
        <v>0</v>
      </c>
      <c r="G312" s="358" t="b">
        <v>0</v>
      </c>
      <c r="H312" s="358" t="b">
        <v>0</v>
      </c>
      <c r="I312" s="358">
        <v>1</v>
      </c>
      <c r="J312" s="358">
        <v>12</v>
      </c>
      <c r="K312" s="358" t="s">
        <v>485</v>
      </c>
      <c r="L312" s="358" t="s">
        <v>1415</v>
      </c>
    </row>
    <row r="313" spans="1:12" x14ac:dyDescent="0.2">
      <c r="A313" s="358" t="s">
        <v>1416</v>
      </c>
      <c r="B313" s="359" t="s">
        <v>1417</v>
      </c>
      <c r="C313" s="358" t="b">
        <v>1</v>
      </c>
      <c r="D313" s="358" t="b">
        <v>1</v>
      </c>
      <c r="E313" s="358" t="b">
        <v>0</v>
      </c>
      <c r="F313" s="358" t="b">
        <v>0</v>
      </c>
      <c r="G313" s="358" t="b">
        <v>0</v>
      </c>
      <c r="H313" s="358" t="b">
        <v>0</v>
      </c>
      <c r="I313" s="358">
        <v>1</v>
      </c>
      <c r="J313" s="358">
        <v>12</v>
      </c>
      <c r="K313" s="358" t="s">
        <v>485</v>
      </c>
      <c r="L313" s="358" t="s">
        <v>1418</v>
      </c>
    </row>
    <row r="314" spans="1:12" x14ac:dyDescent="0.2">
      <c r="A314" s="358" t="s">
        <v>1419</v>
      </c>
      <c r="B314" s="359" t="s">
        <v>1420</v>
      </c>
      <c r="C314" s="358" t="b">
        <v>1</v>
      </c>
      <c r="D314" s="358" t="b">
        <v>1</v>
      </c>
      <c r="E314" s="358" t="b">
        <v>0</v>
      </c>
      <c r="F314" s="358" t="b">
        <v>0</v>
      </c>
      <c r="G314" s="358" t="b">
        <v>0</v>
      </c>
      <c r="H314" s="358" t="b">
        <v>0</v>
      </c>
      <c r="I314" s="358">
        <v>1</v>
      </c>
      <c r="J314" s="358">
        <v>12</v>
      </c>
      <c r="K314" s="358" t="s">
        <v>485</v>
      </c>
      <c r="L314" s="358" t="s">
        <v>1421</v>
      </c>
    </row>
    <row r="315" spans="1:12" x14ac:dyDescent="0.2">
      <c r="A315" s="358" t="s">
        <v>1422</v>
      </c>
      <c r="B315" s="359" t="s">
        <v>1423</v>
      </c>
      <c r="C315" s="358" t="b">
        <v>1</v>
      </c>
      <c r="D315" s="358" t="b">
        <v>1</v>
      </c>
      <c r="E315" s="358" t="b">
        <v>0</v>
      </c>
      <c r="F315" s="358" t="b">
        <v>0</v>
      </c>
      <c r="G315" s="358" t="b">
        <v>0</v>
      </c>
      <c r="H315" s="358" t="b">
        <v>0</v>
      </c>
      <c r="I315" s="358">
        <v>1</v>
      </c>
      <c r="J315" s="358">
        <v>12</v>
      </c>
      <c r="K315" s="358" t="s">
        <v>485</v>
      </c>
      <c r="L315" s="358" t="s">
        <v>1424</v>
      </c>
    </row>
    <row r="316" spans="1:12" x14ac:dyDescent="0.2">
      <c r="A316" s="358" t="s">
        <v>1425</v>
      </c>
      <c r="B316" s="359" t="s">
        <v>1426</v>
      </c>
      <c r="C316" s="358" t="b">
        <v>1</v>
      </c>
      <c r="D316" s="358" t="b">
        <v>1</v>
      </c>
      <c r="E316" s="358" t="b">
        <v>0</v>
      </c>
      <c r="F316" s="358" t="b">
        <v>0</v>
      </c>
      <c r="G316" s="358" t="b">
        <v>0</v>
      </c>
      <c r="H316" s="358" t="b">
        <v>0</v>
      </c>
      <c r="I316" s="358">
        <v>1</v>
      </c>
      <c r="J316" s="358">
        <v>12</v>
      </c>
      <c r="K316" s="358" t="s">
        <v>485</v>
      </c>
      <c r="L316" s="358" t="s">
        <v>1427</v>
      </c>
    </row>
    <row r="317" spans="1:12" x14ac:dyDescent="0.2">
      <c r="A317" s="358" t="s">
        <v>1428</v>
      </c>
      <c r="B317" s="359" t="s">
        <v>1429</v>
      </c>
      <c r="C317" s="358" t="b">
        <v>1</v>
      </c>
      <c r="D317" s="358" t="b">
        <v>1</v>
      </c>
      <c r="E317" s="358" t="b">
        <v>0</v>
      </c>
      <c r="F317" s="358" t="b">
        <v>0</v>
      </c>
      <c r="G317" s="358" t="b">
        <v>0</v>
      </c>
      <c r="H317" s="358" t="b">
        <v>0</v>
      </c>
      <c r="I317" s="358">
        <v>1</v>
      </c>
      <c r="J317" s="358">
        <v>12</v>
      </c>
      <c r="K317" s="358" t="s">
        <v>485</v>
      </c>
      <c r="L317" s="358" t="s">
        <v>1430</v>
      </c>
    </row>
    <row r="318" spans="1:12" x14ac:dyDescent="0.2">
      <c r="A318" s="358" t="s">
        <v>1431</v>
      </c>
      <c r="B318" s="359" t="s">
        <v>1432</v>
      </c>
      <c r="C318" s="358" t="b">
        <v>1</v>
      </c>
      <c r="D318" s="358" t="b">
        <v>1</v>
      </c>
      <c r="E318" s="358" t="b">
        <v>0</v>
      </c>
      <c r="F318" s="358" t="b">
        <v>0</v>
      </c>
      <c r="G318" s="358" t="b">
        <v>0</v>
      </c>
      <c r="H318" s="358" t="b">
        <v>0</v>
      </c>
      <c r="I318" s="358">
        <v>1</v>
      </c>
      <c r="J318" s="358">
        <v>12</v>
      </c>
      <c r="K318" s="358" t="s">
        <v>485</v>
      </c>
      <c r="L318" s="358" t="s">
        <v>1433</v>
      </c>
    </row>
    <row r="319" spans="1:12" x14ac:dyDescent="0.2">
      <c r="A319" s="358" t="s">
        <v>1434</v>
      </c>
      <c r="B319" s="359" t="s">
        <v>1435</v>
      </c>
      <c r="C319" s="358" t="b">
        <v>1</v>
      </c>
      <c r="D319" s="358" t="b">
        <v>1</v>
      </c>
      <c r="E319" s="358" t="b">
        <v>0</v>
      </c>
      <c r="F319" s="358" t="b">
        <v>0</v>
      </c>
      <c r="G319" s="358" t="b">
        <v>0</v>
      </c>
      <c r="H319" s="358" t="b">
        <v>0</v>
      </c>
      <c r="I319" s="358">
        <v>1</v>
      </c>
      <c r="J319" s="358">
        <v>12</v>
      </c>
      <c r="K319" s="358" t="s">
        <v>485</v>
      </c>
      <c r="L319" s="358" t="s">
        <v>1436</v>
      </c>
    </row>
    <row r="320" spans="1:12" x14ac:dyDescent="0.2">
      <c r="A320" s="358" t="s">
        <v>1437</v>
      </c>
      <c r="B320" s="359" t="s">
        <v>1438</v>
      </c>
      <c r="C320" s="358" t="b">
        <v>1</v>
      </c>
      <c r="D320" s="358" t="b">
        <v>1</v>
      </c>
      <c r="E320" s="358" t="b">
        <v>0</v>
      </c>
      <c r="F320" s="358" t="b">
        <v>0</v>
      </c>
      <c r="G320" s="358" t="b">
        <v>0</v>
      </c>
      <c r="H320" s="358" t="b">
        <v>0</v>
      </c>
      <c r="I320" s="358">
        <v>1</v>
      </c>
      <c r="J320" s="358">
        <v>12</v>
      </c>
      <c r="K320" s="358" t="s">
        <v>485</v>
      </c>
      <c r="L320" s="358" t="s">
        <v>1439</v>
      </c>
    </row>
    <row r="321" spans="1:12" x14ac:dyDescent="0.2">
      <c r="A321" s="358" t="s">
        <v>1440</v>
      </c>
      <c r="B321" s="359" t="s">
        <v>1441</v>
      </c>
      <c r="C321" s="358" t="b">
        <v>1</v>
      </c>
      <c r="D321" s="358" t="b">
        <v>1</v>
      </c>
      <c r="E321" s="358" t="b">
        <v>0</v>
      </c>
      <c r="F321" s="358" t="b">
        <v>0</v>
      </c>
      <c r="G321" s="358" t="b">
        <v>0</v>
      </c>
      <c r="H321" s="358" t="b">
        <v>0</v>
      </c>
      <c r="I321" s="358">
        <v>1</v>
      </c>
      <c r="J321" s="358">
        <v>12</v>
      </c>
      <c r="K321" s="358" t="s">
        <v>485</v>
      </c>
      <c r="L321" s="358" t="s">
        <v>1442</v>
      </c>
    </row>
    <row r="322" spans="1:12" x14ac:dyDescent="0.2">
      <c r="A322" s="358" t="s">
        <v>1443</v>
      </c>
      <c r="B322" s="359" t="s">
        <v>1444</v>
      </c>
      <c r="C322" s="358" t="b">
        <v>1</v>
      </c>
      <c r="D322" s="358" t="b">
        <v>1</v>
      </c>
      <c r="E322" s="358" t="b">
        <v>0</v>
      </c>
      <c r="F322" s="358" t="b">
        <v>0</v>
      </c>
      <c r="G322" s="358" t="b">
        <v>0</v>
      </c>
      <c r="H322" s="358" t="b">
        <v>0</v>
      </c>
      <c r="I322" s="358">
        <v>1</v>
      </c>
      <c r="J322" s="358">
        <v>12</v>
      </c>
      <c r="K322" s="358" t="s">
        <v>485</v>
      </c>
      <c r="L322" s="358" t="s">
        <v>1445</v>
      </c>
    </row>
    <row r="323" spans="1:12" x14ac:dyDescent="0.2">
      <c r="A323" s="358" t="s">
        <v>1446</v>
      </c>
      <c r="B323" s="359" t="s">
        <v>1447</v>
      </c>
      <c r="C323" s="358" t="b">
        <v>1</v>
      </c>
      <c r="D323" s="358" t="b">
        <v>1</v>
      </c>
      <c r="E323" s="358" t="b">
        <v>0</v>
      </c>
      <c r="F323" s="358" t="b">
        <v>0</v>
      </c>
      <c r="G323" s="358" t="b">
        <v>0</v>
      </c>
      <c r="H323" s="358" t="b">
        <v>0</v>
      </c>
      <c r="I323" s="358">
        <v>1</v>
      </c>
      <c r="J323" s="358">
        <v>12</v>
      </c>
      <c r="K323" s="358" t="s">
        <v>485</v>
      </c>
      <c r="L323" s="358" t="s">
        <v>1448</v>
      </c>
    </row>
    <row r="324" spans="1:12" x14ac:dyDescent="0.2">
      <c r="A324" s="358" t="s">
        <v>1449</v>
      </c>
      <c r="B324" s="359" t="s">
        <v>1450</v>
      </c>
      <c r="C324" s="358" t="b">
        <v>1</v>
      </c>
      <c r="D324" s="358" t="b">
        <v>1</v>
      </c>
      <c r="E324" s="358" t="b">
        <v>0</v>
      </c>
      <c r="F324" s="358" t="b">
        <v>0</v>
      </c>
      <c r="G324" s="358" t="b">
        <v>0</v>
      </c>
      <c r="H324" s="358" t="b">
        <v>0</v>
      </c>
      <c r="I324" s="358">
        <v>1</v>
      </c>
      <c r="J324" s="358">
        <v>12</v>
      </c>
      <c r="K324" s="358" t="s">
        <v>485</v>
      </c>
      <c r="L324" s="358" t="s">
        <v>1451</v>
      </c>
    </row>
    <row r="325" spans="1:12" x14ac:dyDescent="0.2">
      <c r="A325" s="358" t="s">
        <v>1452</v>
      </c>
      <c r="B325" s="359" t="s">
        <v>1453</v>
      </c>
      <c r="C325" s="358" t="b">
        <v>1</v>
      </c>
      <c r="D325" s="358" t="b">
        <v>1</v>
      </c>
      <c r="E325" s="358" t="b">
        <v>0</v>
      </c>
      <c r="F325" s="358" t="b">
        <v>0</v>
      </c>
      <c r="G325" s="358" t="b">
        <v>0</v>
      </c>
      <c r="H325" s="358" t="b">
        <v>0</v>
      </c>
      <c r="I325" s="358">
        <v>1</v>
      </c>
      <c r="J325" s="358">
        <v>12</v>
      </c>
      <c r="K325" s="358" t="s">
        <v>485</v>
      </c>
      <c r="L325" s="358" t="s">
        <v>1454</v>
      </c>
    </row>
    <row r="326" spans="1:12" x14ac:dyDescent="0.2">
      <c r="A326" s="358" t="s">
        <v>1455</v>
      </c>
      <c r="B326" s="359" t="s">
        <v>1456</v>
      </c>
      <c r="C326" s="358" t="b">
        <v>1</v>
      </c>
      <c r="D326" s="358" t="b">
        <v>1</v>
      </c>
      <c r="E326" s="358" t="b">
        <v>0</v>
      </c>
      <c r="F326" s="358" t="b">
        <v>0</v>
      </c>
      <c r="G326" s="358" t="b">
        <v>0</v>
      </c>
      <c r="H326" s="358" t="b">
        <v>0</v>
      </c>
      <c r="I326" s="358">
        <v>1</v>
      </c>
      <c r="J326" s="358">
        <v>1</v>
      </c>
      <c r="K326" s="358" t="s">
        <v>485</v>
      </c>
      <c r="L326" s="358" t="s">
        <v>1457</v>
      </c>
    </row>
    <row r="327" spans="1:12" x14ac:dyDescent="0.2">
      <c r="A327" s="358" t="s">
        <v>1458</v>
      </c>
      <c r="B327" s="359" t="s">
        <v>1459</v>
      </c>
      <c r="C327" s="358" t="b">
        <v>1</v>
      </c>
      <c r="D327" s="358" t="b">
        <v>1</v>
      </c>
      <c r="E327" s="358" t="b">
        <v>0</v>
      </c>
      <c r="F327" s="358" t="b">
        <v>0</v>
      </c>
      <c r="G327" s="358" t="b">
        <v>0</v>
      </c>
      <c r="H327" s="358" t="b">
        <v>0</v>
      </c>
      <c r="I327" s="358">
        <v>1</v>
      </c>
      <c r="J327" s="358">
        <v>1</v>
      </c>
      <c r="K327" s="358" t="s">
        <v>485</v>
      </c>
      <c r="L327" s="358" t="s">
        <v>1460</v>
      </c>
    </row>
    <row r="328" spans="1:12" x14ac:dyDescent="0.2">
      <c r="A328" s="358" t="s">
        <v>1461</v>
      </c>
      <c r="B328" s="359" t="s">
        <v>1462</v>
      </c>
      <c r="C328" s="358" t="b">
        <v>1</v>
      </c>
      <c r="D328" s="358" t="b">
        <v>1</v>
      </c>
      <c r="E328" s="358" t="b">
        <v>0</v>
      </c>
      <c r="F328" s="358" t="b">
        <v>0</v>
      </c>
      <c r="G328" s="358" t="b">
        <v>0</v>
      </c>
      <c r="H328" s="358" t="b">
        <v>0</v>
      </c>
      <c r="I328" s="358">
        <v>1</v>
      </c>
      <c r="J328" s="358">
        <v>1</v>
      </c>
      <c r="K328" s="358" t="s">
        <v>485</v>
      </c>
      <c r="L328" s="358" t="s">
        <v>1463</v>
      </c>
    </row>
    <row r="329" spans="1:12" x14ac:dyDescent="0.2">
      <c r="A329" s="358" t="s">
        <v>1464</v>
      </c>
      <c r="B329" s="359" t="s">
        <v>1465</v>
      </c>
      <c r="C329" s="358" t="b">
        <v>1</v>
      </c>
      <c r="D329" s="358" t="b">
        <v>1</v>
      </c>
      <c r="E329" s="358" t="b">
        <v>0</v>
      </c>
      <c r="F329" s="358" t="b">
        <v>0</v>
      </c>
      <c r="G329" s="358" t="b">
        <v>0</v>
      </c>
      <c r="H329" s="358" t="b">
        <v>0</v>
      </c>
      <c r="I329" s="358">
        <v>1</v>
      </c>
      <c r="J329" s="358">
        <v>1</v>
      </c>
      <c r="K329" s="358" t="s">
        <v>485</v>
      </c>
      <c r="L329" s="358" t="s">
        <v>1466</v>
      </c>
    </row>
    <row r="330" spans="1:12" x14ac:dyDescent="0.2">
      <c r="A330" s="358" t="s">
        <v>1467</v>
      </c>
      <c r="B330" s="359" t="s">
        <v>1468</v>
      </c>
      <c r="C330" s="358" t="b">
        <v>1</v>
      </c>
      <c r="D330" s="358" t="b">
        <v>1</v>
      </c>
      <c r="E330" s="358" t="b">
        <v>0</v>
      </c>
      <c r="F330" s="358" t="b">
        <v>0</v>
      </c>
      <c r="G330" s="358" t="b">
        <v>0</v>
      </c>
      <c r="H330" s="358" t="b">
        <v>0</v>
      </c>
      <c r="I330" s="358">
        <v>1</v>
      </c>
      <c r="J330" s="358">
        <v>1</v>
      </c>
      <c r="K330" s="358" t="s">
        <v>485</v>
      </c>
      <c r="L330" s="358" t="s">
        <v>1469</v>
      </c>
    </row>
    <row r="331" spans="1:12" x14ac:dyDescent="0.2">
      <c r="A331" s="358" t="s">
        <v>1470</v>
      </c>
      <c r="B331" s="359" t="s">
        <v>1471</v>
      </c>
      <c r="C331" s="358" t="b">
        <v>1</v>
      </c>
      <c r="D331" s="358" t="b">
        <v>1</v>
      </c>
      <c r="E331" s="358" t="b">
        <v>0</v>
      </c>
      <c r="F331" s="358" t="b">
        <v>0</v>
      </c>
      <c r="G331" s="358" t="b">
        <v>0</v>
      </c>
      <c r="H331" s="358" t="b">
        <v>0</v>
      </c>
      <c r="I331" s="358">
        <v>1</v>
      </c>
      <c r="J331" s="358">
        <v>1</v>
      </c>
      <c r="K331" s="358" t="s">
        <v>485</v>
      </c>
      <c r="L331" s="358" t="s">
        <v>1472</v>
      </c>
    </row>
    <row r="332" spans="1:12" x14ac:dyDescent="0.2">
      <c r="A332" s="358" t="s">
        <v>1473</v>
      </c>
      <c r="B332" s="359" t="s">
        <v>1474</v>
      </c>
      <c r="C332" s="358" t="b">
        <v>1</v>
      </c>
      <c r="D332" s="358" t="b">
        <v>1</v>
      </c>
      <c r="E332" s="358" t="b">
        <v>0</v>
      </c>
      <c r="F332" s="358" t="b">
        <v>0</v>
      </c>
      <c r="G332" s="358" t="b">
        <v>0</v>
      </c>
      <c r="H332" s="358" t="b">
        <v>0</v>
      </c>
      <c r="I332" s="358">
        <v>1</v>
      </c>
      <c r="J332" s="358">
        <v>1</v>
      </c>
      <c r="K332" s="358" t="s">
        <v>485</v>
      </c>
      <c r="L332" s="358" t="s">
        <v>1475</v>
      </c>
    </row>
    <row r="333" spans="1:12" x14ac:dyDescent="0.2">
      <c r="A333" s="358" t="s">
        <v>1476</v>
      </c>
      <c r="B333" s="359" t="s">
        <v>1477</v>
      </c>
      <c r="C333" s="358" t="b">
        <v>1</v>
      </c>
      <c r="D333" s="358" t="b">
        <v>1</v>
      </c>
      <c r="E333" s="358" t="b">
        <v>0</v>
      </c>
      <c r="F333" s="358" t="b">
        <v>0</v>
      </c>
      <c r="G333" s="358" t="b">
        <v>0</v>
      </c>
      <c r="H333" s="358" t="b">
        <v>0</v>
      </c>
      <c r="I333" s="358">
        <v>1</v>
      </c>
      <c r="J333" s="358">
        <v>1</v>
      </c>
      <c r="K333" s="358" t="s">
        <v>485</v>
      </c>
      <c r="L333" s="358" t="s">
        <v>1478</v>
      </c>
    </row>
    <row r="334" spans="1:12" x14ac:dyDescent="0.2">
      <c r="A334" s="358" t="s">
        <v>1479</v>
      </c>
      <c r="B334" s="359" t="s">
        <v>1480</v>
      </c>
      <c r="C334" s="358" t="b">
        <v>1</v>
      </c>
      <c r="D334" s="358" t="b">
        <v>1</v>
      </c>
      <c r="E334" s="358" t="b">
        <v>0</v>
      </c>
      <c r="F334" s="358" t="b">
        <v>0</v>
      </c>
      <c r="G334" s="358" t="b">
        <v>0</v>
      </c>
      <c r="H334" s="358" t="b">
        <v>0</v>
      </c>
      <c r="I334" s="358">
        <v>1</v>
      </c>
      <c r="J334" s="358">
        <v>1</v>
      </c>
      <c r="K334" s="358" t="s">
        <v>485</v>
      </c>
      <c r="L334" s="358" t="s">
        <v>1481</v>
      </c>
    </row>
    <row r="335" spans="1:12" x14ac:dyDescent="0.2">
      <c r="A335" s="358" t="s">
        <v>1482</v>
      </c>
      <c r="B335" s="359" t="s">
        <v>1483</v>
      </c>
      <c r="C335" s="358" t="b">
        <v>1</v>
      </c>
      <c r="D335" s="358" t="b">
        <v>1</v>
      </c>
      <c r="E335" s="358" t="b">
        <v>0</v>
      </c>
      <c r="F335" s="358" t="b">
        <v>0</v>
      </c>
      <c r="G335" s="358" t="b">
        <v>0</v>
      </c>
      <c r="H335" s="358" t="b">
        <v>0</v>
      </c>
      <c r="I335" s="358">
        <v>1</v>
      </c>
      <c r="J335" s="358">
        <v>1</v>
      </c>
      <c r="K335" s="358" t="s">
        <v>485</v>
      </c>
      <c r="L335" s="358" t="s">
        <v>1484</v>
      </c>
    </row>
    <row r="336" spans="1:12" x14ac:dyDescent="0.2">
      <c r="A336" s="358" t="s">
        <v>1485</v>
      </c>
      <c r="B336" s="359" t="s">
        <v>1486</v>
      </c>
      <c r="C336" s="358" t="b">
        <v>1</v>
      </c>
      <c r="D336" s="358" t="b">
        <v>1</v>
      </c>
      <c r="E336" s="358" t="b">
        <v>0</v>
      </c>
      <c r="F336" s="358" t="b">
        <v>0</v>
      </c>
      <c r="G336" s="358" t="b">
        <v>0</v>
      </c>
      <c r="H336" s="358" t="b">
        <v>0</v>
      </c>
      <c r="I336" s="358">
        <v>1</v>
      </c>
      <c r="J336" s="358">
        <v>12</v>
      </c>
      <c r="K336" s="358" t="s">
        <v>485</v>
      </c>
      <c r="L336" s="358" t="s">
        <v>1487</v>
      </c>
    </row>
    <row r="337" spans="1:12" x14ac:dyDescent="0.2">
      <c r="A337" s="358" t="s">
        <v>1488</v>
      </c>
      <c r="B337" s="359" t="s">
        <v>1489</v>
      </c>
      <c r="C337" s="358" t="b">
        <v>1</v>
      </c>
      <c r="D337" s="358" t="b">
        <v>1</v>
      </c>
      <c r="E337" s="358" t="b">
        <v>0</v>
      </c>
      <c r="F337" s="358" t="b">
        <v>0</v>
      </c>
      <c r="G337" s="358" t="b">
        <v>0</v>
      </c>
      <c r="H337" s="358" t="b">
        <v>0</v>
      </c>
      <c r="I337" s="358">
        <v>1</v>
      </c>
      <c r="J337" s="358">
        <v>12</v>
      </c>
      <c r="K337" s="358" t="s">
        <v>485</v>
      </c>
      <c r="L337" s="358" t="s">
        <v>1490</v>
      </c>
    </row>
    <row r="338" spans="1:12" x14ac:dyDescent="0.2">
      <c r="A338" s="358" t="s">
        <v>1491</v>
      </c>
      <c r="B338" s="359" t="s">
        <v>1492</v>
      </c>
      <c r="C338" s="358" t="b">
        <v>1</v>
      </c>
      <c r="D338" s="358" t="b">
        <v>1</v>
      </c>
      <c r="E338" s="358" t="b">
        <v>0</v>
      </c>
      <c r="F338" s="358" t="b">
        <v>0</v>
      </c>
      <c r="G338" s="358" t="b">
        <v>0</v>
      </c>
      <c r="H338" s="358" t="b">
        <v>0</v>
      </c>
      <c r="I338" s="358">
        <v>1</v>
      </c>
      <c r="J338" s="358">
        <v>12</v>
      </c>
      <c r="K338" s="358" t="s">
        <v>485</v>
      </c>
      <c r="L338" s="358" t="s">
        <v>1493</v>
      </c>
    </row>
    <row r="339" spans="1:12" x14ac:dyDescent="0.2">
      <c r="A339" s="358" t="s">
        <v>1494</v>
      </c>
      <c r="B339" s="359" t="s">
        <v>1495</v>
      </c>
      <c r="C339" s="358" t="b">
        <v>1</v>
      </c>
      <c r="D339" s="358" t="b">
        <v>1</v>
      </c>
      <c r="E339" s="358" t="b">
        <v>0</v>
      </c>
      <c r="F339" s="358" t="b">
        <v>0</v>
      </c>
      <c r="G339" s="358" t="b">
        <v>0</v>
      </c>
      <c r="H339" s="358" t="b">
        <v>0</v>
      </c>
      <c r="I339" s="358">
        <v>1</v>
      </c>
      <c r="J339" s="358">
        <v>12</v>
      </c>
      <c r="K339" s="358" t="s">
        <v>485</v>
      </c>
      <c r="L339" s="358" t="s">
        <v>1496</v>
      </c>
    </row>
    <row r="340" spans="1:12" x14ac:dyDescent="0.2">
      <c r="A340" s="358" t="s">
        <v>1497</v>
      </c>
      <c r="B340" s="359" t="s">
        <v>1498</v>
      </c>
      <c r="C340" s="358" t="b">
        <v>1</v>
      </c>
      <c r="D340" s="358" t="b">
        <v>1</v>
      </c>
      <c r="E340" s="358" t="b">
        <v>0</v>
      </c>
      <c r="F340" s="358" t="b">
        <v>0</v>
      </c>
      <c r="G340" s="358" t="b">
        <v>0</v>
      </c>
      <c r="H340" s="358" t="b">
        <v>0</v>
      </c>
      <c r="I340" s="358">
        <v>1</v>
      </c>
      <c r="J340" s="358">
        <v>12</v>
      </c>
      <c r="K340" s="358" t="s">
        <v>485</v>
      </c>
      <c r="L340" s="358" t="s">
        <v>1499</v>
      </c>
    </row>
    <row r="341" spans="1:12" x14ac:dyDescent="0.2">
      <c r="A341" s="358" t="s">
        <v>1500</v>
      </c>
      <c r="B341" s="359" t="s">
        <v>1501</v>
      </c>
      <c r="C341" s="358" t="b">
        <v>1</v>
      </c>
      <c r="D341" s="358" t="b">
        <v>1</v>
      </c>
      <c r="E341" s="358" t="b">
        <v>0</v>
      </c>
      <c r="F341" s="358" t="b">
        <v>0</v>
      </c>
      <c r="G341" s="358" t="b">
        <v>0</v>
      </c>
      <c r="H341" s="358" t="b">
        <v>0</v>
      </c>
      <c r="I341" s="358">
        <v>1</v>
      </c>
      <c r="J341" s="358">
        <v>12</v>
      </c>
      <c r="K341" s="358" t="s">
        <v>485</v>
      </c>
      <c r="L341" s="358" t="s">
        <v>1502</v>
      </c>
    </row>
    <row r="342" spans="1:12" x14ac:dyDescent="0.2">
      <c r="A342" s="358" t="s">
        <v>1503</v>
      </c>
      <c r="B342" s="359" t="s">
        <v>1504</v>
      </c>
      <c r="C342" s="358" t="b">
        <v>1</v>
      </c>
      <c r="D342" s="358" t="b">
        <v>1</v>
      </c>
      <c r="E342" s="358" t="b">
        <v>0</v>
      </c>
      <c r="F342" s="358" t="b">
        <v>0</v>
      </c>
      <c r="G342" s="358" t="b">
        <v>0</v>
      </c>
      <c r="H342" s="358" t="b">
        <v>0</v>
      </c>
      <c r="I342" s="358">
        <v>1</v>
      </c>
      <c r="J342" s="358">
        <v>12</v>
      </c>
      <c r="K342" s="358" t="s">
        <v>485</v>
      </c>
      <c r="L342" s="358" t="s">
        <v>1505</v>
      </c>
    </row>
    <row r="343" spans="1:12" x14ac:dyDescent="0.2">
      <c r="A343" s="358" t="s">
        <v>1506</v>
      </c>
      <c r="B343" s="359" t="s">
        <v>1507</v>
      </c>
      <c r="C343" s="358" t="b">
        <v>1</v>
      </c>
      <c r="D343" s="358" t="b">
        <v>1</v>
      </c>
      <c r="E343" s="358" t="b">
        <v>0</v>
      </c>
      <c r="F343" s="358" t="b">
        <v>0</v>
      </c>
      <c r="G343" s="358" t="b">
        <v>0</v>
      </c>
      <c r="H343" s="358" t="b">
        <v>0</v>
      </c>
      <c r="I343" s="358">
        <v>1</v>
      </c>
      <c r="J343" s="358">
        <v>12</v>
      </c>
      <c r="K343" s="358" t="s">
        <v>485</v>
      </c>
      <c r="L343" s="358" t="s">
        <v>1508</v>
      </c>
    </row>
    <row r="344" spans="1:12" x14ac:dyDescent="0.2">
      <c r="A344" s="358" t="s">
        <v>1509</v>
      </c>
      <c r="B344" s="359" t="s">
        <v>1510</v>
      </c>
      <c r="C344" s="358" t="b">
        <v>1</v>
      </c>
      <c r="D344" s="358" t="b">
        <v>1</v>
      </c>
      <c r="E344" s="358" t="b">
        <v>0</v>
      </c>
      <c r="F344" s="358" t="b">
        <v>0</v>
      </c>
      <c r="G344" s="358" t="b">
        <v>0</v>
      </c>
      <c r="H344" s="358" t="b">
        <v>0</v>
      </c>
      <c r="I344" s="358">
        <v>1</v>
      </c>
      <c r="J344" s="358">
        <v>12</v>
      </c>
      <c r="K344" s="358" t="s">
        <v>485</v>
      </c>
      <c r="L344" s="358" t="s">
        <v>1511</v>
      </c>
    </row>
    <row r="345" spans="1:12" x14ac:dyDescent="0.2">
      <c r="A345" s="358" t="s">
        <v>1512</v>
      </c>
      <c r="B345" s="359" t="s">
        <v>1513</v>
      </c>
      <c r="C345" s="358" t="b">
        <v>1</v>
      </c>
      <c r="D345" s="358" t="b">
        <v>1</v>
      </c>
      <c r="E345" s="358" t="b">
        <v>0</v>
      </c>
      <c r="F345" s="358" t="b">
        <v>0</v>
      </c>
      <c r="G345" s="358" t="b">
        <v>0</v>
      </c>
      <c r="H345" s="358" t="b">
        <v>0</v>
      </c>
      <c r="I345" s="358">
        <v>1</v>
      </c>
      <c r="J345" s="358">
        <v>12</v>
      </c>
      <c r="K345" s="358" t="s">
        <v>485</v>
      </c>
      <c r="L345" s="358" t="s">
        <v>1514</v>
      </c>
    </row>
    <row r="346" spans="1:12" x14ac:dyDescent="0.2">
      <c r="A346" s="358" t="s">
        <v>1515</v>
      </c>
      <c r="B346" s="359" t="s">
        <v>1516</v>
      </c>
      <c r="C346" s="358" t="b">
        <v>1</v>
      </c>
      <c r="D346" s="358" t="b">
        <v>1</v>
      </c>
      <c r="E346" s="358" t="b">
        <v>0</v>
      </c>
      <c r="F346" s="358" t="b">
        <v>0</v>
      </c>
      <c r="G346" s="358" t="b">
        <v>0</v>
      </c>
      <c r="H346" s="358" t="b">
        <v>0</v>
      </c>
      <c r="I346" s="358">
        <v>1</v>
      </c>
      <c r="J346" s="358">
        <v>1</v>
      </c>
      <c r="K346" s="358" t="s">
        <v>485</v>
      </c>
      <c r="L346" s="358" t="s">
        <v>1517</v>
      </c>
    </row>
    <row r="347" spans="1:12" x14ac:dyDescent="0.2">
      <c r="A347" s="358" t="s">
        <v>1518</v>
      </c>
      <c r="B347" s="359" t="s">
        <v>1519</v>
      </c>
      <c r="C347" s="358" t="b">
        <v>1</v>
      </c>
      <c r="D347" s="358" t="b">
        <v>1</v>
      </c>
      <c r="E347" s="358" t="b">
        <v>0</v>
      </c>
      <c r="F347" s="358" t="b">
        <v>0</v>
      </c>
      <c r="G347" s="358" t="b">
        <v>0</v>
      </c>
      <c r="H347" s="358" t="b">
        <v>0</v>
      </c>
      <c r="I347" s="358">
        <v>1</v>
      </c>
      <c r="J347" s="358">
        <v>12</v>
      </c>
      <c r="K347" s="358" t="s">
        <v>485</v>
      </c>
      <c r="L347" s="358" t="s">
        <v>1520</v>
      </c>
    </row>
    <row r="348" spans="1:12" x14ac:dyDescent="0.2">
      <c r="A348" s="358" t="s">
        <v>1521</v>
      </c>
      <c r="B348" s="359" t="s">
        <v>1522</v>
      </c>
      <c r="C348" s="358" t="b">
        <v>1</v>
      </c>
      <c r="D348" s="358" t="b">
        <v>1</v>
      </c>
      <c r="E348" s="358" t="b">
        <v>0</v>
      </c>
      <c r="F348" s="358" t="b">
        <v>0</v>
      </c>
      <c r="G348" s="358" t="b">
        <v>0</v>
      </c>
      <c r="H348" s="358" t="b">
        <v>0</v>
      </c>
      <c r="I348" s="358">
        <v>1</v>
      </c>
      <c r="J348" s="358">
        <v>1</v>
      </c>
      <c r="K348" s="358" t="s">
        <v>485</v>
      </c>
      <c r="L348" s="358" t="s">
        <v>1523</v>
      </c>
    </row>
    <row r="349" spans="1:12" x14ac:dyDescent="0.2">
      <c r="A349" s="358" t="s">
        <v>1524</v>
      </c>
      <c r="B349" s="359" t="s">
        <v>1525</v>
      </c>
      <c r="C349" s="358" t="b">
        <v>1</v>
      </c>
      <c r="D349" s="358" t="b">
        <v>1</v>
      </c>
      <c r="E349" s="358" t="b">
        <v>0</v>
      </c>
      <c r="F349" s="358" t="b">
        <v>0</v>
      </c>
      <c r="G349" s="358" t="b">
        <v>0</v>
      </c>
      <c r="H349" s="358" t="b">
        <v>0</v>
      </c>
      <c r="I349" s="358">
        <v>1</v>
      </c>
      <c r="J349" s="358">
        <v>1</v>
      </c>
      <c r="K349" s="358" t="s">
        <v>485</v>
      </c>
      <c r="L349" s="358" t="s">
        <v>1526</v>
      </c>
    </row>
    <row r="350" spans="1:12" x14ac:dyDescent="0.2">
      <c r="A350" s="358" t="s">
        <v>1527</v>
      </c>
      <c r="B350" s="359" t="s">
        <v>1528</v>
      </c>
      <c r="C350" s="358" t="b">
        <v>1</v>
      </c>
      <c r="D350" s="358" t="b">
        <v>1</v>
      </c>
      <c r="E350" s="358" t="b">
        <v>0</v>
      </c>
      <c r="F350" s="358" t="b">
        <v>0</v>
      </c>
      <c r="G350" s="358" t="b">
        <v>0</v>
      </c>
      <c r="H350" s="358" t="b">
        <v>0</v>
      </c>
      <c r="I350" s="358">
        <v>1</v>
      </c>
      <c r="J350" s="358">
        <v>1</v>
      </c>
      <c r="K350" s="358" t="s">
        <v>485</v>
      </c>
      <c r="L350" s="358" t="s">
        <v>1529</v>
      </c>
    </row>
    <row r="351" spans="1:12" x14ac:dyDescent="0.2">
      <c r="A351" s="358" t="s">
        <v>1530</v>
      </c>
      <c r="B351" s="359" t="s">
        <v>1531</v>
      </c>
      <c r="C351" s="358" t="b">
        <v>1</v>
      </c>
      <c r="D351" s="358" t="b">
        <v>1</v>
      </c>
      <c r="E351" s="358" t="b">
        <v>0</v>
      </c>
      <c r="F351" s="358" t="b">
        <v>0</v>
      </c>
      <c r="G351" s="358" t="b">
        <v>0</v>
      </c>
      <c r="H351" s="358" t="b">
        <v>0</v>
      </c>
      <c r="I351" s="358">
        <v>1</v>
      </c>
      <c r="J351" s="358">
        <v>1</v>
      </c>
      <c r="K351" s="358" t="s">
        <v>485</v>
      </c>
      <c r="L351" s="358" t="s">
        <v>1532</v>
      </c>
    </row>
    <row r="352" spans="1:12" x14ac:dyDescent="0.2">
      <c r="A352" s="358" t="s">
        <v>1533</v>
      </c>
      <c r="B352" s="359" t="s">
        <v>1534</v>
      </c>
      <c r="C352" s="358" t="b">
        <v>1</v>
      </c>
      <c r="D352" s="358" t="b">
        <v>1</v>
      </c>
      <c r="E352" s="358" t="b">
        <v>0</v>
      </c>
      <c r="F352" s="358" t="b">
        <v>0</v>
      </c>
      <c r="G352" s="358" t="b">
        <v>0</v>
      </c>
      <c r="H352" s="358" t="b">
        <v>0</v>
      </c>
      <c r="I352" s="358">
        <v>1</v>
      </c>
      <c r="J352" s="358">
        <v>12</v>
      </c>
      <c r="K352" s="358" t="s">
        <v>485</v>
      </c>
      <c r="L352" s="358" t="s">
        <v>1535</v>
      </c>
    </row>
    <row r="353" spans="1:12" x14ac:dyDescent="0.2">
      <c r="A353" s="358" t="s">
        <v>1536</v>
      </c>
      <c r="B353" s="359" t="s">
        <v>1537</v>
      </c>
      <c r="C353" s="358" t="b">
        <v>1</v>
      </c>
      <c r="D353" s="358" t="b">
        <v>1</v>
      </c>
      <c r="E353" s="358" t="b">
        <v>0</v>
      </c>
      <c r="F353" s="358" t="b">
        <v>0</v>
      </c>
      <c r="G353" s="358" t="b">
        <v>0</v>
      </c>
      <c r="H353" s="358" t="b">
        <v>0</v>
      </c>
      <c r="I353" s="358">
        <v>1</v>
      </c>
      <c r="J353" s="358">
        <v>12</v>
      </c>
      <c r="K353" s="358" t="s">
        <v>485</v>
      </c>
      <c r="L353" s="358" t="s">
        <v>1538</v>
      </c>
    </row>
    <row r="354" spans="1:12" x14ac:dyDescent="0.2">
      <c r="A354" s="358" t="s">
        <v>1539</v>
      </c>
      <c r="B354" s="359" t="s">
        <v>1540</v>
      </c>
      <c r="C354" s="358" t="b">
        <v>1</v>
      </c>
      <c r="D354" s="358" t="b">
        <v>1</v>
      </c>
      <c r="E354" s="358" t="b">
        <v>0</v>
      </c>
      <c r="F354" s="358" t="b">
        <v>0</v>
      </c>
      <c r="G354" s="358" t="b">
        <v>0</v>
      </c>
      <c r="H354" s="358" t="b">
        <v>0</v>
      </c>
      <c r="I354" s="358">
        <v>1</v>
      </c>
      <c r="J354" s="358">
        <v>12</v>
      </c>
      <c r="K354" s="358" t="s">
        <v>485</v>
      </c>
      <c r="L354" s="358" t="s">
        <v>1541</v>
      </c>
    </row>
    <row r="355" spans="1:12" x14ac:dyDescent="0.2">
      <c r="A355" s="358" t="s">
        <v>1542</v>
      </c>
      <c r="B355" s="359" t="s">
        <v>1543</v>
      </c>
      <c r="C355" s="358" t="b">
        <v>1</v>
      </c>
      <c r="D355" s="358" t="b">
        <v>1</v>
      </c>
      <c r="E355" s="358" t="b">
        <v>0</v>
      </c>
      <c r="F355" s="358" t="b">
        <v>0</v>
      </c>
      <c r="G355" s="358" t="b">
        <v>0</v>
      </c>
      <c r="H355" s="358" t="b">
        <v>0</v>
      </c>
      <c r="I355" s="358">
        <v>1</v>
      </c>
      <c r="J355" s="358">
        <v>12</v>
      </c>
      <c r="K355" s="358" t="s">
        <v>485</v>
      </c>
      <c r="L355" s="358" t="s">
        <v>1544</v>
      </c>
    </row>
    <row r="356" spans="1:12" x14ac:dyDescent="0.2">
      <c r="A356" s="358" t="s">
        <v>1545</v>
      </c>
      <c r="B356" s="359" t="s">
        <v>1546</v>
      </c>
      <c r="C356" s="358" t="b">
        <v>1</v>
      </c>
      <c r="D356" s="358" t="b">
        <v>1</v>
      </c>
      <c r="E356" s="358" t="b">
        <v>0</v>
      </c>
      <c r="F356" s="358" t="b">
        <v>0</v>
      </c>
      <c r="G356" s="358" t="b">
        <v>0</v>
      </c>
      <c r="H356" s="358" t="b">
        <v>0</v>
      </c>
      <c r="I356" s="358">
        <v>1</v>
      </c>
      <c r="J356" s="358">
        <v>12</v>
      </c>
      <c r="K356" s="358" t="s">
        <v>485</v>
      </c>
      <c r="L356" s="358" t="s">
        <v>1547</v>
      </c>
    </row>
    <row r="357" spans="1:12" x14ac:dyDescent="0.2">
      <c r="A357" s="358" t="s">
        <v>1548</v>
      </c>
      <c r="B357" s="359" t="s">
        <v>1549</v>
      </c>
      <c r="C357" s="358" t="b">
        <v>1</v>
      </c>
      <c r="D357" s="358" t="b">
        <v>1</v>
      </c>
      <c r="E357" s="358" t="b">
        <v>0</v>
      </c>
      <c r="F357" s="358" t="b">
        <v>0</v>
      </c>
      <c r="G357" s="358" t="b">
        <v>0</v>
      </c>
      <c r="H357" s="358" t="b">
        <v>0</v>
      </c>
      <c r="I357" s="358">
        <v>1</v>
      </c>
      <c r="J357" s="358">
        <v>12</v>
      </c>
      <c r="K357" s="358" t="s">
        <v>485</v>
      </c>
      <c r="L357" s="358" t="s">
        <v>1550</v>
      </c>
    </row>
    <row r="358" spans="1:12" x14ac:dyDescent="0.2">
      <c r="A358" s="358" t="s">
        <v>1551</v>
      </c>
      <c r="B358" s="359" t="s">
        <v>1552</v>
      </c>
      <c r="C358" s="358" t="b">
        <v>1</v>
      </c>
      <c r="D358" s="358" t="b">
        <v>1</v>
      </c>
      <c r="E358" s="358" t="b">
        <v>0</v>
      </c>
      <c r="F358" s="358" t="b">
        <v>0</v>
      </c>
      <c r="G358" s="358" t="b">
        <v>0</v>
      </c>
      <c r="H358" s="358" t="b">
        <v>0</v>
      </c>
      <c r="I358" s="358">
        <v>1</v>
      </c>
      <c r="J358" s="358">
        <v>12</v>
      </c>
      <c r="K358" s="358" t="s">
        <v>485</v>
      </c>
      <c r="L358" s="358" t="s">
        <v>1553</v>
      </c>
    </row>
    <row r="359" spans="1:12" x14ac:dyDescent="0.2">
      <c r="A359" s="358" t="s">
        <v>1554</v>
      </c>
      <c r="B359" s="359" t="s">
        <v>1555</v>
      </c>
      <c r="C359" s="358" t="b">
        <v>1</v>
      </c>
      <c r="D359" s="358" t="b">
        <v>1</v>
      </c>
      <c r="E359" s="358" t="b">
        <v>0</v>
      </c>
      <c r="F359" s="358" t="b">
        <v>0</v>
      </c>
      <c r="G359" s="358" t="b">
        <v>0</v>
      </c>
      <c r="H359" s="358" t="b">
        <v>0</v>
      </c>
      <c r="I359" s="358">
        <v>1</v>
      </c>
      <c r="J359" s="358">
        <v>12</v>
      </c>
      <c r="K359" s="358" t="s">
        <v>485</v>
      </c>
      <c r="L359" s="358" t="s">
        <v>1556</v>
      </c>
    </row>
    <row r="360" spans="1:12" x14ac:dyDescent="0.2">
      <c r="A360" s="358" t="s">
        <v>1557</v>
      </c>
      <c r="B360" s="359" t="s">
        <v>1558</v>
      </c>
      <c r="C360" s="358" t="b">
        <v>1</v>
      </c>
      <c r="D360" s="358" t="b">
        <v>1</v>
      </c>
      <c r="E360" s="358" t="b">
        <v>0</v>
      </c>
      <c r="F360" s="358" t="b">
        <v>0</v>
      </c>
      <c r="G360" s="358" t="b">
        <v>0</v>
      </c>
      <c r="H360" s="358" t="b">
        <v>0</v>
      </c>
      <c r="I360" s="358">
        <v>1</v>
      </c>
      <c r="J360" s="358">
        <v>12</v>
      </c>
      <c r="K360" s="358" t="s">
        <v>485</v>
      </c>
      <c r="L360" s="358" t="s">
        <v>1559</v>
      </c>
    </row>
    <row r="361" spans="1:12" x14ac:dyDescent="0.2">
      <c r="A361" s="358" t="s">
        <v>1560</v>
      </c>
      <c r="B361" s="359" t="s">
        <v>1561</v>
      </c>
      <c r="C361" s="358" t="b">
        <v>1</v>
      </c>
      <c r="D361" s="358" t="b">
        <v>1</v>
      </c>
      <c r="E361" s="358" t="b">
        <v>0</v>
      </c>
      <c r="F361" s="358" t="b">
        <v>0</v>
      </c>
      <c r="G361" s="358" t="b">
        <v>0</v>
      </c>
      <c r="H361" s="358" t="b">
        <v>0</v>
      </c>
      <c r="I361" s="358">
        <v>1</v>
      </c>
      <c r="J361" s="358">
        <v>12</v>
      </c>
      <c r="K361" s="358" t="s">
        <v>485</v>
      </c>
      <c r="L361" s="358" t="s">
        <v>1562</v>
      </c>
    </row>
    <row r="362" spans="1:12" x14ac:dyDescent="0.2">
      <c r="A362" s="358" t="s">
        <v>1563</v>
      </c>
      <c r="B362" s="359" t="s">
        <v>1564</v>
      </c>
      <c r="C362" s="358" t="b">
        <v>1</v>
      </c>
      <c r="D362" s="358" t="b">
        <v>1</v>
      </c>
      <c r="E362" s="358" t="b">
        <v>0</v>
      </c>
      <c r="F362" s="358" t="b">
        <v>0</v>
      </c>
      <c r="G362" s="358" t="b">
        <v>0</v>
      </c>
      <c r="H362" s="358" t="b">
        <v>0</v>
      </c>
      <c r="I362" s="358">
        <v>1</v>
      </c>
      <c r="J362" s="358">
        <v>12</v>
      </c>
      <c r="K362" s="358" t="s">
        <v>485</v>
      </c>
      <c r="L362" s="358" t="s">
        <v>1565</v>
      </c>
    </row>
    <row r="363" spans="1:12" x14ac:dyDescent="0.2">
      <c r="A363" s="358" t="s">
        <v>1566</v>
      </c>
      <c r="B363" s="359" t="s">
        <v>1567</v>
      </c>
      <c r="C363" s="358" t="b">
        <v>1</v>
      </c>
      <c r="D363" s="358" t="b">
        <v>1</v>
      </c>
      <c r="E363" s="358" t="b">
        <v>0</v>
      </c>
      <c r="F363" s="358" t="b">
        <v>0</v>
      </c>
      <c r="G363" s="358" t="b">
        <v>0</v>
      </c>
      <c r="H363" s="358" t="b">
        <v>0</v>
      </c>
      <c r="I363" s="358">
        <v>1</v>
      </c>
      <c r="J363" s="358">
        <v>12</v>
      </c>
      <c r="K363" s="358" t="s">
        <v>485</v>
      </c>
      <c r="L363" s="358" t="s">
        <v>1568</v>
      </c>
    </row>
    <row r="364" spans="1:12" x14ac:dyDescent="0.2">
      <c r="A364" s="358" t="s">
        <v>1569</v>
      </c>
      <c r="B364" s="359" t="s">
        <v>1570</v>
      </c>
      <c r="C364" s="358" t="b">
        <v>1</v>
      </c>
      <c r="D364" s="358" t="b">
        <v>1</v>
      </c>
      <c r="E364" s="358" t="b">
        <v>0</v>
      </c>
      <c r="F364" s="358" t="b">
        <v>0</v>
      </c>
      <c r="G364" s="358" t="b">
        <v>0</v>
      </c>
      <c r="H364" s="358" t="b">
        <v>0</v>
      </c>
      <c r="I364" s="358">
        <v>1</v>
      </c>
      <c r="J364" s="358">
        <v>12</v>
      </c>
      <c r="K364" s="358" t="s">
        <v>485</v>
      </c>
      <c r="L364" s="358" t="s">
        <v>1571</v>
      </c>
    </row>
    <row r="365" spans="1:12" x14ac:dyDescent="0.2">
      <c r="A365" s="358" t="s">
        <v>1572</v>
      </c>
      <c r="B365" s="359" t="s">
        <v>1573</v>
      </c>
      <c r="C365" s="358" t="b">
        <v>1</v>
      </c>
      <c r="D365" s="358" t="b">
        <v>1</v>
      </c>
      <c r="E365" s="358" t="b">
        <v>0</v>
      </c>
      <c r="F365" s="358" t="b">
        <v>0</v>
      </c>
      <c r="G365" s="358" t="b">
        <v>0</v>
      </c>
      <c r="H365" s="358" t="b">
        <v>0</v>
      </c>
      <c r="I365" s="358">
        <v>1</v>
      </c>
      <c r="J365" s="358">
        <v>12</v>
      </c>
      <c r="K365" s="358" t="s">
        <v>485</v>
      </c>
      <c r="L365" s="358" t="s">
        <v>1574</v>
      </c>
    </row>
    <row r="366" spans="1:12" x14ac:dyDescent="0.2">
      <c r="A366" s="358" t="s">
        <v>1575</v>
      </c>
      <c r="B366" s="359" t="s">
        <v>1576</v>
      </c>
      <c r="C366" s="358" t="b">
        <v>1</v>
      </c>
      <c r="D366" s="358" t="b">
        <v>1</v>
      </c>
      <c r="E366" s="358" t="b">
        <v>0</v>
      </c>
      <c r="F366" s="358" t="b">
        <v>0</v>
      </c>
      <c r="G366" s="358" t="b">
        <v>0</v>
      </c>
      <c r="H366" s="358" t="b">
        <v>0</v>
      </c>
      <c r="I366" s="358">
        <v>1</v>
      </c>
      <c r="J366" s="358">
        <v>12</v>
      </c>
      <c r="K366" s="358" t="s">
        <v>485</v>
      </c>
      <c r="L366" s="358" t="s">
        <v>1577</v>
      </c>
    </row>
    <row r="367" spans="1:12" x14ac:dyDescent="0.2">
      <c r="A367" s="358" t="s">
        <v>1578</v>
      </c>
      <c r="B367" s="359" t="s">
        <v>1579</v>
      </c>
      <c r="C367" s="358" t="b">
        <v>1</v>
      </c>
      <c r="D367" s="358" t="b">
        <v>1</v>
      </c>
      <c r="E367" s="358" t="b">
        <v>0</v>
      </c>
      <c r="F367" s="358" t="b">
        <v>0</v>
      </c>
      <c r="G367" s="358" t="b">
        <v>0</v>
      </c>
      <c r="H367" s="358" t="b">
        <v>0</v>
      </c>
      <c r="I367" s="358">
        <v>1</v>
      </c>
      <c r="J367" s="358">
        <v>12</v>
      </c>
      <c r="K367" s="358" t="s">
        <v>485</v>
      </c>
      <c r="L367" s="358" t="s">
        <v>1580</v>
      </c>
    </row>
    <row r="368" spans="1:12" x14ac:dyDescent="0.2">
      <c r="A368" s="358" t="s">
        <v>1581</v>
      </c>
      <c r="B368" s="359" t="s">
        <v>1582</v>
      </c>
      <c r="C368" s="358" t="b">
        <v>1</v>
      </c>
      <c r="D368" s="358" t="b">
        <v>1</v>
      </c>
      <c r="E368" s="358" t="b">
        <v>0</v>
      </c>
      <c r="F368" s="358" t="b">
        <v>0</v>
      </c>
      <c r="G368" s="358" t="b">
        <v>0</v>
      </c>
      <c r="H368" s="358" t="b">
        <v>0</v>
      </c>
      <c r="I368" s="358">
        <v>1</v>
      </c>
      <c r="J368" s="358">
        <v>12</v>
      </c>
      <c r="K368" s="358" t="s">
        <v>485</v>
      </c>
      <c r="L368" s="358" t="s">
        <v>1583</v>
      </c>
    </row>
    <row r="369" spans="1:12" x14ac:dyDescent="0.2">
      <c r="A369" s="358" t="s">
        <v>1584</v>
      </c>
      <c r="B369" s="359" t="s">
        <v>1585</v>
      </c>
      <c r="C369" s="358" t="b">
        <v>1</v>
      </c>
      <c r="D369" s="358" t="b">
        <v>1</v>
      </c>
      <c r="E369" s="358" t="b">
        <v>0</v>
      </c>
      <c r="F369" s="358" t="b">
        <v>0</v>
      </c>
      <c r="G369" s="358" t="b">
        <v>0</v>
      </c>
      <c r="H369" s="358" t="b">
        <v>0</v>
      </c>
      <c r="I369" s="358">
        <v>1</v>
      </c>
      <c r="J369" s="358">
        <v>12</v>
      </c>
      <c r="K369" s="358" t="s">
        <v>485</v>
      </c>
      <c r="L369" s="358" t="s">
        <v>1586</v>
      </c>
    </row>
    <row r="370" spans="1:12" x14ac:dyDescent="0.2">
      <c r="A370" s="358" t="s">
        <v>1587</v>
      </c>
      <c r="B370" s="359" t="s">
        <v>1588</v>
      </c>
      <c r="C370" s="358" t="b">
        <v>1</v>
      </c>
      <c r="D370" s="358" t="b">
        <v>1</v>
      </c>
      <c r="E370" s="358" t="b">
        <v>0</v>
      </c>
      <c r="F370" s="358" t="b">
        <v>0</v>
      </c>
      <c r="G370" s="358" t="b">
        <v>0</v>
      </c>
      <c r="H370" s="358" t="b">
        <v>0</v>
      </c>
      <c r="I370" s="358">
        <v>1</v>
      </c>
      <c r="J370" s="358">
        <v>12</v>
      </c>
      <c r="K370" s="358" t="s">
        <v>485</v>
      </c>
      <c r="L370" s="358" t="s">
        <v>1589</v>
      </c>
    </row>
    <row r="371" spans="1:12" x14ac:dyDescent="0.2">
      <c r="A371" s="358" t="s">
        <v>1590</v>
      </c>
      <c r="B371" s="359" t="s">
        <v>1591</v>
      </c>
      <c r="C371" s="358" t="b">
        <v>1</v>
      </c>
      <c r="D371" s="358" t="b">
        <v>1</v>
      </c>
      <c r="E371" s="358" t="b">
        <v>0</v>
      </c>
      <c r="F371" s="358" t="b">
        <v>0</v>
      </c>
      <c r="G371" s="358" t="b">
        <v>0</v>
      </c>
      <c r="H371" s="358" t="b">
        <v>0</v>
      </c>
      <c r="I371" s="358">
        <v>1</v>
      </c>
      <c r="J371" s="358">
        <v>12</v>
      </c>
      <c r="K371" s="358" t="s">
        <v>485</v>
      </c>
      <c r="L371" s="358" t="s">
        <v>1592</v>
      </c>
    </row>
    <row r="372" spans="1:12" x14ac:dyDescent="0.2">
      <c r="A372" s="358" t="s">
        <v>1593</v>
      </c>
      <c r="B372" s="359" t="s">
        <v>1594</v>
      </c>
      <c r="C372" s="358" t="b">
        <v>1</v>
      </c>
      <c r="D372" s="358" t="b">
        <v>1</v>
      </c>
      <c r="E372" s="358" t="b">
        <v>0</v>
      </c>
      <c r="F372" s="358" t="b">
        <v>0</v>
      </c>
      <c r="G372" s="358" t="b">
        <v>0</v>
      </c>
      <c r="H372" s="358" t="b">
        <v>0</v>
      </c>
      <c r="I372" s="358">
        <v>1</v>
      </c>
      <c r="J372" s="358">
        <v>12</v>
      </c>
      <c r="K372" s="358" t="s">
        <v>485</v>
      </c>
      <c r="L372" s="358" t="s">
        <v>1595</v>
      </c>
    </row>
    <row r="373" spans="1:12" x14ac:dyDescent="0.2">
      <c r="A373" s="358" t="s">
        <v>1596</v>
      </c>
      <c r="B373" s="359" t="s">
        <v>1597</v>
      </c>
      <c r="C373" s="358" t="b">
        <v>1</v>
      </c>
      <c r="D373" s="358" t="b">
        <v>1</v>
      </c>
      <c r="E373" s="358" t="b">
        <v>0</v>
      </c>
      <c r="F373" s="358" t="b">
        <v>0</v>
      </c>
      <c r="G373" s="358" t="b">
        <v>0</v>
      </c>
      <c r="H373" s="358" t="b">
        <v>0</v>
      </c>
      <c r="I373" s="358">
        <v>1</v>
      </c>
      <c r="J373" s="358">
        <v>12</v>
      </c>
      <c r="K373" s="358" t="s">
        <v>485</v>
      </c>
      <c r="L373" s="358" t="s">
        <v>1598</v>
      </c>
    </row>
    <row r="374" spans="1:12" x14ac:dyDescent="0.2">
      <c r="A374" s="358" t="s">
        <v>1599</v>
      </c>
      <c r="B374" s="359" t="s">
        <v>1600</v>
      </c>
      <c r="C374" s="358" t="b">
        <v>1</v>
      </c>
      <c r="D374" s="358" t="b">
        <v>1</v>
      </c>
      <c r="E374" s="358" t="b">
        <v>0</v>
      </c>
      <c r="F374" s="358" t="b">
        <v>0</v>
      </c>
      <c r="G374" s="358" t="b">
        <v>0</v>
      </c>
      <c r="H374" s="358" t="b">
        <v>0</v>
      </c>
      <c r="I374" s="358">
        <v>1</v>
      </c>
      <c r="J374" s="358">
        <v>12</v>
      </c>
      <c r="K374" s="358" t="s">
        <v>485</v>
      </c>
      <c r="L374" s="358" t="s">
        <v>1601</v>
      </c>
    </row>
    <row r="375" spans="1:12" x14ac:dyDescent="0.2">
      <c r="A375" s="358" t="s">
        <v>1602</v>
      </c>
      <c r="B375" s="359" t="s">
        <v>1603</v>
      </c>
      <c r="C375" s="358" t="b">
        <v>1</v>
      </c>
      <c r="D375" s="358" t="b">
        <v>1</v>
      </c>
      <c r="E375" s="358" t="b">
        <v>0</v>
      </c>
      <c r="F375" s="358" t="b">
        <v>0</v>
      </c>
      <c r="G375" s="358" t="b">
        <v>0</v>
      </c>
      <c r="H375" s="358" t="b">
        <v>0</v>
      </c>
      <c r="I375" s="358">
        <v>1</v>
      </c>
      <c r="J375" s="358">
        <v>12</v>
      </c>
      <c r="K375" s="358" t="s">
        <v>485</v>
      </c>
      <c r="L375" s="358" t="s">
        <v>1604</v>
      </c>
    </row>
    <row r="376" spans="1:12" x14ac:dyDescent="0.2">
      <c r="A376" s="358" t="s">
        <v>1605</v>
      </c>
      <c r="B376" s="359" t="s">
        <v>1606</v>
      </c>
      <c r="C376" s="358" t="b">
        <v>1</v>
      </c>
      <c r="D376" s="358" t="b">
        <v>1</v>
      </c>
      <c r="E376" s="358" t="b">
        <v>0</v>
      </c>
      <c r="F376" s="358" t="b">
        <v>0</v>
      </c>
      <c r="G376" s="358" t="b">
        <v>0</v>
      </c>
      <c r="H376" s="358" t="b">
        <v>0</v>
      </c>
      <c r="I376" s="358">
        <v>1</v>
      </c>
      <c r="J376" s="358">
        <v>12</v>
      </c>
      <c r="K376" s="358" t="s">
        <v>485</v>
      </c>
      <c r="L376" s="358" t="s">
        <v>1607</v>
      </c>
    </row>
    <row r="377" spans="1:12" x14ac:dyDescent="0.2">
      <c r="A377" s="358" t="s">
        <v>1608</v>
      </c>
      <c r="B377" s="359" t="s">
        <v>1609</v>
      </c>
      <c r="C377" s="358" t="b">
        <v>1</v>
      </c>
      <c r="D377" s="358" t="b">
        <v>1</v>
      </c>
      <c r="E377" s="358" t="b">
        <v>0</v>
      </c>
      <c r="F377" s="358" t="b">
        <v>0</v>
      </c>
      <c r="G377" s="358" t="b">
        <v>0</v>
      </c>
      <c r="H377" s="358" t="b">
        <v>0</v>
      </c>
      <c r="I377" s="358">
        <v>1</v>
      </c>
      <c r="J377" s="358">
        <v>12</v>
      </c>
      <c r="K377" s="358" t="s">
        <v>485</v>
      </c>
      <c r="L377" s="358" t="s">
        <v>1610</v>
      </c>
    </row>
    <row r="378" spans="1:12" x14ac:dyDescent="0.2">
      <c r="A378" s="358" t="s">
        <v>1611</v>
      </c>
      <c r="B378" s="359" t="s">
        <v>1612</v>
      </c>
      <c r="C378" s="358" t="b">
        <v>1</v>
      </c>
      <c r="D378" s="358" t="b">
        <v>1</v>
      </c>
      <c r="E378" s="358" t="b">
        <v>0</v>
      </c>
      <c r="F378" s="358" t="b">
        <v>0</v>
      </c>
      <c r="G378" s="358" t="b">
        <v>0</v>
      </c>
      <c r="H378" s="358" t="b">
        <v>0</v>
      </c>
      <c r="I378" s="358">
        <v>1</v>
      </c>
      <c r="J378" s="358">
        <v>12</v>
      </c>
      <c r="K378" s="358" t="s">
        <v>485</v>
      </c>
      <c r="L378" s="358" t="s">
        <v>1613</v>
      </c>
    </row>
    <row r="379" spans="1:12" x14ac:dyDescent="0.2">
      <c r="A379" s="358" t="s">
        <v>1614</v>
      </c>
      <c r="B379" s="359" t="s">
        <v>1615</v>
      </c>
      <c r="C379" s="358" t="b">
        <v>1</v>
      </c>
      <c r="D379" s="358" t="b">
        <v>1</v>
      </c>
      <c r="E379" s="358" t="b">
        <v>0</v>
      </c>
      <c r="F379" s="358" t="b">
        <v>0</v>
      </c>
      <c r="G379" s="358" t="b">
        <v>0</v>
      </c>
      <c r="H379" s="358" t="b">
        <v>0</v>
      </c>
      <c r="I379" s="358">
        <v>1</v>
      </c>
      <c r="J379" s="358">
        <v>12</v>
      </c>
      <c r="K379" s="358" t="s">
        <v>485</v>
      </c>
      <c r="L379" s="358" t="s">
        <v>1616</v>
      </c>
    </row>
    <row r="380" spans="1:12" x14ac:dyDescent="0.2">
      <c r="A380" s="358" t="s">
        <v>1617</v>
      </c>
      <c r="B380" s="359" t="s">
        <v>1618</v>
      </c>
      <c r="C380" s="358" t="b">
        <v>1</v>
      </c>
      <c r="D380" s="358" t="b">
        <v>1</v>
      </c>
      <c r="E380" s="358" t="b">
        <v>0</v>
      </c>
      <c r="F380" s="358" t="b">
        <v>0</v>
      </c>
      <c r="G380" s="358" t="b">
        <v>0</v>
      </c>
      <c r="H380" s="358" t="b">
        <v>0</v>
      </c>
      <c r="I380" s="358">
        <v>1</v>
      </c>
      <c r="J380" s="358">
        <v>12</v>
      </c>
      <c r="K380" s="358" t="s">
        <v>485</v>
      </c>
      <c r="L380" s="358" t="s">
        <v>1619</v>
      </c>
    </row>
    <row r="381" spans="1:12" x14ac:dyDescent="0.2">
      <c r="A381" s="358" t="s">
        <v>1620</v>
      </c>
      <c r="B381" s="359" t="s">
        <v>1621</v>
      </c>
      <c r="C381" s="358" t="b">
        <v>1</v>
      </c>
      <c r="D381" s="358" t="b">
        <v>1</v>
      </c>
      <c r="E381" s="358" t="b">
        <v>0</v>
      </c>
      <c r="F381" s="358" t="b">
        <v>0</v>
      </c>
      <c r="G381" s="358" t="b">
        <v>0</v>
      </c>
      <c r="H381" s="358" t="b">
        <v>0</v>
      </c>
      <c r="I381" s="358">
        <v>1</v>
      </c>
      <c r="J381" s="358">
        <v>12</v>
      </c>
      <c r="K381" s="358" t="s">
        <v>485</v>
      </c>
      <c r="L381" s="358" t="s">
        <v>1622</v>
      </c>
    </row>
    <row r="382" spans="1:12" x14ac:dyDescent="0.2">
      <c r="A382" s="358" t="s">
        <v>1623</v>
      </c>
      <c r="B382" s="359" t="s">
        <v>1624</v>
      </c>
      <c r="C382" s="358" t="b">
        <v>1</v>
      </c>
      <c r="D382" s="358" t="b">
        <v>1</v>
      </c>
      <c r="E382" s="358" t="b">
        <v>0</v>
      </c>
      <c r="F382" s="358" t="b">
        <v>0</v>
      </c>
      <c r="G382" s="358" t="b">
        <v>0</v>
      </c>
      <c r="H382" s="358" t="b">
        <v>0</v>
      </c>
      <c r="I382" s="358">
        <v>1</v>
      </c>
      <c r="J382" s="358">
        <v>1</v>
      </c>
      <c r="K382" s="358" t="s">
        <v>485</v>
      </c>
      <c r="L382" s="358" t="s">
        <v>1625</v>
      </c>
    </row>
    <row r="383" spans="1:12" x14ac:dyDescent="0.2">
      <c r="A383" s="358" t="s">
        <v>1626</v>
      </c>
      <c r="B383" s="359" t="s">
        <v>1627</v>
      </c>
      <c r="C383" s="358" t="b">
        <v>1</v>
      </c>
      <c r="D383" s="358" t="b">
        <v>1</v>
      </c>
      <c r="E383" s="358" t="b">
        <v>0</v>
      </c>
      <c r="F383" s="358" t="b">
        <v>0</v>
      </c>
      <c r="G383" s="358" t="b">
        <v>0</v>
      </c>
      <c r="H383" s="358" t="b">
        <v>0</v>
      </c>
      <c r="I383" s="358">
        <v>1</v>
      </c>
      <c r="J383" s="358">
        <v>1</v>
      </c>
      <c r="K383" s="358" t="s">
        <v>485</v>
      </c>
      <c r="L383" s="358" t="s">
        <v>1628</v>
      </c>
    </row>
    <row r="384" spans="1:12" x14ac:dyDescent="0.2">
      <c r="A384" s="358" t="s">
        <v>1629</v>
      </c>
      <c r="B384" s="359" t="s">
        <v>1630</v>
      </c>
      <c r="C384" s="358" t="b">
        <v>1</v>
      </c>
      <c r="D384" s="358" t="b">
        <v>1</v>
      </c>
      <c r="E384" s="358" t="b">
        <v>0</v>
      </c>
      <c r="F384" s="358" t="b">
        <v>0</v>
      </c>
      <c r="G384" s="358" t="b">
        <v>0</v>
      </c>
      <c r="H384" s="358" t="b">
        <v>0</v>
      </c>
      <c r="I384" s="358">
        <v>1</v>
      </c>
      <c r="J384" s="358">
        <v>1</v>
      </c>
      <c r="K384" s="358" t="s">
        <v>485</v>
      </c>
      <c r="L384" s="358" t="s">
        <v>1631</v>
      </c>
    </row>
    <row r="385" spans="1:12" x14ac:dyDescent="0.2">
      <c r="A385" s="358" t="s">
        <v>1632</v>
      </c>
      <c r="B385" s="359" t="s">
        <v>1633</v>
      </c>
      <c r="C385" s="358" t="b">
        <v>1</v>
      </c>
      <c r="D385" s="358" t="b">
        <v>1</v>
      </c>
      <c r="E385" s="358" t="b">
        <v>0</v>
      </c>
      <c r="F385" s="358" t="b">
        <v>0</v>
      </c>
      <c r="G385" s="358" t="b">
        <v>0</v>
      </c>
      <c r="H385" s="358" t="b">
        <v>0</v>
      </c>
      <c r="I385" s="358">
        <v>1</v>
      </c>
      <c r="J385" s="358">
        <v>1</v>
      </c>
      <c r="K385" s="358" t="s">
        <v>485</v>
      </c>
      <c r="L385" s="358" t="s">
        <v>1634</v>
      </c>
    </row>
    <row r="386" spans="1:12" x14ac:dyDescent="0.2">
      <c r="A386" s="358" t="s">
        <v>1635</v>
      </c>
      <c r="B386" s="359" t="s">
        <v>1636</v>
      </c>
      <c r="C386" s="358" t="b">
        <v>1</v>
      </c>
      <c r="D386" s="358" t="b">
        <v>1</v>
      </c>
      <c r="E386" s="358" t="b">
        <v>0</v>
      </c>
      <c r="F386" s="358" t="b">
        <v>0</v>
      </c>
      <c r="G386" s="358" t="b">
        <v>0</v>
      </c>
      <c r="H386" s="358" t="b">
        <v>0</v>
      </c>
      <c r="I386" s="358">
        <v>1</v>
      </c>
      <c r="J386" s="358">
        <v>1</v>
      </c>
      <c r="K386" s="358" t="s">
        <v>485</v>
      </c>
      <c r="L386" s="358" t="s">
        <v>1637</v>
      </c>
    </row>
    <row r="387" spans="1:12" x14ac:dyDescent="0.2">
      <c r="A387" s="358" t="s">
        <v>1638</v>
      </c>
      <c r="B387" s="359" t="s">
        <v>1639</v>
      </c>
      <c r="C387" s="358" t="b">
        <v>1</v>
      </c>
      <c r="D387" s="358" t="b">
        <v>1</v>
      </c>
      <c r="E387" s="358" t="b">
        <v>0</v>
      </c>
      <c r="F387" s="358" t="b">
        <v>0</v>
      </c>
      <c r="G387" s="358" t="b">
        <v>0</v>
      </c>
      <c r="H387" s="358" t="b">
        <v>0</v>
      </c>
      <c r="I387" s="358">
        <v>1</v>
      </c>
      <c r="J387" s="358">
        <v>1</v>
      </c>
      <c r="K387" s="358" t="s">
        <v>485</v>
      </c>
      <c r="L387" s="358" t="s">
        <v>1640</v>
      </c>
    </row>
    <row r="388" spans="1:12" x14ac:dyDescent="0.2">
      <c r="A388" s="358" t="s">
        <v>1641</v>
      </c>
      <c r="B388" s="359" t="s">
        <v>1642</v>
      </c>
      <c r="C388" s="358" t="b">
        <v>1</v>
      </c>
      <c r="D388" s="358" t="b">
        <v>1</v>
      </c>
      <c r="E388" s="358" t="b">
        <v>0</v>
      </c>
      <c r="F388" s="358" t="b">
        <v>0</v>
      </c>
      <c r="G388" s="358" t="b">
        <v>0</v>
      </c>
      <c r="H388" s="358" t="b">
        <v>0</v>
      </c>
      <c r="I388" s="358">
        <v>1</v>
      </c>
      <c r="J388" s="358">
        <v>1</v>
      </c>
      <c r="K388" s="358" t="s">
        <v>485</v>
      </c>
      <c r="L388" s="358" t="s">
        <v>1643</v>
      </c>
    </row>
    <row r="389" spans="1:12" x14ac:dyDescent="0.2">
      <c r="A389" s="358" t="s">
        <v>1644</v>
      </c>
      <c r="B389" s="359" t="s">
        <v>1645</v>
      </c>
      <c r="C389" s="358" t="b">
        <v>1</v>
      </c>
      <c r="D389" s="358" t="b">
        <v>1</v>
      </c>
      <c r="E389" s="358" t="b">
        <v>0</v>
      </c>
      <c r="F389" s="358" t="b">
        <v>0</v>
      </c>
      <c r="G389" s="358" t="b">
        <v>0</v>
      </c>
      <c r="H389" s="358" t="b">
        <v>0</v>
      </c>
      <c r="I389" s="358">
        <v>1</v>
      </c>
      <c r="J389" s="358">
        <v>1</v>
      </c>
      <c r="K389" s="358" t="s">
        <v>485</v>
      </c>
      <c r="L389" s="358" t="s">
        <v>1646</v>
      </c>
    </row>
    <row r="390" spans="1:12" x14ac:dyDescent="0.2">
      <c r="A390" s="358" t="s">
        <v>1647</v>
      </c>
      <c r="B390" s="359" t="s">
        <v>1648</v>
      </c>
      <c r="C390" s="358" t="b">
        <v>1</v>
      </c>
      <c r="D390" s="358" t="b">
        <v>1</v>
      </c>
      <c r="E390" s="358" t="b">
        <v>0</v>
      </c>
      <c r="F390" s="358" t="b">
        <v>0</v>
      </c>
      <c r="G390" s="358" t="b">
        <v>0</v>
      </c>
      <c r="H390" s="358" t="b">
        <v>0</v>
      </c>
      <c r="I390" s="358">
        <v>1</v>
      </c>
      <c r="J390" s="358">
        <v>1</v>
      </c>
      <c r="K390" s="358" t="s">
        <v>485</v>
      </c>
      <c r="L390" s="358" t="s">
        <v>1649</v>
      </c>
    </row>
    <row r="391" spans="1:12" x14ac:dyDescent="0.2">
      <c r="A391" s="358" t="s">
        <v>1650</v>
      </c>
      <c r="B391" s="359" t="s">
        <v>1651</v>
      </c>
      <c r="C391" s="358" t="b">
        <v>1</v>
      </c>
      <c r="D391" s="358" t="b">
        <v>1</v>
      </c>
      <c r="E391" s="358" t="b">
        <v>0</v>
      </c>
      <c r="F391" s="358" t="b">
        <v>0</v>
      </c>
      <c r="G391" s="358" t="b">
        <v>0</v>
      </c>
      <c r="H391" s="358" t="b">
        <v>0</v>
      </c>
      <c r="I391" s="358">
        <v>1</v>
      </c>
      <c r="J391" s="358">
        <v>1</v>
      </c>
      <c r="K391" s="358" t="s">
        <v>485</v>
      </c>
      <c r="L391" s="358" t="s">
        <v>1652</v>
      </c>
    </row>
    <row r="392" spans="1:12" x14ac:dyDescent="0.2">
      <c r="A392" s="360" t="s">
        <v>1653</v>
      </c>
      <c r="B392" s="359" t="s">
        <v>1654</v>
      </c>
      <c r="C392" s="358" t="b">
        <v>1</v>
      </c>
      <c r="D392" s="358" t="b">
        <v>1</v>
      </c>
      <c r="E392" s="358" t="b">
        <v>0</v>
      </c>
      <c r="F392" s="358" t="b">
        <v>0</v>
      </c>
      <c r="G392" s="358" t="b">
        <v>0</v>
      </c>
      <c r="H392" s="358" t="b">
        <v>0</v>
      </c>
      <c r="I392" s="358">
        <v>1</v>
      </c>
      <c r="J392" s="358">
        <v>13</v>
      </c>
      <c r="K392" s="358" t="s">
        <v>485</v>
      </c>
      <c r="L392" s="360" t="s">
        <v>1655</v>
      </c>
    </row>
    <row r="393" spans="1:12" x14ac:dyDescent="0.2">
      <c r="A393" s="360" t="s">
        <v>1656</v>
      </c>
      <c r="B393" s="359" t="s">
        <v>1657</v>
      </c>
      <c r="C393" s="358" t="b">
        <v>1</v>
      </c>
      <c r="D393" s="358" t="b">
        <v>1</v>
      </c>
      <c r="E393" s="358" t="b">
        <v>0</v>
      </c>
      <c r="F393" s="358" t="b">
        <v>0</v>
      </c>
      <c r="G393" s="358" t="b">
        <v>0</v>
      </c>
      <c r="H393" s="358" t="b">
        <v>0</v>
      </c>
      <c r="I393" s="358">
        <v>1</v>
      </c>
      <c r="J393" s="358">
        <v>13</v>
      </c>
      <c r="K393" s="358" t="s">
        <v>485</v>
      </c>
      <c r="L393" s="360" t="s">
        <v>1658</v>
      </c>
    </row>
    <row r="394" spans="1:12" x14ac:dyDescent="0.2">
      <c r="A394" s="360" t="s">
        <v>1659</v>
      </c>
      <c r="B394" s="359" t="s">
        <v>1660</v>
      </c>
      <c r="C394" s="358" t="b">
        <v>1</v>
      </c>
      <c r="D394" s="358" t="b">
        <v>1</v>
      </c>
      <c r="E394" s="358" t="b">
        <v>0</v>
      </c>
      <c r="F394" s="358" t="b">
        <v>0</v>
      </c>
      <c r="G394" s="358" t="b">
        <v>0</v>
      </c>
      <c r="H394" s="358" t="b">
        <v>0</v>
      </c>
      <c r="I394" s="358">
        <v>1</v>
      </c>
      <c r="J394" s="358">
        <v>13</v>
      </c>
      <c r="K394" s="358" t="s">
        <v>485</v>
      </c>
      <c r="L394" s="360" t="s">
        <v>1661</v>
      </c>
    </row>
    <row r="395" spans="1:12" x14ac:dyDescent="0.2">
      <c r="A395" s="360" t="s">
        <v>1662</v>
      </c>
      <c r="B395" s="359" t="s">
        <v>1663</v>
      </c>
      <c r="C395" s="358" t="b">
        <v>1</v>
      </c>
      <c r="D395" s="358" t="b">
        <v>1</v>
      </c>
      <c r="E395" s="358" t="b">
        <v>0</v>
      </c>
      <c r="F395" s="358" t="b">
        <v>0</v>
      </c>
      <c r="G395" s="358" t="b">
        <v>0</v>
      </c>
      <c r="H395" s="358" t="b">
        <v>0</v>
      </c>
      <c r="I395" s="358">
        <v>1</v>
      </c>
      <c r="J395" s="358">
        <v>13</v>
      </c>
      <c r="K395" s="358" t="s">
        <v>485</v>
      </c>
      <c r="L395" s="360" t="s">
        <v>1664</v>
      </c>
    </row>
    <row r="396" spans="1:12" x14ac:dyDescent="0.2">
      <c r="A396" s="360" t="s">
        <v>1665</v>
      </c>
      <c r="B396" s="359" t="s">
        <v>1666</v>
      </c>
      <c r="C396" s="358" t="b">
        <v>1</v>
      </c>
      <c r="D396" s="358" t="b">
        <v>1</v>
      </c>
      <c r="E396" s="358" t="b">
        <v>0</v>
      </c>
      <c r="F396" s="358" t="b">
        <v>0</v>
      </c>
      <c r="G396" s="358" t="b">
        <v>0</v>
      </c>
      <c r="H396" s="358" t="b">
        <v>0</v>
      </c>
      <c r="I396" s="358">
        <v>1</v>
      </c>
      <c r="J396" s="358">
        <v>13</v>
      </c>
      <c r="K396" s="358" t="s">
        <v>485</v>
      </c>
      <c r="L396" s="360" t="s">
        <v>1667</v>
      </c>
    </row>
    <row r="397" spans="1:12" x14ac:dyDescent="0.2">
      <c r="A397" s="360" t="s">
        <v>1668</v>
      </c>
      <c r="B397" s="359" t="s">
        <v>1669</v>
      </c>
      <c r="C397" s="358" t="b">
        <v>1</v>
      </c>
      <c r="D397" s="358" t="b">
        <v>1</v>
      </c>
      <c r="E397" s="358" t="b">
        <v>0</v>
      </c>
      <c r="F397" s="358" t="b">
        <v>0</v>
      </c>
      <c r="G397" s="358" t="b">
        <v>0</v>
      </c>
      <c r="H397" s="358" t="b">
        <v>0</v>
      </c>
      <c r="I397" s="358">
        <v>1</v>
      </c>
      <c r="J397" s="358">
        <v>13</v>
      </c>
      <c r="K397" s="358" t="s">
        <v>485</v>
      </c>
      <c r="L397" s="360" t="s">
        <v>1670</v>
      </c>
    </row>
    <row r="398" spans="1:12" x14ac:dyDescent="0.2">
      <c r="A398" s="360" t="s">
        <v>1671</v>
      </c>
      <c r="B398" s="359" t="s">
        <v>1672</v>
      </c>
      <c r="C398" s="358" t="b">
        <v>1</v>
      </c>
      <c r="D398" s="358" t="b">
        <v>1</v>
      </c>
      <c r="E398" s="358" t="b">
        <v>0</v>
      </c>
      <c r="F398" s="358" t="b">
        <v>0</v>
      </c>
      <c r="G398" s="358" t="b">
        <v>0</v>
      </c>
      <c r="H398" s="358" t="b">
        <v>0</v>
      </c>
      <c r="I398" s="358">
        <v>1</v>
      </c>
      <c r="J398" s="358">
        <v>13</v>
      </c>
      <c r="K398" s="358" t="s">
        <v>485</v>
      </c>
      <c r="L398" s="360" t="s">
        <v>1673</v>
      </c>
    </row>
    <row r="399" spans="1:12" x14ac:dyDescent="0.2">
      <c r="A399" s="360" t="s">
        <v>1674</v>
      </c>
      <c r="B399" s="359" t="s">
        <v>1675</v>
      </c>
      <c r="C399" s="358" t="b">
        <v>1</v>
      </c>
      <c r="D399" s="358" t="b">
        <v>1</v>
      </c>
      <c r="E399" s="358" t="b">
        <v>0</v>
      </c>
      <c r="F399" s="358" t="b">
        <v>0</v>
      </c>
      <c r="G399" s="358" t="b">
        <v>0</v>
      </c>
      <c r="H399" s="358" t="b">
        <v>0</v>
      </c>
      <c r="I399" s="358">
        <v>1</v>
      </c>
      <c r="J399" s="358">
        <v>13</v>
      </c>
      <c r="K399" s="358" t="s">
        <v>485</v>
      </c>
      <c r="L399" s="360" t="s">
        <v>1676</v>
      </c>
    </row>
    <row r="400" spans="1:12" x14ac:dyDescent="0.2">
      <c r="A400" s="360" t="s">
        <v>1677</v>
      </c>
      <c r="B400" s="359" t="s">
        <v>1678</v>
      </c>
      <c r="C400" s="358" t="b">
        <v>1</v>
      </c>
      <c r="D400" s="358" t="b">
        <v>1</v>
      </c>
      <c r="E400" s="358" t="b">
        <v>0</v>
      </c>
      <c r="F400" s="358" t="b">
        <v>0</v>
      </c>
      <c r="G400" s="358" t="b">
        <v>0</v>
      </c>
      <c r="H400" s="358" t="b">
        <v>0</v>
      </c>
      <c r="I400" s="358">
        <v>1</v>
      </c>
      <c r="J400" s="358">
        <v>13</v>
      </c>
      <c r="K400" s="358" t="s">
        <v>485</v>
      </c>
      <c r="L400" s="360" t="s">
        <v>1679</v>
      </c>
    </row>
    <row r="401" spans="1:12" x14ac:dyDescent="0.2">
      <c r="A401" s="360" t="s">
        <v>1680</v>
      </c>
      <c r="B401" s="359" t="s">
        <v>1681</v>
      </c>
      <c r="C401" s="358" t="b">
        <v>1</v>
      </c>
      <c r="D401" s="358" t="b">
        <v>1</v>
      </c>
      <c r="E401" s="358" t="b">
        <v>0</v>
      </c>
      <c r="F401" s="358" t="b">
        <v>0</v>
      </c>
      <c r="G401" s="358" t="b">
        <v>0</v>
      </c>
      <c r="H401" s="358" t="b">
        <v>0</v>
      </c>
      <c r="I401" s="358">
        <v>1</v>
      </c>
      <c r="J401" s="358">
        <v>13</v>
      </c>
      <c r="K401" s="358" t="s">
        <v>485</v>
      </c>
      <c r="L401" s="360" t="s">
        <v>1682</v>
      </c>
    </row>
    <row r="402" spans="1:12" x14ac:dyDescent="0.2">
      <c r="A402" s="360" t="s">
        <v>1683</v>
      </c>
      <c r="B402" s="359" t="s">
        <v>1684</v>
      </c>
      <c r="C402" s="358" t="b">
        <v>1</v>
      </c>
      <c r="D402" s="358" t="b">
        <v>1</v>
      </c>
      <c r="E402" s="358" t="b">
        <v>0</v>
      </c>
      <c r="F402" s="358" t="b">
        <v>0</v>
      </c>
      <c r="G402" s="358" t="b">
        <v>0</v>
      </c>
      <c r="H402" s="358" t="b">
        <v>0</v>
      </c>
      <c r="I402" s="358">
        <v>1</v>
      </c>
      <c r="J402" s="358">
        <v>13</v>
      </c>
      <c r="K402" s="358" t="s">
        <v>485</v>
      </c>
      <c r="L402" s="360" t="s">
        <v>1685</v>
      </c>
    </row>
    <row r="403" spans="1:12" x14ac:dyDescent="0.2">
      <c r="A403" s="360" t="s">
        <v>1686</v>
      </c>
      <c r="B403" s="359" t="s">
        <v>1687</v>
      </c>
      <c r="C403" s="358" t="b">
        <v>1</v>
      </c>
      <c r="D403" s="358" t="b">
        <v>1</v>
      </c>
      <c r="E403" s="358" t="b">
        <v>0</v>
      </c>
      <c r="F403" s="358" t="b">
        <v>0</v>
      </c>
      <c r="G403" s="358" t="b">
        <v>0</v>
      </c>
      <c r="H403" s="358" t="b">
        <v>0</v>
      </c>
      <c r="I403" s="358">
        <v>1</v>
      </c>
      <c r="J403" s="358">
        <v>13</v>
      </c>
      <c r="K403" s="358" t="s">
        <v>485</v>
      </c>
      <c r="L403" s="360" t="s">
        <v>1688</v>
      </c>
    </row>
    <row r="404" spans="1:12" x14ac:dyDescent="0.2">
      <c r="A404" s="360" t="s">
        <v>1689</v>
      </c>
      <c r="B404" s="359" t="s">
        <v>1690</v>
      </c>
      <c r="C404" s="358" t="b">
        <v>1</v>
      </c>
      <c r="D404" s="358" t="b">
        <v>1</v>
      </c>
      <c r="E404" s="358" t="b">
        <v>0</v>
      </c>
      <c r="F404" s="358" t="b">
        <v>0</v>
      </c>
      <c r="G404" s="358" t="b">
        <v>0</v>
      </c>
      <c r="H404" s="358" t="b">
        <v>0</v>
      </c>
      <c r="I404" s="358">
        <v>1</v>
      </c>
      <c r="J404" s="358">
        <v>13</v>
      </c>
      <c r="K404" s="358" t="s">
        <v>485</v>
      </c>
      <c r="L404" s="360" t="s">
        <v>1691</v>
      </c>
    </row>
    <row r="405" spans="1:12" x14ac:dyDescent="0.2">
      <c r="A405" s="360" t="s">
        <v>1692</v>
      </c>
      <c r="B405" s="359" t="s">
        <v>1693</v>
      </c>
      <c r="C405" s="358" t="b">
        <v>1</v>
      </c>
      <c r="D405" s="358" t="b">
        <v>1</v>
      </c>
      <c r="E405" s="358" t="b">
        <v>0</v>
      </c>
      <c r="F405" s="358" t="b">
        <v>0</v>
      </c>
      <c r="G405" s="358" t="b">
        <v>0</v>
      </c>
      <c r="H405" s="358" t="b">
        <v>0</v>
      </c>
      <c r="I405" s="358">
        <v>1</v>
      </c>
      <c r="J405" s="358">
        <v>13</v>
      </c>
      <c r="K405" s="358" t="s">
        <v>485</v>
      </c>
      <c r="L405" s="360" t="s">
        <v>1694</v>
      </c>
    </row>
    <row r="406" spans="1:12" x14ac:dyDescent="0.2">
      <c r="A406" s="360" t="s">
        <v>1695</v>
      </c>
      <c r="B406" s="359" t="s">
        <v>1696</v>
      </c>
      <c r="C406" s="358" t="b">
        <v>1</v>
      </c>
      <c r="D406" s="358" t="b">
        <v>1</v>
      </c>
      <c r="E406" s="358" t="b">
        <v>0</v>
      </c>
      <c r="F406" s="358" t="b">
        <v>0</v>
      </c>
      <c r="G406" s="358" t="b">
        <v>0</v>
      </c>
      <c r="H406" s="358" t="b">
        <v>0</v>
      </c>
      <c r="I406" s="358">
        <v>1</v>
      </c>
      <c r="J406" s="358">
        <v>13</v>
      </c>
      <c r="K406" s="358" t="s">
        <v>485</v>
      </c>
      <c r="L406" s="360" t="s">
        <v>1697</v>
      </c>
    </row>
    <row r="407" spans="1:12" x14ac:dyDescent="0.2">
      <c r="A407" s="360" t="s">
        <v>1698</v>
      </c>
      <c r="B407" s="359" t="s">
        <v>1699</v>
      </c>
      <c r="C407" s="358" t="b">
        <v>1</v>
      </c>
      <c r="D407" s="358" t="b">
        <v>1</v>
      </c>
      <c r="E407" s="358" t="b">
        <v>0</v>
      </c>
      <c r="F407" s="358" t="b">
        <v>0</v>
      </c>
      <c r="G407" s="358" t="b">
        <v>0</v>
      </c>
      <c r="H407" s="358" t="b">
        <v>0</v>
      </c>
      <c r="I407" s="358">
        <v>1</v>
      </c>
      <c r="J407" s="358">
        <v>13</v>
      </c>
      <c r="K407" s="358" t="s">
        <v>485</v>
      </c>
      <c r="L407" s="360" t="s">
        <v>1700</v>
      </c>
    </row>
    <row r="408" spans="1:12" x14ac:dyDescent="0.2">
      <c r="A408" s="360" t="s">
        <v>1701</v>
      </c>
      <c r="B408" s="359" t="s">
        <v>1702</v>
      </c>
      <c r="C408" s="358" t="b">
        <v>1</v>
      </c>
      <c r="D408" s="358" t="b">
        <v>1</v>
      </c>
      <c r="E408" s="358" t="b">
        <v>0</v>
      </c>
      <c r="F408" s="358" t="b">
        <v>0</v>
      </c>
      <c r="G408" s="358" t="b">
        <v>0</v>
      </c>
      <c r="H408" s="358" t="b">
        <v>0</v>
      </c>
      <c r="I408" s="358">
        <v>1</v>
      </c>
      <c r="J408" s="358">
        <v>13</v>
      </c>
      <c r="K408" s="358" t="s">
        <v>485</v>
      </c>
      <c r="L408" s="360" t="s">
        <v>1703</v>
      </c>
    </row>
    <row r="409" spans="1:12" x14ac:dyDescent="0.2">
      <c r="A409" s="360" t="s">
        <v>1704</v>
      </c>
      <c r="B409" s="359" t="s">
        <v>1705</v>
      </c>
      <c r="C409" s="358" t="b">
        <v>1</v>
      </c>
      <c r="D409" s="358" t="b">
        <v>1</v>
      </c>
      <c r="E409" s="358" t="b">
        <v>0</v>
      </c>
      <c r="F409" s="358" t="b">
        <v>0</v>
      </c>
      <c r="G409" s="358" t="b">
        <v>0</v>
      </c>
      <c r="H409" s="358" t="b">
        <v>0</v>
      </c>
      <c r="I409" s="358">
        <v>1</v>
      </c>
      <c r="J409" s="358">
        <v>13</v>
      </c>
      <c r="K409" s="358" t="s">
        <v>485</v>
      </c>
      <c r="L409" s="360" t="s">
        <v>1706</v>
      </c>
    </row>
    <row r="410" spans="1:12" x14ac:dyDescent="0.2">
      <c r="A410" s="360" t="s">
        <v>1707</v>
      </c>
      <c r="B410" s="359" t="s">
        <v>1708</v>
      </c>
      <c r="C410" s="358" t="b">
        <v>1</v>
      </c>
      <c r="D410" s="358" t="b">
        <v>1</v>
      </c>
      <c r="E410" s="358" t="b">
        <v>0</v>
      </c>
      <c r="F410" s="358" t="b">
        <v>0</v>
      </c>
      <c r="G410" s="358" t="b">
        <v>0</v>
      </c>
      <c r="H410" s="358" t="b">
        <v>0</v>
      </c>
      <c r="I410" s="358">
        <v>1</v>
      </c>
      <c r="J410" s="358">
        <v>13</v>
      </c>
      <c r="K410" s="358" t="s">
        <v>485</v>
      </c>
      <c r="L410" s="360" t="s">
        <v>1709</v>
      </c>
    </row>
    <row r="411" spans="1:12" x14ac:dyDescent="0.2">
      <c r="A411" s="360" t="s">
        <v>1710</v>
      </c>
      <c r="B411" s="359" t="s">
        <v>1711</v>
      </c>
      <c r="C411" s="358" t="b">
        <v>1</v>
      </c>
      <c r="D411" s="358" t="b">
        <v>1</v>
      </c>
      <c r="E411" s="358" t="b">
        <v>0</v>
      </c>
      <c r="F411" s="358" t="b">
        <v>0</v>
      </c>
      <c r="G411" s="358" t="b">
        <v>0</v>
      </c>
      <c r="H411" s="358" t="b">
        <v>0</v>
      </c>
      <c r="I411" s="358">
        <v>1</v>
      </c>
      <c r="J411" s="358">
        <v>13</v>
      </c>
      <c r="K411" s="358" t="s">
        <v>485</v>
      </c>
      <c r="L411" s="360" t="s">
        <v>1712</v>
      </c>
    </row>
    <row r="412" spans="1:12" x14ac:dyDescent="0.2">
      <c r="A412" s="360" t="s">
        <v>1713</v>
      </c>
      <c r="B412" s="359" t="s">
        <v>1714</v>
      </c>
      <c r="C412" s="358" t="b">
        <v>1</v>
      </c>
      <c r="D412" s="358" t="b">
        <v>1</v>
      </c>
      <c r="E412" s="358" t="b">
        <v>0</v>
      </c>
      <c r="F412" s="358" t="b">
        <v>0</v>
      </c>
      <c r="G412" s="358" t="b">
        <v>0</v>
      </c>
      <c r="H412" s="358" t="b">
        <v>0</v>
      </c>
      <c r="I412" s="358">
        <v>1</v>
      </c>
      <c r="J412" s="358">
        <v>13</v>
      </c>
      <c r="K412" s="358" t="s">
        <v>485</v>
      </c>
      <c r="L412" s="360" t="s">
        <v>1715</v>
      </c>
    </row>
    <row r="413" spans="1:12" x14ac:dyDescent="0.2">
      <c r="A413" s="360" t="s">
        <v>1716</v>
      </c>
      <c r="B413" s="359" t="s">
        <v>1717</v>
      </c>
      <c r="C413" s="358" t="b">
        <v>1</v>
      </c>
      <c r="D413" s="358" t="b">
        <v>1</v>
      </c>
      <c r="E413" s="358" t="b">
        <v>0</v>
      </c>
      <c r="F413" s="358" t="b">
        <v>0</v>
      </c>
      <c r="G413" s="358" t="b">
        <v>0</v>
      </c>
      <c r="H413" s="358" t="b">
        <v>0</v>
      </c>
      <c r="I413" s="358">
        <v>1</v>
      </c>
      <c r="J413" s="358">
        <v>13</v>
      </c>
      <c r="K413" s="358" t="s">
        <v>485</v>
      </c>
      <c r="L413" s="360" t="s">
        <v>1718</v>
      </c>
    </row>
    <row r="414" spans="1:12" x14ac:dyDescent="0.2">
      <c r="A414" s="360" t="s">
        <v>1719</v>
      </c>
      <c r="B414" s="359" t="s">
        <v>1720</v>
      </c>
      <c r="C414" s="358" t="b">
        <v>1</v>
      </c>
      <c r="D414" s="358" t="b">
        <v>1</v>
      </c>
      <c r="E414" s="358" t="b">
        <v>0</v>
      </c>
      <c r="F414" s="358" t="b">
        <v>0</v>
      </c>
      <c r="G414" s="358" t="b">
        <v>0</v>
      </c>
      <c r="H414" s="358" t="b">
        <v>0</v>
      </c>
      <c r="I414" s="358">
        <v>1</v>
      </c>
      <c r="J414" s="358">
        <v>13</v>
      </c>
      <c r="K414" s="358" t="s">
        <v>485</v>
      </c>
      <c r="L414" s="360" t="s">
        <v>1721</v>
      </c>
    </row>
    <row r="415" spans="1:12" x14ac:dyDescent="0.2">
      <c r="A415" s="360" t="s">
        <v>1722</v>
      </c>
      <c r="B415" s="359" t="s">
        <v>1723</v>
      </c>
      <c r="C415" s="358" t="b">
        <v>1</v>
      </c>
      <c r="D415" s="358" t="b">
        <v>1</v>
      </c>
      <c r="E415" s="358" t="b">
        <v>0</v>
      </c>
      <c r="F415" s="358" t="b">
        <v>0</v>
      </c>
      <c r="G415" s="358" t="b">
        <v>0</v>
      </c>
      <c r="H415" s="358" t="b">
        <v>0</v>
      </c>
      <c r="I415" s="358">
        <v>1</v>
      </c>
      <c r="J415" s="358">
        <v>13</v>
      </c>
      <c r="K415" s="358" t="s">
        <v>485</v>
      </c>
      <c r="L415" s="360" t="s">
        <v>1724</v>
      </c>
    </row>
    <row r="416" spans="1:12" x14ac:dyDescent="0.2">
      <c r="A416" s="360" t="s">
        <v>1725</v>
      </c>
      <c r="B416" s="359" t="s">
        <v>1726</v>
      </c>
      <c r="C416" s="358" t="b">
        <v>1</v>
      </c>
      <c r="D416" s="358" t="b">
        <v>1</v>
      </c>
      <c r="E416" s="358" t="b">
        <v>0</v>
      </c>
      <c r="F416" s="358" t="b">
        <v>0</v>
      </c>
      <c r="G416" s="358" t="b">
        <v>0</v>
      </c>
      <c r="H416" s="358" t="b">
        <v>0</v>
      </c>
      <c r="I416" s="358">
        <v>1</v>
      </c>
      <c r="J416" s="358">
        <v>13</v>
      </c>
      <c r="K416" s="358" t="s">
        <v>485</v>
      </c>
      <c r="L416" s="360" t="s">
        <v>1727</v>
      </c>
    </row>
    <row r="417" spans="1:12" x14ac:dyDescent="0.2">
      <c r="A417" s="360" t="s">
        <v>1728</v>
      </c>
      <c r="B417" s="359" t="s">
        <v>1729</v>
      </c>
      <c r="C417" s="358" t="b">
        <v>1</v>
      </c>
      <c r="D417" s="358" t="b">
        <v>1</v>
      </c>
      <c r="E417" s="358" t="b">
        <v>0</v>
      </c>
      <c r="F417" s="358" t="b">
        <v>0</v>
      </c>
      <c r="G417" s="358" t="b">
        <v>0</v>
      </c>
      <c r="H417" s="358" t="b">
        <v>0</v>
      </c>
      <c r="I417" s="358">
        <v>1</v>
      </c>
      <c r="J417" s="358">
        <v>13</v>
      </c>
      <c r="K417" s="358" t="s">
        <v>485</v>
      </c>
      <c r="L417" s="360" t="s">
        <v>1730</v>
      </c>
    </row>
    <row r="418" spans="1:12" x14ac:dyDescent="0.2">
      <c r="A418" s="360" t="s">
        <v>1731</v>
      </c>
      <c r="B418" s="359" t="s">
        <v>1732</v>
      </c>
      <c r="C418" s="358" t="b">
        <v>1</v>
      </c>
      <c r="D418" s="358" t="b">
        <v>1</v>
      </c>
      <c r="E418" s="358" t="b">
        <v>0</v>
      </c>
      <c r="F418" s="358" t="b">
        <v>0</v>
      </c>
      <c r="G418" s="358" t="b">
        <v>0</v>
      </c>
      <c r="H418" s="358" t="b">
        <v>0</v>
      </c>
      <c r="I418" s="358">
        <v>1</v>
      </c>
      <c r="J418" s="358">
        <v>13</v>
      </c>
      <c r="K418" s="358" t="s">
        <v>485</v>
      </c>
      <c r="L418" s="360" t="s">
        <v>1733</v>
      </c>
    </row>
    <row r="419" spans="1:12" x14ac:dyDescent="0.2">
      <c r="A419" s="360" t="s">
        <v>1734</v>
      </c>
      <c r="B419" s="359" t="s">
        <v>1735</v>
      </c>
      <c r="C419" s="358" t="b">
        <v>1</v>
      </c>
      <c r="D419" s="358" t="b">
        <v>1</v>
      </c>
      <c r="E419" s="358" t="b">
        <v>0</v>
      </c>
      <c r="F419" s="358" t="b">
        <v>0</v>
      </c>
      <c r="G419" s="358" t="b">
        <v>0</v>
      </c>
      <c r="H419" s="358" t="b">
        <v>0</v>
      </c>
      <c r="I419" s="358">
        <v>1</v>
      </c>
      <c r="J419" s="358">
        <v>13</v>
      </c>
      <c r="K419" s="358" t="s">
        <v>485</v>
      </c>
      <c r="L419" s="360" t="s">
        <v>1736</v>
      </c>
    </row>
    <row r="420" spans="1:12" x14ac:dyDescent="0.2">
      <c r="A420" s="360" t="s">
        <v>1737</v>
      </c>
      <c r="B420" s="359" t="s">
        <v>1738</v>
      </c>
      <c r="C420" s="358" t="b">
        <v>1</v>
      </c>
      <c r="D420" s="358" t="b">
        <v>1</v>
      </c>
      <c r="E420" s="358" t="b">
        <v>0</v>
      </c>
      <c r="F420" s="358" t="b">
        <v>0</v>
      </c>
      <c r="G420" s="358" t="b">
        <v>0</v>
      </c>
      <c r="H420" s="358" t="b">
        <v>0</v>
      </c>
      <c r="I420" s="358">
        <v>1</v>
      </c>
      <c r="J420" s="358">
        <v>13</v>
      </c>
      <c r="K420" s="358" t="s">
        <v>485</v>
      </c>
      <c r="L420" s="360" t="s">
        <v>1739</v>
      </c>
    </row>
    <row r="421" spans="1:12" x14ac:dyDescent="0.2">
      <c r="A421" s="360" t="s">
        <v>1740</v>
      </c>
      <c r="B421" s="359" t="s">
        <v>1741</v>
      </c>
      <c r="C421" s="358" t="b">
        <v>1</v>
      </c>
      <c r="D421" s="358" t="b">
        <v>1</v>
      </c>
      <c r="E421" s="358" t="b">
        <v>0</v>
      </c>
      <c r="F421" s="358" t="b">
        <v>0</v>
      </c>
      <c r="G421" s="358" t="b">
        <v>0</v>
      </c>
      <c r="H421" s="358" t="b">
        <v>0</v>
      </c>
      <c r="I421" s="358">
        <v>1</v>
      </c>
      <c r="J421" s="358">
        <v>13</v>
      </c>
      <c r="K421" s="358" t="s">
        <v>485</v>
      </c>
      <c r="L421" s="360" t="s">
        <v>1742</v>
      </c>
    </row>
    <row r="422" spans="1:12" x14ac:dyDescent="0.2">
      <c r="A422" s="360" t="s">
        <v>1743</v>
      </c>
      <c r="B422" s="359" t="s">
        <v>1744</v>
      </c>
      <c r="C422" s="358" t="b">
        <v>1</v>
      </c>
      <c r="D422" s="358" t="b">
        <v>1</v>
      </c>
      <c r="E422" s="358" t="b">
        <v>0</v>
      </c>
      <c r="F422" s="358" t="b">
        <v>0</v>
      </c>
      <c r="G422" s="358" t="b">
        <v>0</v>
      </c>
      <c r="H422" s="358" t="b">
        <v>0</v>
      </c>
      <c r="I422" s="358">
        <v>1</v>
      </c>
      <c r="J422" s="358">
        <v>13</v>
      </c>
      <c r="K422" s="358" t="s">
        <v>485</v>
      </c>
      <c r="L422" s="360" t="s">
        <v>1745</v>
      </c>
    </row>
    <row r="423" spans="1:12" x14ac:dyDescent="0.2">
      <c r="A423" s="360" t="s">
        <v>1746</v>
      </c>
      <c r="B423" s="359" t="s">
        <v>1747</v>
      </c>
      <c r="C423" s="358" t="b">
        <v>1</v>
      </c>
      <c r="D423" s="358" t="b">
        <v>1</v>
      </c>
      <c r="E423" s="358" t="b">
        <v>0</v>
      </c>
      <c r="F423" s="358" t="b">
        <v>0</v>
      </c>
      <c r="G423" s="358" t="b">
        <v>0</v>
      </c>
      <c r="H423" s="358" t="b">
        <v>0</v>
      </c>
      <c r="I423" s="358">
        <v>1</v>
      </c>
      <c r="J423" s="358">
        <v>13</v>
      </c>
      <c r="K423" s="358" t="s">
        <v>485</v>
      </c>
      <c r="L423" s="360" t="s">
        <v>1748</v>
      </c>
    </row>
    <row r="424" spans="1:12" x14ac:dyDescent="0.2">
      <c r="A424" s="360" t="s">
        <v>1749</v>
      </c>
      <c r="B424" s="359" t="s">
        <v>1750</v>
      </c>
      <c r="C424" s="358" t="b">
        <v>1</v>
      </c>
      <c r="D424" s="358" t="b">
        <v>1</v>
      </c>
      <c r="E424" s="358" t="b">
        <v>0</v>
      </c>
      <c r="F424" s="358" t="b">
        <v>0</v>
      </c>
      <c r="G424" s="358" t="b">
        <v>0</v>
      </c>
      <c r="H424" s="358" t="b">
        <v>0</v>
      </c>
      <c r="I424" s="358">
        <v>1</v>
      </c>
      <c r="J424" s="358">
        <v>13</v>
      </c>
      <c r="K424" s="358" t="s">
        <v>485</v>
      </c>
      <c r="L424" s="360" t="s">
        <v>1751</v>
      </c>
    </row>
    <row r="425" spans="1:12" x14ac:dyDescent="0.2">
      <c r="A425" s="360" t="s">
        <v>1752</v>
      </c>
      <c r="B425" s="359" t="s">
        <v>1753</v>
      </c>
      <c r="C425" s="358" t="b">
        <v>1</v>
      </c>
      <c r="D425" s="358" t="b">
        <v>1</v>
      </c>
      <c r="E425" s="358" t="b">
        <v>0</v>
      </c>
      <c r="F425" s="358" t="b">
        <v>0</v>
      </c>
      <c r="G425" s="358" t="b">
        <v>0</v>
      </c>
      <c r="H425" s="358" t="b">
        <v>0</v>
      </c>
      <c r="I425" s="358">
        <v>1</v>
      </c>
      <c r="J425" s="358">
        <v>13</v>
      </c>
      <c r="K425" s="358" t="s">
        <v>485</v>
      </c>
      <c r="L425" s="360" t="s">
        <v>1754</v>
      </c>
    </row>
    <row r="426" spans="1:12" x14ac:dyDescent="0.2">
      <c r="A426" s="360" t="s">
        <v>1755</v>
      </c>
      <c r="B426" s="359" t="s">
        <v>1756</v>
      </c>
      <c r="C426" s="358" t="b">
        <v>1</v>
      </c>
      <c r="D426" s="358" t="b">
        <v>1</v>
      </c>
      <c r="E426" s="358" t="b">
        <v>0</v>
      </c>
      <c r="F426" s="358" t="b">
        <v>0</v>
      </c>
      <c r="G426" s="358" t="b">
        <v>0</v>
      </c>
      <c r="H426" s="358" t="b">
        <v>0</v>
      </c>
      <c r="I426" s="358">
        <v>1</v>
      </c>
      <c r="J426" s="358">
        <v>13</v>
      </c>
      <c r="K426" s="358" t="s">
        <v>485</v>
      </c>
      <c r="L426" s="360" t="s">
        <v>1757</v>
      </c>
    </row>
    <row r="427" spans="1:12" x14ac:dyDescent="0.2">
      <c r="A427" s="360" t="s">
        <v>1758</v>
      </c>
      <c r="B427" s="359" t="s">
        <v>1759</v>
      </c>
      <c r="C427" s="358" t="b">
        <v>1</v>
      </c>
      <c r="D427" s="358" t="b">
        <v>1</v>
      </c>
      <c r="E427" s="358" t="b">
        <v>0</v>
      </c>
      <c r="F427" s="358" t="b">
        <v>0</v>
      </c>
      <c r="G427" s="358" t="b">
        <v>0</v>
      </c>
      <c r="H427" s="358" t="b">
        <v>0</v>
      </c>
      <c r="I427" s="358">
        <v>1</v>
      </c>
      <c r="J427" s="358">
        <v>13</v>
      </c>
      <c r="K427" s="358" t="s">
        <v>485</v>
      </c>
      <c r="L427" s="360" t="s">
        <v>1760</v>
      </c>
    </row>
    <row r="428" spans="1:12" x14ac:dyDescent="0.2">
      <c r="A428" s="360" t="s">
        <v>1761</v>
      </c>
      <c r="B428" s="359" t="s">
        <v>1762</v>
      </c>
      <c r="C428" s="358" t="b">
        <v>1</v>
      </c>
      <c r="D428" s="358" t="b">
        <v>1</v>
      </c>
      <c r="E428" s="358" t="b">
        <v>0</v>
      </c>
      <c r="F428" s="358" t="b">
        <v>0</v>
      </c>
      <c r="G428" s="358" t="b">
        <v>0</v>
      </c>
      <c r="H428" s="358" t="b">
        <v>0</v>
      </c>
      <c r="I428" s="358">
        <v>1</v>
      </c>
      <c r="J428" s="358">
        <v>13</v>
      </c>
      <c r="K428" s="358" t="s">
        <v>485</v>
      </c>
      <c r="L428" s="360" t="s">
        <v>1763</v>
      </c>
    </row>
    <row r="429" spans="1:12" x14ac:dyDescent="0.2">
      <c r="A429" s="360" t="s">
        <v>1764</v>
      </c>
      <c r="B429" s="359" t="s">
        <v>1765</v>
      </c>
      <c r="C429" s="358" t="b">
        <v>1</v>
      </c>
      <c r="D429" s="358" t="b">
        <v>1</v>
      </c>
      <c r="E429" s="358" t="b">
        <v>0</v>
      </c>
      <c r="F429" s="358" t="b">
        <v>0</v>
      </c>
      <c r="G429" s="358" t="b">
        <v>0</v>
      </c>
      <c r="H429" s="358" t="b">
        <v>0</v>
      </c>
      <c r="I429" s="358">
        <v>1</v>
      </c>
      <c r="J429" s="358">
        <v>13</v>
      </c>
      <c r="K429" s="358" t="s">
        <v>485</v>
      </c>
      <c r="L429" s="360" t="s">
        <v>1766</v>
      </c>
    </row>
    <row r="430" spans="1:12" x14ac:dyDescent="0.2">
      <c r="A430" s="360" t="s">
        <v>1767</v>
      </c>
      <c r="B430" s="359" t="s">
        <v>1768</v>
      </c>
      <c r="C430" s="358" t="b">
        <v>1</v>
      </c>
      <c r="D430" s="358" t="b">
        <v>1</v>
      </c>
      <c r="E430" s="358" t="b">
        <v>0</v>
      </c>
      <c r="F430" s="358" t="b">
        <v>0</v>
      </c>
      <c r="G430" s="358" t="b">
        <v>0</v>
      </c>
      <c r="H430" s="358" t="b">
        <v>0</v>
      </c>
      <c r="I430" s="358">
        <v>1</v>
      </c>
      <c r="J430" s="358">
        <v>13</v>
      </c>
      <c r="K430" s="358" t="s">
        <v>485</v>
      </c>
      <c r="L430" s="360" t="s">
        <v>1769</v>
      </c>
    </row>
    <row r="431" spans="1:12" x14ac:dyDescent="0.2">
      <c r="A431" s="360" t="s">
        <v>1770</v>
      </c>
      <c r="B431" s="359" t="s">
        <v>1771</v>
      </c>
      <c r="C431" s="358" t="b">
        <v>1</v>
      </c>
      <c r="D431" s="358" t="b">
        <v>1</v>
      </c>
      <c r="E431" s="358" t="b">
        <v>0</v>
      </c>
      <c r="F431" s="358" t="b">
        <v>0</v>
      </c>
      <c r="G431" s="358" t="b">
        <v>0</v>
      </c>
      <c r="H431" s="358" t="b">
        <v>0</v>
      </c>
      <c r="I431" s="358">
        <v>1</v>
      </c>
      <c r="J431" s="358">
        <v>13</v>
      </c>
      <c r="K431" s="358" t="s">
        <v>485</v>
      </c>
      <c r="L431" s="360" t="s">
        <v>1772</v>
      </c>
    </row>
    <row r="432" spans="1:12" x14ac:dyDescent="0.2">
      <c r="A432" s="360" t="s">
        <v>1773</v>
      </c>
      <c r="B432" s="359" t="s">
        <v>1774</v>
      </c>
      <c r="C432" s="358" t="b">
        <v>1</v>
      </c>
      <c r="D432" s="358" t="b">
        <v>1</v>
      </c>
      <c r="E432" s="358" t="b">
        <v>0</v>
      </c>
      <c r="F432" s="358" t="b">
        <v>0</v>
      </c>
      <c r="G432" s="358" t="b">
        <v>0</v>
      </c>
      <c r="H432" s="358" t="b">
        <v>0</v>
      </c>
      <c r="I432" s="358">
        <v>1</v>
      </c>
      <c r="J432" s="358">
        <v>1</v>
      </c>
      <c r="K432" s="358" t="s">
        <v>485</v>
      </c>
      <c r="L432" s="360" t="s">
        <v>1775</v>
      </c>
    </row>
    <row r="433" spans="1:12" x14ac:dyDescent="0.2">
      <c r="A433" s="360" t="s">
        <v>1776</v>
      </c>
      <c r="B433" s="359" t="s">
        <v>1777</v>
      </c>
      <c r="C433" s="358" t="b">
        <v>1</v>
      </c>
      <c r="D433" s="358" t="b">
        <v>1</v>
      </c>
      <c r="E433" s="358" t="b">
        <v>0</v>
      </c>
      <c r="F433" s="358" t="b">
        <v>0</v>
      </c>
      <c r="G433" s="358" t="b">
        <v>0</v>
      </c>
      <c r="H433" s="358" t="b">
        <v>0</v>
      </c>
      <c r="I433" s="358">
        <v>1</v>
      </c>
      <c r="J433" s="358">
        <v>12</v>
      </c>
      <c r="K433" s="358" t="s">
        <v>485</v>
      </c>
      <c r="L433" s="360" t="s">
        <v>1778</v>
      </c>
    </row>
    <row r="434" spans="1:12" x14ac:dyDescent="0.2">
      <c r="A434" s="360" t="s">
        <v>1779</v>
      </c>
      <c r="B434" s="359" t="s">
        <v>1780</v>
      </c>
      <c r="C434" s="358" t="b">
        <v>1</v>
      </c>
      <c r="D434" s="358" t="b">
        <v>1</v>
      </c>
      <c r="E434" s="358" t="b">
        <v>0</v>
      </c>
      <c r="F434" s="358" t="b">
        <v>0</v>
      </c>
      <c r="G434" s="358" t="b">
        <v>0</v>
      </c>
      <c r="H434" s="358" t="b">
        <v>0</v>
      </c>
      <c r="I434" s="358">
        <v>1</v>
      </c>
      <c r="J434" s="358">
        <v>12</v>
      </c>
      <c r="K434" s="358" t="s">
        <v>485</v>
      </c>
      <c r="L434" s="360" t="s">
        <v>1781</v>
      </c>
    </row>
    <row r="435" spans="1:12" x14ac:dyDescent="0.2">
      <c r="A435" s="360" t="s">
        <v>1782</v>
      </c>
      <c r="B435" s="359" t="s">
        <v>1783</v>
      </c>
      <c r="C435" s="358" t="b">
        <v>1</v>
      </c>
      <c r="D435" s="358" t="b">
        <v>1</v>
      </c>
      <c r="E435" s="358" t="b">
        <v>0</v>
      </c>
      <c r="F435" s="358" t="b">
        <v>0</v>
      </c>
      <c r="G435" s="358" t="b">
        <v>0</v>
      </c>
      <c r="H435" s="358" t="b">
        <v>0</v>
      </c>
      <c r="I435" s="358">
        <v>1</v>
      </c>
      <c r="J435" s="358">
        <v>12</v>
      </c>
      <c r="K435" s="358" t="s">
        <v>485</v>
      </c>
      <c r="L435" s="360" t="s">
        <v>1784</v>
      </c>
    </row>
    <row r="436" spans="1:12" x14ac:dyDescent="0.2">
      <c r="A436" s="360" t="s">
        <v>1785</v>
      </c>
      <c r="B436" s="359" t="s">
        <v>1786</v>
      </c>
      <c r="C436" s="358" t="b">
        <v>1</v>
      </c>
      <c r="D436" s="358" t="b">
        <v>1</v>
      </c>
      <c r="E436" s="358" t="b">
        <v>0</v>
      </c>
      <c r="F436" s="358" t="b">
        <v>0</v>
      </c>
      <c r="G436" s="358" t="b">
        <v>0</v>
      </c>
      <c r="H436" s="358" t="b">
        <v>0</v>
      </c>
      <c r="I436" s="358">
        <v>1</v>
      </c>
      <c r="J436" s="358">
        <v>1</v>
      </c>
      <c r="K436" s="358" t="s">
        <v>485</v>
      </c>
      <c r="L436" s="360" t="s">
        <v>1787</v>
      </c>
    </row>
    <row r="437" spans="1:12" x14ac:dyDescent="0.2">
      <c r="A437" s="360" t="s">
        <v>1788</v>
      </c>
      <c r="B437" s="359" t="s">
        <v>1789</v>
      </c>
      <c r="C437" s="358" t="b">
        <v>1</v>
      </c>
      <c r="D437" s="358" t="b">
        <v>1</v>
      </c>
      <c r="E437" s="358" t="b">
        <v>0</v>
      </c>
      <c r="F437" s="358" t="b">
        <v>0</v>
      </c>
      <c r="G437" s="358" t="b">
        <v>0</v>
      </c>
      <c r="H437" s="358" t="b">
        <v>0</v>
      </c>
      <c r="I437" s="358">
        <v>1</v>
      </c>
      <c r="J437" s="358">
        <v>1</v>
      </c>
      <c r="K437" s="358" t="s">
        <v>485</v>
      </c>
      <c r="L437" s="360" t="s">
        <v>1790</v>
      </c>
    </row>
    <row r="438" spans="1:12" x14ac:dyDescent="0.2">
      <c r="A438" s="360" t="s">
        <v>1791</v>
      </c>
      <c r="B438" s="359" t="s">
        <v>1792</v>
      </c>
      <c r="C438" s="358" t="b">
        <v>1</v>
      </c>
      <c r="D438" s="358" t="b">
        <v>1</v>
      </c>
      <c r="E438" s="358" t="b">
        <v>0</v>
      </c>
      <c r="F438" s="358" t="b">
        <v>0</v>
      </c>
      <c r="G438" s="358" t="b">
        <v>0</v>
      </c>
      <c r="H438" s="358" t="b">
        <v>0</v>
      </c>
      <c r="I438" s="358">
        <v>1</v>
      </c>
      <c r="J438" s="358">
        <v>12</v>
      </c>
      <c r="K438" s="358" t="s">
        <v>485</v>
      </c>
      <c r="L438" s="360" t="s">
        <v>1793</v>
      </c>
    </row>
    <row r="439" spans="1:12" x14ac:dyDescent="0.2">
      <c r="A439" s="360" t="s">
        <v>1794</v>
      </c>
      <c r="B439" s="359" t="s">
        <v>1795</v>
      </c>
      <c r="C439" s="358" t="b">
        <v>1</v>
      </c>
      <c r="D439" s="358" t="b">
        <v>1</v>
      </c>
      <c r="E439" s="358" t="b">
        <v>0</v>
      </c>
      <c r="F439" s="358" t="b">
        <v>0</v>
      </c>
      <c r="G439" s="358" t="b">
        <v>0</v>
      </c>
      <c r="H439" s="358" t="b">
        <v>0</v>
      </c>
      <c r="I439" s="358">
        <v>1</v>
      </c>
      <c r="J439" s="358">
        <v>12</v>
      </c>
      <c r="K439" s="358" t="s">
        <v>485</v>
      </c>
      <c r="L439" s="360" t="s">
        <v>1796</v>
      </c>
    </row>
    <row r="440" spans="1:12" x14ac:dyDescent="0.2">
      <c r="A440" s="360" t="s">
        <v>1797</v>
      </c>
      <c r="B440" s="359" t="s">
        <v>1798</v>
      </c>
      <c r="C440" s="358" t="b">
        <v>1</v>
      </c>
      <c r="D440" s="358" t="b">
        <v>1</v>
      </c>
      <c r="E440" s="358" t="b">
        <v>0</v>
      </c>
      <c r="F440" s="358" t="b">
        <v>0</v>
      </c>
      <c r="G440" s="358" t="b">
        <v>0</v>
      </c>
      <c r="H440" s="358" t="b">
        <v>0</v>
      </c>
      <c r="I440" s="358">
        <v>1</v>
      </c>
      <c r="J440" s="358">
        <v>12</v>
      </c>
      <c r="K440" s="358" t="s">
        <v>485</v>
      </c>
      <c r="L440" s="360" t="s">
        <v>1799</v>
      </c>
    </row>
    <row r="441" spans="1:12" x14ac:dyDescent="0.2">
      <c r="A441" s="360" t="s">
        <v>1800</v>
      </c>
      <c r="B441" s="359" t="s">
        <v>1801</v>
      </c>
      <c r="C441" s="358" t="b">
        <v>1</v>
      </c>
      <c r="D441" s="358" t="b">
        <v>1</v>
      </c>
      <c r="E441" s="358" t="b">
        <v>0</v>
      </c>
      <c r="F441" s="358" t="b">
        <v>0</v>
      </c>
      <c r="G441" s="358" t="b">
        <v>0</v>
      </c>
      <c r="H441" s="358" t="b">
        <v>0</v>
      </c>
      <c r="I441" s="358">
        <v>1</v>
      </c>
      <c r="J441" s="358">
        <v>12</v>
      </c>
      <c r="K441" s="358" t="s">
        <v>485</v>
      </c>
      <c r="L441" s="360" t="s">
        <v>1802</v>
      </c>
    </row>
    <row r="442" spans="1:12" x14ac:dyDescent="0.2">
      <c r="A442" s="360" t="s">
        <v>1803</v>
      </c>
      <c r="B442" s="359" t="s">
        <v>1804</v>
      </c>
      <c r="C442" s="358" t="b">
        <v>1</v>
      </c>
      <c r="D442" s="358" t="b">
        <v>1</v>
      </c>
      <c r="E442" s="358" t="b">
        <v>0</v>
      </c>
      <c r="F442" s="358" t="b">
        <v>0</v>
      </c>
      <c r="G442" s="358" t="b">
        <v>0</v>
      </c>
      <c r="H442" s="358" t="b">
        <v>0</v>
      </c>
      <c r="I442" s="358">
        <v>1</v>
      </c>
      <c r="J442" s="358">
        <v>12</v>
      </c>
      <c r="K442" s="358" t="s">
        <v>485</v>
      </c>
      <c r="L442" s="360" t="s">
        <v>1805</v>
      </c>
    </row>
    <row r="443" spans="1:12" x14ac:dyDescent="0.2">
      <c r="A443" s="360" t="s">
        <v>1806</v>
      </c>
      <c r="B443" s="359" t="s">
        <v>1807</v>
      </c>
      <c r="C443" s="358" t="b">
        <v>1</v>
      </c>
      <c r="D443" s="358" t="b">
        <v>1</v>
      </c>
      <c r="E443" s="358" t="b">
        <v>0</v>
      </c>
      <c r="F443" s="358" t="b">
        <v>0</v>
      </c>
      <c r="G443" s="358" t="b">
        <v>0</v>
      </c>
      <c r="H443" s="358" t="b">
        <v>0</v>
      </c>
      <c r="I443" s="358">
        <v>1</v>
      </c>
      <c r="J443" s="358">
        <v>12</v>
      </c>
      <c r="K443" s="358" t="s">
        <v>485</v>
      </c>
      <c r="L443" s="360" t="s">
        <v>1808</v>
      </c>
    </row>
    <row r="444" spans="1:12" x14ac:dyDescent="0.2">
      <c r="A444" s="360" t="s">
        <v>1809</v>
      </c>
      <c r="B444" s="359" t="s">
        <v>1810</v>
      </c>
      <c r="C444" s="358" t="b">
        <v>1</v>
      </c>
      <c r="D444" s="358" t="b">
        <v>1</v>
      </c>
      <c r="E444" s="358" t="b">
        <v>0</v>
      </c>
      <c r="F444" s="358" t="b">
        <v>0</v>
      </c>
      <c r="G444" s="358" t="b">
        <v>0</v>
      </c>
      <c r="H444" s="358" t="b">
        <v>0</v>
      </c>
      <c r="I444" s="358">
        <v>1</v>
      </c>
      <c r="J444" s="358">
        <v>12</v>
      </c>
      <c r="K444" s="358" t="s">
        <v>485</v>
      </c>
      <c r="L444" s="360" t="s">
        <v>1811</v>
      </c>
    </row>
    <row r="445" spans="1:12" x14ac:dyDescent="0.2">
      <c r="A445" s="360" t="s">
        <v>1812</v>
      </c>
      <c r="B445" s="359" t="s">
        <v>1813</v>
      </c>
      <c r="C445" s="358" t="b">
        <v>1</v>
      </c>
      <c r="D445" s="358" t="b">
        <v>1</v>
      </c>
      <c r="E445" s="358" t="b">
        <v>0</v>
      </c>
      <c r="F445" s="358" t="b">
        <v>0</v>
      </c>
      <c r="G445" s="358" t="b">
        <v>0</v>
      </c>
      <c r="H445" s="358" t="b">
        <v>0</v>
      </c>
      <c r="I445" s="358">
        <v>1</v>
      </c>
      <c r="J445" s="358">
        <v>12</v>
      </c>
      <c r="K445" s="358" t="s">
        <v>485</v>
      </c>
      <c r="L445" s="360" t="s">
        <v>1814</v>
      </c>
    </row>
    <row r="446" spans="1:12" x14ac:dyDescent="0.2">
      <c r="A446" s="360" t="s">
        <v>1815</v>
      </c>
      <c r="B446" s="359" t="s">
        <v>1816</v>
      </c>
      <c r="C446" s="358" t="b">
        <v>1</v>
      </c>
      <c r="D446" s="358" t="b">
        <v>1</v>
      </c>
      <c r="E446" s="358" t="b">
        <v>0</v>
      </c>
      <c r="F446" s="358" t="b">
        <v>0</v>
      </c>
      <c r="G446" s="358" t="b">
        <v>0</v>
      </c>
      <c r="H446" s="358" t="b">
        <v>0</v>
      </c>
      <c r="I446" s="358">
        <v>1</v>
      </c>
      <c r="J446" s="358">
        <v>12</v>
      </c>
      <c r="K446" s="358" t="s">
        <v>485</v>
      </c>
      <c r="L446" s="360" t="s">
        <v>1817</v>
      </c>
    </row>
    <row r="447" spans="1:12" x14ac:dyDescent="0.2">
      <c r="A447" s="360" t="s">
        <v>1818</v>
      </c>
      <c r="B447" s="359" t="s">
        <v>1819</v>
      </c>
      <c r="C447" s="358" t="b">
        <v>1</v>
      </c>
      <c r="D447" s="358" t="b">
        <v>1</v>
      </c>
      <c r="E447" s="358" t="b">
        <v>0</v>
      </c>
      <c r="F447" s="358" t="b">
        <v>0</v>
      </c>
      <c r="G447" s="358" t="b">
        <v>0</v>
      </c>
      <c r="H447" s="358" t="b">
        <v>0</v>
      </c>
      <c r="I447" s="358">
        <v>1</v>
      </c>
      <c r="J447" s="358">
        <v>12</v>
      </c>
      <c r="K447" s="358" t="s">
        <v>485</v>
      </c>
      <c r="L447" s="360" t="s">
        <v>1820</v>
      </c>
    </row>
    <row r="448" spans="1:12" x14ac:dyDescent="0.2">
      <c r="A448" s="360" t="s">
        <v>1821</v>
      </c>
      <c r="B448" s="359" t="s">
        <v>1822</v>
      </c>
      <c r="C448" s="358" t="b">
        <v>1</v>
      </c>
      <c r="D448" s="358" t="b">
        <v>1</v>
      </c>
      <c r="E448" s="358" t="b">
        <v>0</v>
      </c>
      <c r="F448" s="358" t="b">
        <v>0</v>
      </c>
      <c r="G448" s="358" t="b">
        <v>0</v>
      </c>
      <c r="H448" s="358" t="b">
        <v>0</v>
      </c>
      <c r="I448" s="358">
        <v>1</v>
      </c>
      <c r="J448" s="358">
        <v>1</v>
      </c>
      <c r="K448" s="358" t="s">
        <v>485</v>
      </c>
      <c r="L448" s="360" t="s">
        <v>1823</v>
      </c>
    </row>
    <row r="449" spans="1:12" x14ac:dyDescent="0.2">
      <c r="A449" s="360" t="s">
        <v>1824</v>
      </c>
      <c r="B449" s="359" t="s">
        <v>1825</v>
      </c>
      <c r="C449" s="358" t="b">
        <v>1</v>
      </c>
      <c r="D449" s="358" t="b">
        <v>1</v>
      </c>
      <c r="E449" s="358" t="b">
        <v>0</v>
      </c>
      <c r="F449" s="358" t="b">
        <v>0</v>
      </c>
      <c r="G449" s="358" t="b">
        <v>0</v>
      </c>
      <c r="H449" s="358" t="b">
        <v>0</v>
      </c>
      <c r="I449" s="358">
        <v>1</v>
      </c>
      <c r="J449" s="358">
        <v>12</v>
      </c>
      <c r="K449" s="358" t="s">
        <v>485</v>
      </c>
      <c r="L449" s="360" t="s">
        <v>1826</v>
      </c>
    </row>
    <row r="450" spans="1:12" x14ac:dyDescent="0.2">
      <c r="A450" s="360" t="s">
        <v>1827</v>
      </c>
      <c r="B450" s="359" t="s">
        <v>1828</v>
      </c>
      <c r="C450" s="358" t="b">
        <v>1</v>
      </c>
      <c r="D450" s="358" t="b">
        <v>1</v>
      </c>
      <c r="E450" s="358" t="b">
        <v>0</v>
      </c>
      <c r="F450" s="358" t="b">
        <v>0</v>
      </c>
      <c r="G450" s="358" t="b">
        <v>0</v>
      </c>
      <c r="H450" s="358" t="b">
        <v>0</v>
      </c>
      <c r="I450" s="358">
        <v>1</v>
      </c>
      <c r="J450" s="358">
        <v>12</v>
      </c>
      <c r="K450" s="358" t="s">
        <v>485</v>
      </c>
      <c r="L450" s="360" t="s">
        <v>1829</v>
      </c>
    </row>
    <row r="451" spans="1:12" x14ac:dyDescent="0.2">
      <c r="A451" s="360" t="s">
        <v>1830</v>
      </c>
      <c r="B451" s="359" t="s">
        <v>1831</v>
      </c>
      <c r="C451" s="358" t="b">
        <v>1</v>
      </c>
      <c r="D451" s="358" t="b">
        <v>1</v>
      </c>
      <c r="E451" s="358" t="b">
        <v>0</v>
      </c>
      <c r="F451" s="358" t="b">
        <v>0</v>
      </c>
      <c r="G451" s="358" t="b">
        <v>0</v>
      </c>
      <c r="H451" s="358" t="b">
        <v>0</v>
      </c>
      <c r="I451" s="358">
        <v>1</v>
      </c>
      <c r="J451" s="358">
        <v>12</v>
      </c>
      <c r="K451" s="358" t="s">
        <v>485</v>
      </c>
      <c r="L451" s="360" t="s">
        <v>1832</v>
      </c>
    </row>
    <row r="452" spans="1:12" x14ac:dyDescent="0.2">
      <c r="A452" s="360" t="s">
        <v>1833</v>
      </c>
      <c r="B452" s="359" t="s">
        <v>1834</v>
      </c>
      <c r="C452" s="358" t="b">
        <v>1</v>
      </c>
      <c r="D452" s="358" t="b">
        <v>1</v>
      </c>
      <c r="E452" s="358" t="b">
        <v>0</v>
      </c>
      <c r="F452" s="358" t="b">
        <v>0</v>
      </c>
      <c r="G452" s="358" t="b">
        <v>0</v>
      </c>
      <c r="H452" s="358" t="b">
        <v>0</v>
      </c>
      <c r="I452" s="358">
        <v>1</v>
      </c>
      <c r="J452" s="358">
        <v>12</v>
      </c>
      <c r="K452" s="358" t="s">
        <v>485</v>
      </c>
      <c r="L452" s="360" t="s">
        <v>1835</v>
      </c>
    </row>
    <row r="453" spans="1:12" x14ac:dyDescent="0.2">
      <c r="A453" s="360" t="s">
        <v>1836</v>
      </c>
      <c r="B453" s="359" t="s">
        <v>1837</v>
      </c>
      <c r="C453" s="358" t="b">
        <v>1</v>
      </c>
      <c r="D453" s="358" t="b">
        <v>1</v>
      </c>
      <c r="E453" s="358" t="b">
        <v>0</v>
      </c>
      <c r="F453" s="358" t="b">
        <v>0</v>
      </c>
      <c r="G453" s="358" t="b">
        <v>0</v>
      </c>
      <c r="H453" s="358" t="b">
        <v>0</v>
      </c>
      <c r="I453" s="358">
        <v>1</v>
      </c>
      <c r="J453" s="358">
        <v>12</v>
      </c>
      <c r="K453" s="358" t="s">
        <v>485</v>
      </c>
      <c r="L453" s="360" t="s">
        <v>1838</v>
      </c>
    </row>
    <row r="454" spans="1:12" x14ac:dyDescent="0.2">
      <c r="A454" s="360" t="s">
        <v>1839</v>
      </c>
      <c r="B454" s="359" t="s">
        <v>1840</v>
      </c>
      <c r="C454" s="358" t="b">
        <v>1</v>
      </c>
      <c r="D454" s="358" t="b">
        <v>1</v>
      </c>
      <c r="E454" s="358" t="b">
        <v>0</v>
      </c>
      <c r="F454" s="358" t="b">
        <v>0</v>
      </c>
      <c r="G454" s="358" t="b">
        <v>0</v>
      </c>
      <c r="H454" s="358" t="b">
        <v>0</v>
      </c>
      <c r="I454" s="358">
        <v>1</v>
      </c>
      <c r="J454" s="358">
        <v>12</v>
      </c>
      <c r="K454" s="358" t="s">
        <v>485</v>
      </c>
      <c r="L454" s="360" t="s">
        <v>1841</v>
      </c>
    </row>
    <row r="455" spans="1:12" x14ac:dyDescent="0.2">
      <c r="A455" s="360" t="s">
        <v>1842</v>
      </c>
      <c r="B455" s="359" t="s">
        <v>1843</v>
      </c>
      <c r="C455" s="358" t="b">
        <v>1</v>
      </c>
      <c r="D455" s="358" t="b">
        <v>1</v>
      </c>
      <c r="E455" s="358" t="b">
        <v>0</v>
      </c>
      <c r="F455" s="358" t="b">
        <v>0</v>
      </c>
      <c r="G455" s="358" t="b">
        <v>0</v>
      </c>
      <c r="H455" s="358" t="b">
        <v>0</v>
      </c>
      <c r="I455" s="358">
        <v>1</v>
      </c>
      <c r="J455" s="358">
        <v>12</v>
      </c>
      <c r="K455" s="358" t="s">
        <v>485</v>
      </c>
      <c r="L455" s="360" t="s">
        <v>1844</v>
      </c>
    </row>
    <row r="456" spans="1:12" x14ac:dyDescent="0.2">
      <c r="A456" s="360" t="s">
        <v>1845</v>
      </c>
      <c r="B456" s="359" t="s">
        <v>1846</v>
      </c>
      <c r="C456" s="358" t="b">
        <v>1</v>
      </c>
      <c r="D456" s="358" t="b">
        <v>1</v>
      </c>
      <c r="E456" s="358" t="b">
        <v>0</v>
      </c>
      <c r="F456" s="358" t="b">
        <v>0</v>
      </c>
      <c r="G456" s="358" t="b">
        <v>0</v>
      </c>
      <c r="H456" s="358" t="b">
        <v>0</v>
      </c>
      <c r="I456" s="358">
        <v>1</v>
      </c>
      <c r="J456" s="358">
        <v>1</v>
      </c>
      <c r="K456" s="358" t="s">
        <v>485</v>
      </c>
      <c r="L456" s="360" t="s">
        <v>1847</v>
      </c>
    </row>
    <row r="457" spans="1:12" x14ac:dyDescent="0.2">
      <c r="A457" s="360" t="s">
        <v>1848</v>
      </c>
      <c r="B457" s="359" t="s">
        <v>1849</v>
      </c>
      <c r="C457" s="358" t="b">
        <v>1</v>
      </c>
      <c r="D457" s="358" t="b">
        <v>1</v>
      </c>
      <c r="E457" s="358" t="b">
        <v>0</v>
      </c>
      <c r="F457" s="358" t="b">
        <v>0</v>
      </c>
      <c r="G457" s="358" t="b">
        <v>0</v>
      </c>
      <c r="H457" s="358" t="b">
        <v>0</v>
      </c>
      <c r="I457" s="358">
        <v>1</v>
      </c>
      <c r="J457" s="358">
        <v>1</v>
      </c>
      <c r="K457" s="358" t="s">
        <v>485</v>
      </c>
      <c r="L457" s="360" t="s">
        <v>1850</v>
      </c>
    </row>
    <row r="458" spans="1:12" x14ac:dyDescent="0.2">
      <c r="A458" s="360" t="s">
        <v>1851</v>
      </c>
      <c r="B458" s="359" t="s">
        <v>1852</v>
      </c>
      <c r="C458" s="358" t="b">
        <v>1</v>
      </c>
      <c r="D458" s="358" t="b">
        <v>1</v>
      </c>
      <c r="E458" s="358" t="b">
        <v>0</v>
      </c>
      <c r="F458" s="358" t="b">
        <v>0</v>
      </c>
      <c r="G458" s="358" t="b">
        <v>0</v>
      </c>
      <c r="H458" s="358" t="b">
        <v>0</v>
      </c>
      <c r="I458" s="358">
        <v>1</v>
      </c>
      <c r="J458" s="358">
        <v>1</v>
      </c>
      <c r="K458" s="358" t="s">
        <v>485</v>
      </c>
      <c r="L458" s="360" t="s">
        <v>1853</v>
      </c>
    </row>
    <row r="459" spans="1:12" x14ac:dyDescent="0.2">
      <c r="A459" s="360" t="s">
        <v>1854</v>
      </c>
      <c r="B459" s="359" t="s">
        <v>1855</v>
      </c>
      <c r="C459" s="358" t="b">
        <v>1</v>
      </c>
      <c r="D459" s="358" t="b">
        <v>1</v>
      </c>
      <c r="E459" s="358" t="b">
        <v>0</v>
      </c>
      <c r="F459" s="358" t="b">
        <v>0</v>
      </c>
      <c r="G459" s="358" t="b">
        <v>0</v>
      </c>
      <c r="H459" s="358" t="b">
        <v>0</v>
      </c>
      <c r="I459" s="358">
        <v>1</v>
      </c>
      <c r="J459" s="358">
        <v>1</v>
      </c>
      <c r="K459" s="358" t="s">
        <v>485</v>
      </c>
      <c r="L459" s="360" t="s">
        <v>1856</v>
      </c>
    </row>
    <row r="460" spans="1:12" x14ac:dyDescent="0.2">
      <c r="A460" s="360" t="s">
        <v>1857</v>
      </c>
      <c r="B460" s="359" t="s">
        <v>1858</v>
      </c>
      <c r="C460" s="358" t="b">
        <v>1</v>
      </c>
      <c r="D460" s="358" t="b">
        <v>1</v>
      </c>
      <c r="E460" s="358" t="b">
        <v>0</v>
      </c>
      <c r="F460" s="358" t="b">
        <v>0</v>
      </c>
      <c r="G460" s="358" t="b">
        <v>0</v>
      </c>
      <c r="H460" s="358" t="b">
        <v>0</v>
      </c>
      <c r="I460" s="358">
        <v>1</v>
      </c>
      <c r="J460" s="358">
        <v>1</v>
      </c>
      <c r="K460" s="358" t="s">
        <v>485</v>
      </c>
      <c r="L460" s="360" t="s">
        <v>1859</v>
      </c>
    </row>
    <row r="461" spans="1:12" x14ac:dyDescent="0.2">
      <c r="A461" s="360" t="s">
        <v>1860</v>
      </c>
      <c r="B461" s="359" t="s">
        <v>1861</v>
      </c>
      <c r="C461" s="358" t="b">
        <v>1</v>
      </c>
      <c r="D461" s="358" t="b">
        <v>1</v>
      </c>
      <c r="E461" s="358" t="b">
        <v>0</v>
      </c>
      <c r="F461" s="358" t="b">
        <v>0</v>
      </c>
      <c r="G461" s="358" t="b">
        <v>0</v>
      </c>
      <c r="H461" s="358" t="b">
        <v>0</v>
      </c>
      <c r="I461" s="358">
        <v>1</v>
      </c>
      <c r="J461" s="358">
        <v>1</v>
      </c>
      <c r="K461" s="358" t="s">
        <v>485</v>
      </c>
      <c r="L461" s="360" t="s">
        <v>1862</v>
      </c>
    </row>
    <row r="462" spans="1:12" x14ac:dyDescent="0.2">
      <c r="A462" s="360" t="s">
        <v>1863</v>
      </c>
      <c r="B462" s="359" t="s">
        <v>1864</v>
      </c>
      <c r="C462" s="358" t="b">
        <v>1</v>
      </c>
      <c r="D462" s="358" t="b">
        <v>1</v>
      </c>
      <c r="E462" s="358" t="b">
        <v>0</v>
      </c>
      <c r="F462" s="358" t="b">
        <v>0</v>
      </c>
      <c r="G462" s="358" t="b">
        <v>0</v>
      </c>
      <c r="H462" s="358" t="b">
        <v>0</v>
      </c>
      <c r="I462" s="358">
        <v>1</v>
      </c>
      <c r="J462" s="358">
        <v>1</v>
      </c>
      <c r="K462" s="358" t="s">
        <v>485</v>
      </c>
      <c r="L462" s="360" t="s">
        <v>1865</v>
      </c>
    </row>
    <row r="463" spans="1:12" x14ac:dyDescent="0.2">
      <c r="A463" s="360" t="s">
        <v>1866</v>
      </c>
      <c r="B463" s="359" t="s">
        <v>1867</v>
      </c>
      <c r="C463" s="358" t="b">
        <v>1</v>
      </c>
      <c r="D463" s="358" t="b">
        <v>1</v>
      </c>
      <c r="E463" s="358" t="b">
        <v>0</v>
      </c>
      <c r="F463" s="358" t="b">
        <v>0</v>
      </c>
      <c r="G463" s="358" t="b">
        <v>0</v>
      </c>
      <c r="H463" s="358" t="b">
        <v>0</v>
      </c>
      <c r="I463" s="358">
        <v>1</v>
      </c>
      <c r="J463" s="358">
        <v>1</v>
      </c>
      <c r="K463" s="358" t="s">
        <v>485</v>
      </c>
      <c r="L463" s="360" t="s">
        <v>1868</v>
      </c>
    </row>
    <row r="464" spans="1:12" x14ac:dyDescent="0.2">
      <c r="A464" s="360" t="s">
        <v>1869</v>
      </c>
      <c r="B464" s="359" t="s">
        <v>1870</v>
      </c>
      <c r="C464" s="358" t="b">
        <v>1</v>
      </c>
      <c r="D464" s="358" t="b">
        <v>1</v>
      </c>
      <c r="E464" s="358" t="b">
        <v>0</v>
      </c>
      <c r="F464" s="358" t="b">
        <v>0</v>
      </c>
      <c r="G464" s="358" t="b">
        <v>0</v>
      </c>
      <c r="H464" s="358" t="b">
        <v>0</v>
      </c>
      <c r="I464" s="358">
        <v>1</v>
      </c>
      <c r="J464" s="358">
        <v>1</v>
      </c>
      <c r="K464" s="358" t="s">
        <v>485</v>
      </c>
      <c r="L464" s="360" t="s">
        <v>1871</v>
      </c>
    </row>
    <row r="465" spans="1:12" x14ac:dyDescent="0.2">
      <c r="A465" s="360" t="s">
        <v>1872</v>
      </c>
      <c r="B465" s="359" t="s">
        <v>1873</v>
      </c>
      <c r="C465" s="358" t="b">
        <v>1</v>
      </c>
      <c r="D465" s="358" t="b">
        <v>1</v>
      </c>
      <c r="E465" s="358" t="b">
        <v>0</v>
      </c>
      <c r="F465" s="358" t="b">
        <v>0</v>
      </c>
      <c r="G465" s="358" t="b">
        <v>0</v>
      </c>
      <c r="H465" s="358" t="b">
        <v>0</v>
      </c>
      <c r="I465" s="358">
        <v>1</v>
      </c>
      <c r="J465" s="358">
        <v>1</v>
      </c>
      <c r="K465" s="358" t="s">
        <v>485</v>
      </c>
      <c r="L465" s="360" t="s">
        <v>1874</v>
      </c>
    </row>
    <row r="466" spans="1:12" x14ac:dyDescent="0.2">
      <c r="A466" s="360" t="s">
        <v>1875</v>
      </c>
      <c r="B466" s="359" t="s">
        <v>1876</v>
      </c>
      <c r="C466" s="358" t="b">
        <v>1</v>
      </c>
      <c r="D466" s="358" t="b">
        <v>1</v>
      </c>
      <c r="E466" s="358" t="b">
        <v>0</v>
      </c>
      <c r="F466" s="358" t="b">
        <v>0</v>
      </c>
      <c r="G466" s="358" t="b">
        <v>0</v>
      </c>
      <c r="H466" s="358" t="b">
        <v>0</v>
      </c>
      <c r="I466" s="358">
        <v>1</v>
      </c>
      <c r="J466" s="358">
        <v>1</v>
      </c>
      <c r="K466" s="358" t="s">
        <v>485</v>
      </c>
      <c r="L466" s="360" t="s">
        <v>1877</v>
      </c>
    </row>
    <row r="467" spans="1:12" x14ac:dyDescent="0.2">
      <c r="A467" s="360" t="s">
        <v>1878</v>
      </c>
      <c r="B467" s="359" t="s">
        <v>1879</v>
      </c>
      <c r="C467" s="358" t="b">
        <v>1</v>
      </c>
      <c r="D467" s="358" t="b">
        <v>1</v>
      </c>
      <c r="E467" s="358" t="b">
        <v>0</v>
      </c>
      <c r="F467" s="358" t="b">
        <v>0</v>
      </c>
      <c r="G467" s="358" t="b">
        <v>0</v>
      </c>
      <c r="H467" s="358" t="b">
        <v>0</v>
      </c>
      <c r="I467" s="358">
        <v>1</v>
      </c>
      <c r="J467" s="358">
        <v>1</v>
      </c>
      <c r="K467" s="358" t="s">
        <v>485</v>
      </c>
      <c r="L467" s="360" t="s">
        <v>1880</v>
      </c>
    </row>
    <row r="468" spans="1:12" x14ac:dyDescent="0.2">
      <c r="A468" s="360" t="s">
        <v>1881</v>
      </c>
      <c r="B468" s="359" t="s">
        <v>1882</v>
      </c>
      <c r="C468" s="358" t="b">
        <v>1</v>
      </c>
      <c r="D468" s="358" t="b">
        <v>1</v>
      </c>
      <c r="E468" s="358" t="b">
        <v>0</v>
      </c>
      <c r="F468" s="358" t="b">
        <v>0</v>
      </c>
      <c r="G468" s="358" t="b">
        <v>0</v>
      </c>
      <c r="H468" s="358" t="b">
        <v>0</v>
      </c>
      <c r="I468" s="358">
        <v>1</v>
      </c>
      <c r="J468" s="358">
        <v>1</v>
      </c>
      <c r="K468" s="358" t="s">
        <v>485</v>
      </c>
      <c r="L468" s="360" t="s">
        <v>1883</v>
      </c>
    </row>
    <row r="469" spans="1:12" x14ac:dyDescent="0.2">
      <c r="A469" s="360" t="s">
        <v>1884</v>
      </c>
      <c r="B469" s="359" t="s">
        <v>1885</v>
      </c>
      <c r="C469" s="358" t="b">
        <v>1</v>
      </c>
      <c r="D469" s="358" t="b">
        <v>1</v>
      </c>
      <c r="E469" s="358" t="b">
        <v>0</v>
      </c>
      <c r="F469" s="358" t="b">
        <v>0</v>
      </c>
      <c r="G469" s="358" t="b">
        <v>0</v>
      </c>
      <c r="H469" s="358" t="b">
        <v>0</v>
      </c>
      <c r="I469" s="358">
        <v>1</v>
      </c>
      <c r="J469" s="358">
        <v>1</v>
      </c>
      <c r="K469" s="358" t="s">
        <v>485</v>
      </c>
      <c r="L469" s="360" t="s">
        <v>1886</v>
      </c>
    </row>
    <row r="470" spans="1:12" x14ac:dyDescent="0.2">
      <c r="A470" s="360" t="s">
        <v>1887</v>
      </c>
      <c r="B470" s="359" t="s">
        <v>1888</v>
      </c>
      <c r="C470" s="358" t="b">
        <v>1</v>
      </c>
      <c r="D470" s="358" t="b">
        <v>1</v>
      </c>
      <c r="E470" s="358" t="b">
        <v>0</v>
      </c>
      <c r="F470" s="358" t="b">
        <v>0</v>
      </c>
      <c r="G470" s="358" t="b">
        <v>0</v>
      </c>
      <c r="H470" s="358" t="b">
        <v>0</v>
      </c>
      <c r="I470" s="358">
        <v>1</v>
      </c>
      <c r="J470" s="358">
        <v>1</v>
      </c>
      <c r="K470" s="358" t="s">
        <v>485</v>
      </c>
      <c r="L470" s="360" t="s">
        <v>1889</v>
      </c>
    </row>
    <row r="471" spans="1:12" x14ac:dyDescent="0.2">
      <c r="A471" s="360" t="s">
        <v>1890</v>
      </c>
      <c r="B471" s="359" t="s">
        <v>1891</v>
      </c>
      <c r="C471" s="358" t="b">
        <v>1</v>
      </c>
      <c r="D471" s="358" t="b">
        <v>1</v>
      </c>
      <c r="E471" s="358" t="b">
        <v>0</v>
      </c>
      <c r="F471" s="358" t="b">
        <v>0</v>
      </c>
      <c r="G471" s="358" t="b">
        <v>0</v>
      </c>
      <c r="H471" s="358" t="b">
        <v>0</v>
      </c>
      <c r="I471" s="358">
        <v>1</v>
      </c>
      <c r="J471" s="358">
        <v>1</v>
      </c>
      <c r="K471" s="358" t="s">
        <v>485</v>
      </c>
      <c r="L471" s="360" t="s">
        <v>1892</v>
      </c>
    </row>
    <row r="472" spans="1:12" x14ac:dyDescent="0.2">
      <c r="A472" s="358" t="s">
        <v>1893</v>
      </c>
      <c r="B472" s="359" t="s">
        <v>1894</v>
      </c>
      <c r="C472" s="358" t="b">
        <v>1</v>
      </c>
      <c r="D472" s="358" t="b">
        <v>0</v>
      </c>
      <c r="E472" s="358" t="b">
        <v>0</v>
      </c>
      <c r="F472" s="358" t="b">
        <v>0</v>
      </c>
      <c r="G472" s="358" t="b">
        <v>0</v>
      </c>
      <c r="H472" s="358" t="b">
        <v>0</v>
      </c>
      <c r="I472" s="358">
        <v>1</v>
      </c>
      <c r="J472" s="358">
        <v>16</v>
      </c>
      <c r="K472" s="358" t="s">
        <v>485</v>
      </c>
      <c r="L472" s="358" t="s">
        <v>1895</v>
      </c>
    </row>
    <row r="473" spans="1:12" x14ac:dyDescent="0.2">
      <c r="A473" s="358" t="s">
        <v>1896</v>
      </c>
      <c r="B473" s="359" t="s">
        <v>1897</v>
      </c>
      <c r="C473" s="358" t="b">
        <v>1</v>
      </c>
      <c r="D473" s="358" t="b">
        <v>0</v>
      </c>
      <c r="E473" s="358" t="b">
        <v>0</v>
      </c>
      <c r="F473" s="358" t="b">
        <v>0</v>
      </c>
      <c r="G473" s="358" t="b">
        <v>0</v>
      </c>
      <c r="H473" s="358" t="b">
        <v>0</v>
      </c>
      <c r="I473" s="358">
        <v>1</v>
      </c>
      <c r="J473" s="358">
        <v>240</v>
      </c>
      <c r="K473" s="358" t="s">
        <v>485</v>
      </c>
      <c r="L473" s="358" t="s">
        <v>1898</v>
      </c>
    </row>
    <row r="474" spans="1:12" x14ac:dyDescent="0.2">
      <c r="A474" s="358" t="s">
        <v>1899</v>
      </c>
      <c r="B474" s="359" t="s">
        <v>1900</v>
      </c>
      <c r="C474" s="358" t="b">
        <v>1</v>
      </c>
      <c r="D474" s="358" t="b">
        <v>0</v>
      </c>
      <c r="E474" s="358" t="b">
        <v>0</v>
      </c>
      <c r="F474" s="358" t="b">
        <v>0</v>
      </c>
      <c r="G474" s="358" t="b">
        <v>0</v>
      </c>
      <c r="H474" s="358" t="b">
        <v>0</v>
      </c>
      <c r="I474" s="358">
        <v>1</v>
      </c>
      <c r="J474" s="358">
        <v>16</v>
      </c>
      <c r="K474" s="358" t="s">
        <v>485</v>
      </c>
      <c r="L474" s="358" t="s">
        <v>1901</v>
      </c>
    </row>
    <row r="475" spans="1:12" x14ac:dyDescent="0.2">
      <c r="A475" s="358" t="s">
        <v>1902</v>
      </c>
      <c r="B475" s="359" t="s">
        <v>1903</v>
      </c>
      <c r="C475" s="358" t="b">
        <v>1</v>
      </c>
      <c r="D475" s="358" t="b">
        <v>0</v>
      </c>
      <c r="E475" s="358" t="b">
        <v>0</v>
      </c>
      <c r="F475" s="358" t="b">
        <v>0</v>
      </c>
      <c r="G475" s="358" t="b">
        <v>0</v>
      </c>
      <c r="H475" s="358" t="b">
        <v>0</v>
      </c>
      <c r="I475" s="358">
        <v>1</v>
      </c>
      <c r="J475" s="358">
        <v>240</v>
      </c>
      <c r="K475" s="358" t="s">
        <v>485</v>
      </c>
      <c r="L475" s="358" t="s">
        <v>1904</v>
      </c>
    </row>
    <row r="476" spans="1:12" x14ac:dyDescent="0.2">
      <c r="A476" s="358" t="s">
        <v>1905</v>
      </c>
      <c r="B476" s="359" t="s">
        <v>1906</v>
      </c>
      <c r="C476" s="358" t="b">
        <v>1</v>
      </c>
      <c r="D476" s="358" t="b">
        <v>0</v>
      </c>
      <c r="E476" s="358" t="b">
        <v>0</v>
      </c>
      <c r="F476" s="358" t="b">
        <v>0</v>
      </c>
      <c r="G476" s="358" t="b">
        <v>0</v>
      </c>
      <c r="H476" s="358" t="b">
        <v>0</v>
      </c>
      <c r="I476" s="358">
        <v>1</v>
      </c>
      <c r="J476" s="358">
        <v>16</v>
      </c>
      <c r="K476" s="358" t="s">
        <v>485</v>
      </c>
      <c r="L476" s="358" t="s">
        <v>1907</v>
      </c>
    </row>
    <row r="477" spans="1:12" x14ac:dyDescent="0.2">
      <c r="A477" s="358" t="s">
        <v>1908</v>
      </c>
      <c r="B477" s="359" t="s">
        <v>1909</v>
      </c>
      <c r="C477" s="358" t="b">
        <v>1</v>
      </c>
      <c r="D477" s="358" t="b">
        <v>0</v>
      </c>
      <c r="E477" s="358" t="b">
        <v>0</v>
      </c>
      <c r="F477" s="358" t="b">
        <v>0</v>
      </c>
      <c r="G477" s="358" t="b">
        <v>0</v>
      </c>
      <c r="H477" s="358" t="b">
        <v>0</v>
      </c>
      <c r="I477" s="358">
        <v>1</v>
      </c>
      <c r="J477" s="358">
        <v>240</v>
      </c>
      <c r="K477" s="358" t="s">
        <v>485</v>
      </c>
      <c r="L477" s="358" t="s">
        <v>1910</v>
      </c>
    </row>
    <row r="478" spans="1:12" x14ac:dyDescent="0.2">
      <c r="A478" s="358" t="s">
        <v>1911</v>
      </c>
      <c r="B478" s="359" t="s">
        <v>1912</v>
      </c>
      <c r="C478" s="358" t="b">
        <v>1</v>
      </c>
      <c r="D478" s="358" t="b">
        <v>0</v>
      </c>
      <c r="E478" s="358" t="b">
        <v>0</v>
      </c>
      <c r="F478" s="358" t="b">
        <v>0</v>
      </c>
      <c r="G478" s="358" t="b">
        <v>0</v>
      </c>
      <c r="H478" s="358" t="b">
        <v>0</v>
      </c>
      <c r="I478" s="358">
        <v>1</v>
      </c>
      <c r="J478" s="358">
        <v>16</v>
      </c>
      <c r="K478" s="358" t="s">
        <v>485</v>
      </c>
      <c r="L478" s="358" t="s">
        <v>1913</v>
      </c>
    </row>
    <row r="479" spans="1:12" x14ac:dyDescent="0.2">
      <c r="A479" s="358" t="s">
        <v>1914</v>
      </c>
      <c r="B479" s="359" t="s">
        <v>1915</v>
      </c>
      <c r="C479" s="358" t="b">
        <v>1</v>
      </c>
      <c r="D479" s="358" t="b">
        <v>0</v>
      </c>
      <c r="E479" s="358" t="b">
        <v>0</v>
      </c>
      <c r="F479" s="358" t="b">
        <v>0</v>
      </c>
      <c r="G479" s="358" t="b">
        <v>0</v>
      </c>
      <c r="H479" s="358" t="b">
        <v>0</v>
      </c>
      <c r="I479" s="358">
        <v>1</v>
      </c>
      <c r="J479" s="358">
        <v>240</v>
      </c>
      <c r="K479" s="358" t="s">
        <v>485</v>
      </c>
      <c r="L479" s="358" t="s">
        <v>1916</v>
      </c>
    </row>
    <row r="480" spans="1:12" x14ac:dyDescent="0.2">
      <c r="A480" s="358" t="s">
        <v>1917</v>
      </c>
      <c r="B480" s="359" t="s">
        <v>1918</v>
      </c>
      <c r="C480" s="358" t="b">
        <v>1</v>
      </c>
      <c r="D480" s="358" t="b">
        <v>0</v>
      </c>
      <c r="E480" s="358" t="b">
        <v>0</v>
      </c>
      <c r="F480" s="358" t="b">
        <v>0</v>
      </c>
      <c r="G480" s="358" t="b">
        <v>0</v>
      </c>
      <c r="H480" s="358" t="b">
        <v>0</v>
      </c>
      <c r="I480" s="358">
        <v>1</v>
      </c>
      <c r="J480" s="358">
        <v>16</v>
      </c>
      <c r="K480" s="358" t="s">
        <v>485</v>
      </c>
      <c r="L480" s="358" t="s">
        <v>1919</v>
      </c>
    </row>
    <row r="481" spans="1:12" x14ac:dyDescent="0.2">
      <c r="A481" s="358" t="s">
        <v>1920</v>
      </c>
      <c r="B481" s="359" t="s">
        <v>1921</v>
      </c>
      <c r="C481" s="358" t="b">
        <v>1</v>
      </c>
      <c r="D481" s="358" t="b">
        <v>0</v>
      </c>
      <c r="E481" s="358" t="b">
        <v>0</v>
      </c>
      <c r="F481" s="358" t="b">
        <v>0</v>
      </c>
      <c r="G481" s="358" t="b">
        <v>0</v>
      </c>
      <c r="H481" s="358" t="b">
        <v>0</v>
      </c>
      <c r="I481" s="358">
        <v>1</v>
      </c>
      <c r="J481" s="358">
        <v>240</v>
      </c>
      <c r="K481" s="358" t="s">
        <v>485</v>
      </c>
      <c r="L481" s="358" t="s">
        <v>1922</v>
      </c>
    </row>
    <row r="482" spans="1:12" x14ac:dyDescent="0.2">
      <c r="A482" s="358" t="s">
        <v>1923</v>
      </c>
      <c r="B482" s="359" t="s">
        <v>1924</v>
      </c>
      <c r="C482" s="358" t="b">
        <v>1</v>
      </c>
      <c r="D482" s="358" t="b">
        <v>0</v>
      </c>
      <c r="E482" s="358" t="b">
        <v>0</v>
      </c>
      <c r="F482" s="358" t="b">
        <v>0</v>
      </c>
      <c r="G482" s="358" t="b">
        <v>0</v>
      </c>
      <c r="H482" s="358" t="b">
        <v>0</v>
      </c>
      <c r="I482" s="358">
        <v>1</v>
      </c>
      <c r="J482" s="358">
        <v>13</v>
      </c>
      <c r="K482" s="358" t="s">
        <v>485</v>
      </c>
      <c r="L482" s="358" t="s">
        <v>1925</v>
      </c>
    </row>
    <row r="483" spans="1:12" x14ac:dyDescent="0.2">
      <c r="A483" s="358" t="s">
        <v>1926</v>
      </c>
      <c r="B483" s="359" t="s">
        <v>1927</v>
      </c>
      <c r="C483" s="358" t="b">
        <v>1</v>
      </c>
      <c r="D483" s="358" t="b">
        <v>1</v>
      </c>
      <c r="E483" s="358" t="b">
        <v>0</v>
      </c>
      <c r="F483" s="358" t="b">
        <v>0</v>
      </c>
      <c r="G483" s="358" t="b">
        <v>0</v>
      </c>
      <c r="H483" s="358" t="b">
        <v>0</v>
      </c>
      <c r="I483" s="358">
        <v>1</v>
      </c>
      <c r="J483" s="358">
        <v>1</v>
      </c>
      <c r="K483" s="358" t="s">
        <v>485</v>
      </c>
      <c r="L483" s="358" t="s">
        <v>1928</v>
      </c>
    </row>
    <row r="484" spans="1:12" x14ac:dyDescent="0.2">
      <c r="A484" s="358" t="s">
        <v>1929</v>
      </c>
      <c r="B484" s="359" t="s">
        <v>1930</v>
      </c>
      <c r="C484" s="358" t="b">
        <v>1</v>
      </c>
      <c r="D484" s="358" t="b">
        <v>1</v>
      </c>
      <c r="E484" s="358" t="b">
        <v>0</v>
      </c>
      <c r="F484" s="358" t="b">
        <v>0</v>
      </c>
      <c r="G484" s="358" t="b">
        <v>0</v>
      </c>
      <c r="H484" s="358" t="b">
        <v>0</v>
      </c>
      <c r="I484" s="358">
        <v>1</v>
      </c>
      <c r="J484" s="358">
        <v>1</v>
      </c>
      <c r="K484" s="358" t="s">
        <v>485</v>
      </c>
      <c r="L484" s="358" t="s">
        <v>1931</v>
      </c>
    </row>
    <row r="485" spans="1:12" x14ac:dyDescent="0.2">
      <c r="A485" s="358" t="s">
        <v>1932</v>
      </c>
      <c r="B485" s="359" t="s">
        <v>1933</v>
      </c>
      <c r="C485" s="358" t="b">
        <v>1</v>
      </c>
      <c r="D485" s="358" t="b">
        <v>1</v>
      </c>
      <c r="E485" s="358" t="b">
        <v>0</v>
      </c>
      <c r="F485" s="358" t="b">
        <v>0</v>
      </c>
      <c r="G485" s="358" t="b">
        <v>0</v>
      </c>
      <c r="H485" s="358" t="b">
        <v>0</v>
      </c>
      <c r="I485" s="358">
        <v>1</v>
      </c>
      <c r="J485" s="358">
        <v>2</v>
      </c>
      <c r="K485" s="358" t="s">
        <v>485</v>
      </c>
      <c r="L485" s="358" t="s">
        <v>1934</v>
      </c>
    </row>
    <row r="486" spans="1:12" x14ac:dyDescent="0.2">
      <c r="A486" s="358" t="s">
        <v>1935</v>
      </c>
      <c r="B486" s="359" t="s">
        <v>1936</v>
      </c>
      <c r="C486" s="358" t="b">
        <v>1</v>
      </c>
      <c r="D486" s="358" t="b">
        <v>1</v>
      </c>
      <c r="E486" s="358" t="b">
        <v>0</v>
      </c>
      <c r="F486" s="358" t="b">
        <v>0</v>
      </c>
      <c r="G486" s="358" t="b">
        <v>0</v>
      </c>
      <c r="H486" s="358" t="b">
        <v>0</v>
      </c>
      <c r="I486" s="358">
        <v>1</v>
      </c>
      <c r="J486" s="358">
        <v>1</v>
      </c>
      <c r="K486" s="358" t="s">
        <v>485</v>
      </c>
      <c r="L486" s="358" t="s">
        <v>1937</v>
      </c>
    </row>
    <row r="487" spans="1:12" x14ac:dyDescent="0.2">
      <c r="A487" s="358" t="s">
        <v>1938</v>
      </c>
      <c r="B487" s="359" t="s">
        <v>1939</v>
      </c>
      <c r="C487" s="358" t="b">
        <v>1</v>
      </c>
      <c r="D487" s="358" t="b">
        <v>1</v>
      </c>
      <c r="E487" s="358" t="b">
        <v>0</v>
      </c>
      <c r="F487" s="358" t="b">
        <v>0</v>
      </c>
      <c r="G487" s="358" t="b">
        <v>0</v>
      </c>
      <c r="H487" s="358" t="b">
        <v>0</v>
      </c>
      <c r="I487" s="358">
        <v>1</v>
      </c>
      <c r="J487" s="358">
        <v>32</v>
      </c>
      <c r="K487" s="358" t="s">
        <v>485</v>
      </c>
      <c r="L487" s="358" t="s">
        <v>1940</v>
      </c>
    </row>
    <row r="488" spans="1:12" x14ac:dyDescent="0.2">
      <c r="A488" s="358" t="s">
        <v>1941</v>
      </c>
      <c r="B488" s="359" t="s">
        <v>1942</v>
      </c>
      <c r="C488" s="358" t="b">
        <v>1</v>
      </c>
      <c r="D488" s="358" t="b">
        <v>0</v>
      </c>
      <c r="E488" s="358" t="b">
        <v>0</v>
      </c>
      <c r="F488" s="358" t="b">
        <v>0</v>
      </c>
      <c r="G488" s="358" t="b">
        <v>0</v>
      </c>
      <c r="H488" s="358" t="b">
        <v>0</v>
      </c>
      <c r="I488" s="358">
        <v>1</v>
      </c>
      <c r="J488" s="358">
        <v>192</v>
      </c>
      <c r="K488" s="358" t="s">
        <v>485</v>
      </c>
      <c r="L488" s="358" t="s">
        <v>1943</v>
      </c>
    </row>
    <row r="489" spans="1:12" x14ac:dyDescent="0.2">
      <c r="A489" s="358" t="s">
        <v>1944</v>
      </c>
      <c r="B489" s="359" t="s">
        <v>1945</v>
      </c>
      <c r="C489" s="358" t="b">
        <v>1</v>
      </c>
      <c r="D489" s="358" t="b">
        <v>0</v>
      </c>
      <c r="E489" s="358" t="b">
        <v>0</v>
      </c>
      <c r="F489" s="358" t="b">
        <v>0</v>
      </c>
      <c r="G489" s="358" t="b">
        <v>0</v>
      </c>
      <c r="H489" s="358" t="b">
        <v>0</v>
      </c>
      <c r="I489" s="358">
        <v>1</v>
      </c>
      <c r="J489" s="358">
        <v>192</v>
      </c>
      <c r="K489" s="358" t="s">
        <v>485</v>
      </c>
      <c r="L489" s="358" t="s">
        <v>1946</v>
      </c>
    </row>
    <row r="490" spans="1:12" x14ac:dyDescent="0.2">
      <c r="A490" s="358" t="s">
        <v>1947</v>
      </c>
      <c r="B490" s="359" t="s">
        <v>1948</v>
      </c>
      <c r="C490" s="358" t="b">
        <v>1</v>
      </c>
      <c r="D490" s="358" t="b">
        <v>0</v>
      </c>
      <c r="E490" s="358" t="b">
        <v>0</v>
      </c>
      <c r="F490" s="358" t="b">
        <v>0</v>
      </c>
      <c r="G490" s="358" t="b">
        <v>0</v>
      </c>
      <c r="H490" s="358" t="b">
        <v>0</v>
      </c>
      <c r="I490" s="358">
        <v>1</v>
      </c>
      <c r="J490" s="358">
        <v>192</v>
      </c>
      <c r="K490" s="358" t="s">
        <v>485</v>
      </c>
      <c r="L490" s="358" t="s">
        <v>1949</v>
      </c>
    </row>
    <row r="491" spans="1:12" x14ac:dyDescent="0.2">
      <c r="A491" s="358" t="s">
        <v>1950</v>
      </c>
      <c r="B491" s="359" t="s">
        <v>1951</v>
      </c>
      <c r="C491" s="358" t="b">
        <v>1</v>
      </c>
      <c r="D491" s="358" t="b">
        <v>0</v>
      </c>
      <c r="E491" s="358" t="b">
        <v>0</v>
      </c>
      <c r="F491" s="358" t="b">
        <v>0</v>
      </c>
      <c r="G491" s="358" t="b">
        <v>0</v>
      </c>
      <c r="H491" s="358" t="b">
        <v>0</v>
      </c>
      <c r="I491" s="358">
        <v>1</v>
      </c>
      <c r="J491" s="358">
        <v>192</v>
      </c>
      <c r="K491" s="358" t="s">
        <v>485</v>
      </c>
      <c r="L491" s="358" t="s">
        <v>1952</v>
      </c>
    </row>
    <row r="492" spans="1:12" x14ac:dyDescent="0.2">
      <c r="A492" s="358" t="s">
        <v>1953</v>
      </c>
      <c r="B492" s="359" t="s">
        <v>1954</v>
      </c>
      <c r="C492" s="358" t="b">
        <v>1</v>
      </c>
      <c r="D492" s="358" t="b">
        <v>0</v>
      </c>
      <c r="E492" s="358" t="b">
        <v>0</v>
      </c>
      <c r="F492" s="358" t="b">
        <v>0</v>
      </c>
      <c r="G492" s="358" t="b">
        <v>0</v>
      </c>
      <c r="H492" s="358" t="b">
        <v>0</v>
      </c>
      <c r="I492" s="358">
        <v>1</v>
      </c>
      <c r="J492" s="358">
        <v>192</v>
      </c>
      <c r="K492" s="358" t="s">
        <v>485</v>
      </c>
      <c r="L492" s="358" t="s">
        <v>1955</v>
      </c>
    </row>
    <row r="493" spans="1:12" x14ac:dyDescent="0.2">
      <c r="A493" s="358" t="s">
        <v>1956</v>
      </c>
      <c r="B493" s="359" t="s">
        <v>1957</v>
      </c>
      <c r="C493" s="358" t="b">
        <v>1</v>
      </c>
      <c r="D493" s="358" t="b">
        <v>1</v>
      </c>
      <c r="E493" s="358" t="b">
        <v>0</v>
      </c>
      <c r="F493" s="358" t="b">
        <v>0</v>
      </c>
      <c r="G493" s="358" t="b">
        <v>0</v>
      </c>
      <c r="H493" s="358" t="b">
        <v>0</v>
      </c>
      <c r="I493" s="358">
        <v>1</v>
      </c>
      <c r="J493" s="358">
        <v>1048576</v>
      </c>
      <c r="K493" s="358" t="s">
        <v>485</v>
      </c>
      <c r="L493" s="358" t="s">
        <v>1958</v>
      </c>
    </row>
    <row r="494" spans="1:12" x14ac:dyDescent="0.2">
      <c r="A494" s="358" t="s">
        <v>1959</v>
      </c>
      <c r="B494" s="359" t="s">
        <v>1960</v>
      </c>
      <c r="C494" s="358" t="b">
        <v>1</v>
      </c>
      <c r="D494" s="358" t="b">
        <v>1</v>
      </c>
      <c r="E494" s="358" t="b">
        <v>0</v>
      </c>
      <c r="F494" s="358" t="b">
        <v>0</v>
      </c>
      <c r="G494" s="358" t="b">
        <v>0</v>
      </c>
      <c r="H494" s="358" t="b">
        <v>0</v>
      </c>
      <c r="I494" s="358">
        <v>1</v>
      </c>
      <c r="J494" s="358">
        <v>1</v>
      </c>
      <c r="K494" s="358" t="s">
        <v>485</v>
      </c>
      <c r="L494" s="358" t="s">
        <v>1961</v>
      </c>
    </row>
    <row r="495" spans="1:12" x14ac:dyDescent="0.2">
      <c r="A495" s="358" t="s">
        <v>1962</v>
      </c>
      <c r="B495" s="359" t="s">
        <v>1963</v>
      </c>
      <c r="C495" s="358" t="b">
        <v>1</v>
      </c>
      <c r="D495" s="358" t="b">
        <v>1</v>
      </c>
      <c r="E495" s="358" t="b">
        <v>0</v>
      </c>
      <c r="F495" s="358" t="b">
        <v>0</v>
      </c>
      <c r="G495" s="358" t="b">
        <v>0</v>
      </c>
      <c r="H495" s="358" t="b">
        <v>0</v>
      </c>
      <c r="I495" s="358">
        <v>1</v>
      </c>
      <c r="J495" s="358">
        <v>25</v>
      </c>
      <c r="K495" s="358" t="s">
        <v>485</v>
      </c>
      <c r="L495" s="358" t="s">
        <v>1964</v>
      </c>
    </row>
    <row r="496" spans="1:12" x14ac:dyDescent="0.2">
      <c r="A496" s="358" t="s">
        <v>1965</v>
      </c>
      <c r="B496" s="359" t="s">
        <v>1966</v>
      </c>
      <c r="C496" s="358" t="b">
        <v>1</v>
      </c>
      <c r="D496" s="358" t="b">
        <v>1</v>
      </c>
      <c r="E496" s="358" t="b">
        <v>0</v>
      </c>
      <c r="F496" s="358" t="b">
        <v>0</v>
      </c>
      <c r="G496" s="358" t="b">
        <v>0</v>
      </c>
      <c r="H496" s="358" t="b">
        <v>0</v>
      </c>
      <c r="I496" s="358">
        <v>1</v>
      </c>
      <c r="J496" s="358">
        <v>25</v>
      </c>
      <c r="K496" s="358" t="s">
        <v>485</v>
      </c>
      <c r="L496" s="358" t="s">
        <v>1967</v>
      </c>
    </row>
    <row r="497" spans="1:12" x14ac:dyDescent="0.2">
      <c r="A497" s="358" t="s">
        <v>1968</v>
      </c>
      <c r="B497" s="359" t="s">
        <v>1969</v>
      </c>
      <c r="C497" s="358" t="b">
        <v>1</v>
      </c>
      <c r="D497" s="358" t="b">
        <v>1</v>
      </c>
      <c r="E497" s="358" t="b">
        <v>0</v>
      </c>
      <c r="F497" s="358" t="b">
        <v>0</v>
      </c>
      <c r="G497" s="358" t="b">
        <v>0</v>
      </c>
      <c r="H497" s="358" t="b">
        <v>0</v>
      </c>
      <c r="I497" s="358">
        <v>1</v>
      </c>
      <c r="J497" s="358">
        <v>25</v>
      </c>
      <c r="K497" s="358" t="s">
        <v>485</v>
      </c>
      <c r="L497" s="358" t="s">
        <v>1970</v>
      </c>
    </row>
    <row r="498" spans="1:12" x14ac:dyDescent="0.2">
      <c r="A498" s="358" t="s">
        <v>1971</v>
      </c>
      <c r="B498" s="359" t="s">
        <v>1972</v>
      </c>
      <c r="C498" s="358" t="b">
        <v>1</v>
      </c>
      <c r="D498" s="358" t="b">
        <v>0</v>
      </c>
      <c r="E498" s="358" t="b">
        <v>0</v>
      </c>
      <c r="F498" s="358" t="b">
        <v>0</v>
      </c>
      <c r="G498" s="358" t="b">
        <v>0</v>
      </c>
      <c r="H498" s="358" t="b">
        <v>0</v>
      </c>
      <c r="I498" s="358">
        <v>1</v>
      </c>
      <c r="J498" s="358">
        <v>1</v>
      </c>
      <c r="K498" s="358" t="s">
        <v>485</v>
      </c>
      <c r="L498" s="358" t="s">
        <v>1973</v>
      </c>
    </row>
    <row r="499" spans="1:12" x14ac:dyDescent="0.2">
      <c r="A499" s="358" t="s">
        <v>1974</v>
      </c>
      <c r="B499" s="359" t="s">
        <v>1975</v>
      </c>
      <c r="C499" s="358" t="b">
        <v>1</v>
      </c>
      <c r="D499" s="358" t="b">
        <v>1</v>
      </c>
      <c r="E499" s="358" t="b">
        <v>0</v>
      </c>
      <c r="F499" s="358" t="b">
        <v>0</v>
      </c>
      <c r="G499" s="358" t="b">
        <v>0</v>
      </c>
      <c r="H499" s="358" t="b">
        <v>0</v>
      </c>
      <c r="I499" s="358">
        <v>1</v>
      </c>
      <c r="J499" s="358">
        <v>1</v>
      </c>
      <c r="K499" s="358" t="s">
        <v>485</v>
      </c>
      <c r="L499" s="358" t="s">
        <v>1976</v>
      </c>
    </row>
    <row r="500" spans="1:12" x14ac:dyDescent="0.2">
      <c r="A500" s="358" t="s">
        <v>1977</v>
      </c>
      <c r="B500" s="359" t="s">
        <v>1978</v>
      </c>
      <c r="C500" s="358" t="b">
        <v>1</v>
      </c>
      <c r="D500" s="358" t="b">
        <v>1</v>
      </c>
      <c r="E500" s="358" t="b">
        <v>0</v>
      </c>
      <c r="F500" s="358" t="b">
        <v>0</v>
      </c>
      <c r="G500" s="358" t="b">
        <v>0</v>
      </c>
      <c r="H500" s="358" t="b">
        <v>0</v>
      </c>
      <c r="I500" s="358">
        <v>1</v>
      </c>
      <c r="J500" s="358">
        <v>1</v>
      </c>
      <c r="K500" s="358" t="s">
        <v>485</v>
      </c>
      <c r="L500" s="358" t="s">
        <v>1979</v>
      </c>
    </row>
    <row r="501" spans="1:12" x14ac:dyDescent="0.2">
      <c r="A501" s="358" t="s">
        <v>1980</v>
      </c>
      <c r="B501" s="359" t="s">
        <v>1981</v>
      </c>
      <c r="C501" s="358" t="b">
        <v>1</v>
      </c>
      <c r="D501" s="358" t="b">
        <v>1</v>
      </c>
      <c r="E501" s="358" t="b">
        <v>0</v>
      </c>
      <c r="F501" s="358" t="b">
        <v>0</v>
      </c>
      <c r="G501" s="358" t="b">
        <v>0</v>
      </c>
      <c r="H501" s="358" t="b">
        <v>0</v>
      </c>
      <c r="I501" s="358">
        <v>1</v>
      </c>
      <c r="J501" s="358">
        <v>1</v>
      </c>
      <c r="K501" s="358" t="s">
        <v>485</v>
      </c>
      <c r="L501" s="358" t="s">
        <v>1982</v>
      </c>
    </row>
    <row r="502" spans="1:12" x14ac:dyDescent="0.2">
      <c r="A502" s="358" t="s">
        <v>1983</v>
      </c>
      <c r="B502" s="359" t="s">
        <v>1984</v>
      </c>
      <c r="C502" s="358" t="b">
        <v>1</v>
      </c>
      <c r="D502" s="358" t="b">
        <v>1</v>
      </c>
      <c r="E502" s="358" t="b">
        <v>0</v>
      </c>
      <c r="F502" s="358" t="b">
        <v>0</v>
      </c>
      <c r="G502" s="358" t="b">
        <v>0</v>
      </c>
      <c r="H502" s="358" t="b">
        <v>0</v>
      </c>
      <c r="I502" s="358">
        <v>1</v>
      </c>
      <c r="J502" s="358">
        <v>1</v>
      </c>
      <c r="K502" s="358" t="s">
        <v>485</v>
      </c>
      <c r="L502" s="358" t="s">
        <v>1985</v>
      </c>
    </row>
    <row r="503" spans="1:12" x14ac:dyDescent="0.2">
      <c r="A503" s="358" t="s">
        <v>1986</v>
      </c>
      <c r="B503" s="359" t="s">
        <v>1987</v>
      </c>
      <c r="C503" s="358" t="b">
        <v>1</v>
      </c>
      <c r="D503" s="358" t="b">
        <v>1</v>
      </c>
      <c r="E503" s="358" t="b">
        <v>0</v>
      </c>
      <c r="F503" s="358" t="b">
        <v>0</v>
      </c>
      <c r="G503" s="358" t="b">
        <v>0</v>
      </c>
      <c r="H503" s="358" t="b">
        <v>0</v>
      </c>
      <c r="I503" s="358">
        <v>1</v>
      </c>
      <c r="J503" s="358">
        <v>1</v>
      </c>
      <c r="K503" s="358" t="s">
        <v>485</v>
      </c>
      <c r="L503" s="358" t="s">
        <v>1988</v>
      </c>
    </row>
    <row r="504" spans="1:12" x14ac:dyDescent="0.2">
      <c r="A504" s="358" t="s">
        <v>1989</v>
      </c>
      <c r="B504" s="359" t="s">
        <v>1990</v>
      </c>
      <c r="C504" s="358" t="b">
        <v>1</v>
      </c>
      <c r="D504" s="358" t="b">
        <v>1</v>
      </c>
      <c r="E504" s="358" t="b">
        <v>0</v>
      </c>
      <c r="F504" s="358" t="b">
        <v>0</v>
      </c>
      <c r="G504" s="358" t="b">
        <v>0</v>
      </c>
      <c r="H504" s="358" t="b">
        <v>0</v>
      </c>
      <c r="I504" s="358">
        <v>1</v>
      </c>
      <c r="J504" s="358">
        <v>1</v>
      </c>
      <c r="K504" s="358" t="s">
        <v>485</v>
      </c>
      <c r="L504" s="358" t="s">
        <v>1991</v>
      </c>
    </row>
    <row r="505" spans="1:12" x14ac:dyDescent="0.2">
      <c r="A505" s="358" t="s">
        <v>1992</v>
      </c>
      <c r="B505" s="359" t="s">
        <v>1993</v>
      </c>
      <c r="C505" s="358" t="b">
        <v>1</v>
      </c>
      <c r="D505" s="358" t="b">
        <v>1</v>
      </c>
      <c r="E505" s="358" t="b">
        <v>0</v>
      </c>
      <c r="F505" s="358" t="b">
        <v>0</v>
      </c>
      <c r="G505" s="358" t="b">
        <v>0</v>
      </c>
      <c r="H505" s="358" t="b">
        <v>0</v>
      </c>
      <c r="I505" s="358">
        <v>1</v>
      </c>
      <c r="J505" s="358">
        <v>1</v>
      </c>
      <c r="K505" s="358" t="s">
        <v>485</v>
      </c>
      <c r="L505" s="358" t="s">
        <v>1994</v>
      </c>
    </row>
    <row r="506" spans="1:12" x14ac:dyDescent="0.2">
      <c r="A506" s="358" t="s">
        <v>1995</v>
      </c>
      <c r="B506" s="359" t="s">
        <v>1996</v>
      </c>
      <c r="C506" s="358" t="b">
        <v>1</v>
      </c>
      <c r="D506" s="358" t="b">
        <v>1</v>
      </c>
      <c r="E506" s="358" t="b">
        <v>0</v>
      </c>
      <c r="F506" s="358" t="b">
        <v>0</v>
      </c>
      <c r="G506" s="358" t="b">
        <v>0</v>
      </c>
      <c r="H506" s="358" t="b">
        <v>0</v>
      </c>
      <c r="I506" s="358">
        <v>1</v>
      </c>
      <c r="J506" s="358">
        <v>1</v>
      </c>
      <c r="K506" s="358" t="s">
        <v>485</v>
      </c>
      <c r="L506" s="358" t="s">
        <v>1997</v>
      </c>
    </row>
    <row r="507" spans="1:12" x14ac:dyDescent="0.2">
      <c r="A507" s="358" t="s">
        <v>1998</v>
      </c>
      <c r="B507" s="359" t="s">
        <v>1999</v>
      </c>
      <c r="C507" s="358" t="b">
        <v>1</v>
      </c>
      <c r="D507" s="358" t="b">
        <v>1</v>
      </c>
      <c r="E507" s="358" t="b">
        <v>0</v>
      </c>
      <c r="F507" s="358" t="b">
        <v>0</v>
      </c>
      <c r="G507" s="358" t="b">
        <v>0</v>
      </c>
      <c r="H507" s="358" t="b">
        <v>0</v>
      </c>
      <c r="I507" s="358">
        <v>1</v>
      </c>
      <c r="J507" s="358">
        <v>1</v>
      </c>
      <c r="K507" s="358" t="s">
        <v>485</v>
      </c>
      <c r="L507" s="358" t="s">
        <v>2000</v>
      </c>
    </row>
    <row r="508" spans="1:12" x14ac:dyDescent="0.2">
      <c r="A508" s="358" t="s">
        <v>2001</v>
      </c>
      <c r="B508" s="359" t="s">
        <v>2002</v>
      </c>
      <c r="C508" s="358" t="b">
        <v>1</v>
      </c>
      <c r="D508" s="358" t="b">
        <v>1</v>
      </c>
      <c r="E508" s="358" t="b">
        <v>0</v>
      </c>
      <c r="F508" s="358" t="b">
        <v>0</v>
      </c>
      <c r="G508" s="358" t="b">
        <v>0</v>
      </c>
      <c r="H508" s="358" t="b">
        <v>0</v>
      </c>
      <c r="I508" s="358">
        <v>1</v>
      </c>
      <c r="J508" s="358">
        <v>1</v>
      </c>
      <c r="K508" s="358" t="s">
        <v>485</v>
      </c>
      <c r="L508" s="358" t="s">
        <v>2003</v>
      </c>
    </row>
    <row r="509" spans="1:12" x14ac:dyDescent="0.2">
      <c r="A509" s="358" t="s">
        <v>2004</v>
      </c>
      <c r="B509" s="359" t="s">
        <v>2005</v>
      </c>
      <c r="C509" s="358" t="b">
        <v>1</v>
      </c>
      <c r="D509" s="358" t="b">
        <v>1</v>
      </c>
      <c r="E509" s="358" t="b">
        <v>0</v>
      </c>
      <c r="F509" s="358" t="b">
        <v>0</v>
      </c>
      <c r="G509" s="358" t="b">
        <v>0</v>
      </c>
      <c r="H509" s="358" t="b">
        <v>0</v>
      </c>
      <c r="I509" s="358">
        <v>1</v>
      </c>
      <c r="J509" s="358">
        <v>17</v>
      </c>
      <c r="K509" s="358" t="s">
        <v>485</v>
      </c>
      <c r="L509" s="358" t="s">
        <v>2006</v>
      </c>
    </row>
    <row r="510" spans="1:12" x14ac:dyDescent="0.2">
      <c r="A510" s="358" t="s">
        <v>2007</v>
      </c>
      <c r="B510" s="359" t="s">
        <v>2008</v>
      </c>
      <c r="C510" s="358" t="b">
        <v>1</v>
      </c>
      <c r="D510" s="358" t="b">
        <v>0</v>
      </c>
      <c r="E510" s="358" t="b">
        <v>0</v>
      </c>
      <c r="F510" s="358" t="b">
        <v>0</v>
      </c>
      <c r="G510" s="358" t="b">
        <v>0</v>
      </c>
      <c r="H510" s="358" t="b">
        <v>0</v>
      </c>
      <c r="I510" s="358">
        <v>1</v>
      </c>
      <c r="J510" s="358">
        <v>16</v>
      </c>
      <c r="K510" s="358" t="s">
        <v>485</v>
      </c>
      <c r="L510" s="358" t="s">
        <v>2009</v>
      </c>
    </row>
    <row r="511" spans="1:12" x14ac:dyDescent="0.2">
      <c r="A511" s="358" t="s">
        <v>2010</v>
      </c>
      <c r="B511" s="359" t="s">
        <v>2011</v>
      </c>
      <c r="C511" s="358" t="b">
        <v>1</v>
      </c>
      <c r="D511" s="358" t="b">
        <v>1</v>
      </c>
      <c r="E511" s="358" t="b">
        <v>0</v>
      </c>
      <c r="F511" s="358" t="b">
        <v>0</v>
      </c>
      <c r="G511" s="358" t="b">
        <v>0</v>
      </c>
      <c r="H511" s="358" t="b">
        <v>0</v>
      </c>
      <c r="I511" s="358">
        <v>1</v>
      </c>
      <c r="J511" s="358">
        <v>4</v>
      </c>
      <c r="K511" s="358" t="s">
        <v>485</v>
      </c>
      <c r="L511" s="358" t="s">
        <v>2012</v>
      </c>
    </row>
    <row r="512" spans="1:12" x14ac:dyDescent="0.2">
      <c r="A512" s="358" t="s">
        <v>2013</v>
      </c>
      <c r="B512" s="359" t="s">
        <v>2014</v>
      </c>
      <c r="C512" s="358" t="b">
        <v>1</v>
      </c>
      <c r="D512" s="358" t="b">
        <v>1</v>
      </c>
      <c r="E512" s="358" t="b">
        <v>0</v>
      </c>
      <c r="F512" s="358" t="b">
        <v>0</v>
      </c>
      <c r="G512" s="358" t="b">
        <v>0</v>
      </c>
      <c r="H512" s="358" t="b">
        <v>0</v>
      </c>
      <c r="I512" s="358">
        <v>1</v>
      </c>
      <c r="J512" s="358">
        <v>1</v>
      </c>
      <c r="K512" s="358" t="s">
        <v>485</v>
      </c>
      <c r="L512" s="358" t="s">
        <v>2015</v>
      </c>
    </row>
    <row r="513" spans="1:12" x14ac:dyDescent="0.2">
      <c r="A513" s="358" t="s">
        <v>2016</v>
      </c>
      <c r="B513" s="359" t="s">
        <v>2017</v>
      </c>
      <c r="C513" s="358" t="b">
        <v>1</v>
      </c>
      <c r="D513" s="358" t="b">
        <v>1</v>
      </c>
      <c r="E513" s="358" t="b">
        <v>0</v>
      </c>
      <c r="F513" s="358" t="b">
        <v>0</v>
      </c>
      <c r="G513" s="358" t="b">
        <v>0</v>
      </c>
      <c r="H513" s="358" t="b">
        <v>0</v>
      </c>
      <c r="I513" s="358">
        <v>1</v>
      </c>
      <c r="J513" s="358">
        <v>12</v>
      </c>
      <c r="K513" s="358" t="s">
        <v>485</v>
      </c>
      <c r="L513" s="358" t="s">
        <v>2018</v>
      </c>
    </row>
    <row r="514" spans="1:12" x14ac:dyDescent="0.2">
      <c r="A514" s="358" t="s">
        <v>2019</v>
      </c>
      <c r="B514" s="359" t="s">
        <v>2020</v>
      </c>
      <c r="C514" s="358" t="b">
        <v>1</v>
      </c>
      <c r="D514" s="358" t="b">
        <v>1</v>
      </c>
      <c r="E514" s="358" t="b">
        <v>0</v>
      </c>
      <c r="F514" s="358" t="b">
        <v>0</v>
      </c>
      <c r="G514" s="358" t="b">
        <v>0</v>
      </c>
      <c r="H514" s="358" t="b">
        <v>0</v>
      </c>
      <c r="I514" s="358">
        <v>1</v>
      </c>
      <c r="J514" s="358">
        <v>12</v>
      </c>
      <c r="K514" s="358" t="s">
        <v>485</v>
      </c>
      <c r="L514" s="358" t="s">
        <v>2021</v>
      </c>
    </row>
    <row r="515" spans="1:12" x14ac:dyDescent="0.2">
      <c r="A515" s="358" t="s">
        <v>338</v>
      </c>
      <c r="B515" s="359" t="s">
        <v>2022</v>
      </c>
      <c r="C515" s="358" t="b">
        <v>1</v>
      </c>
      <c r="D515" s="358" t="b">
        <v>0</v>
      </c>
      <c r="E515" s="358" t="b">
        <v>0</v>
      </c>
      <c r="F515" s="358" t="b">
        <v>0</v>
      </c>
      <c r="G515" s="358" t="b">
        <v>0</v>
      </c>
      <c r="H515" s="358" t="b">
        <v>0</v>
      </c>
      <c r="I515" s="358">
        <v>1</v>
      </c>
      <c r="J515" s="358">
        <v>1</v>
      </c>
      <c r="K515" s="358" t="s">
        <v>485</v>
      </c>
      <c r="L515" s="358" t="s">
        <v>2023</v>
      </c>
    </row>
    <row r="516" spans="1:12" x14ac:dyDescent="0.2">
      <c r="A516" s="358" t="s">
        <v>2024</v>
      </c>
      <c r="B516" s="359" t="s">
        <v>2025</v>
      </c>
      <c r="C516" s="358" t="b">
        <v>1</v>
      </c>
      <c r="D516" s="358" t="b">
        <v>0</v>
      </c>
      <c r="E516" s="358" t="b">
        <v>0</v>
      </c>
      <c r="F516" s="358" t="b">
        <v>0</v>
      </c>
      <c r="G516" s="358" t="b">
        <v>0</v>
      </c>
      <c r="H516" s="358" t="b">
        <v>0</v>
      </c>
      <c r="I516" s="358">
        <v>1</v>
      </c>
      <c r="J516" s="358">
        <v>12</v>
      </c>
      <c r="K516" s="358" t="s">
        <v>485</v>
      </c>
      <c r="L516" s="358" t="s">
        <v>2026</v>
      </c>
    </row>
    <row r="517" spans="1:12" x14ac:dyDescent="0.2">
      <c r="A517" s="358" t="s">
        <v>2027</v>
      </c>
      <c r="B517" s="359" t="s">
        <v>2028</v>
      </c>
      <c r="C517" s="358" t="b">
        <v>1</v>
      </c>
      <c r="D517" s="358" t="b">
        <v>0</v>
      </c>
      <c r="E517" s="358" t="b">
        <v>0</v>
      </c>
      <c r="F517" s="358" t="b">
        <v>0</v>
      </c>
      <c r="G517" s="358" t="b">
        <v>0</v>
      </c>
      <c r="H517" s="358" t="b">
        <v>0</v>
      </c>
      <c r="I517" s="358">
        <v>1</v>
      </c>
      <c r="J517" s="358">
        <v>12</v>
      </c>
      <c r="K517" s="358" t="s">
        <v>485</v>
      </c>
      <c r="L517" s="358" t="s">
        <v>2029</v>
      </c>
    </row>
    <row r="518" spans="1:12" x14ac:dyDescent="0.2">
      <c r="A518" s="358" t="s">
        <v>2030</v>
      </c>
      <c r="B518" s="359" t="s">
        <v>2031</v>
      </c>
      <c r="C518" s="358" t="b">
        <v>1</v>
      </c>
      <c r="D518" s="358" t="b">
        <v>0</v>
      </c>
      <c r="E518" s="358" t="b">
        <v>0</v>
      </c>
      <c r="F518" s="358" t="b">
        <v>0</v>
      </c>
      <c r="G518" s="358" t="b">
        <v>0</v>
      </c>
      <c r="H518" s="358" t="b">
        <v>0</v>
      </c>
      <c r="I518" s="358">
        <v>1</v>
      </c>
      <c r="J518" s="358">
        <v>12</v>
      </c>
      <c r="K518" s="358" t="s">
        <v>485</v>
      </c>
      <c r="L518" s="358" t="s">
        <v>2032</v>
      </c>
    </row>
    <row r="519" spans="1:12" x14ac:dyDescent="0.2">
      <c r="A519" s="358" t="s">
        <v>353</v>
      </c>
      <c r="B519" s="359" t="s">
        <v>2033</v>
      </c>
      <c r="C519" s="358" t="b">
        <v>1</v>
      </c>
      <c r="D519" s="358" t="b">
        <v>0</v>
      </c>
      <c r="E519" s="358" t="b">
        <v>0</v>
      </c>
      <c r="F519" s="358" t="b">
        <v>0</v>
      </c>
      <c r="G519" s="358" t="b">
        <v>0</v>
      </c>
      <c r="H519" s="358" t="b">
        <v>0</v>
      </c>
      <c r="I519" s="358">
        <v>1</v>
      </c>
      <c r="J519" s="358">
        <v>2</v>
      </c>
      <c r="K519" s="358" t="s">
        <v>485</v>
      </c>
      <c r="L519" s="358" t="s">
        <v>2034</v>
      </c>
    </row>
    <row r="520" spans="1:12" x14ac:dyDescent="0.2">
      <c r="A520" s="358" t="s">
        <v>357</v>
      </c>
      <c r="B520" s="359" t="s">
        <v>2035</v>
      </c>
      <c r="C520" s="358" t="b">
        <v>1</v>
      </c>
      <c r="D520" s="358" t="b">
        <v>0</v>
      </c>
      <c r="E520" s="358" t="b">
        <v>0</v>
      </c>
      <c r="F520" s="358" t="b">
        <v>0</v>
      </c>
      <c r="G520" s="358" t="b">
        <v>0</v>
      </c>
      <c r="H520" s="358" t="b">
        <v>0</v>
      </c>
      <c r="I520" s="358">
        <v>1</v>
      </c>
      <c r="J520" s="358">
        <v>6</v>
      </c>
      <c r="K520" s="358" t="s">
        <v>485</v>
      </c>
      <c r="L520" s="358" t="s">
        <v>2036</v>
      </c>
    </row>
    <row r="521" spans="1:12" x14ac:dyDescent="0.2">
      <c r="A521" s="358" t="s">
        <v>2037</v>
      </c>
      <c r="B521" s="359" t="s">
        <v>2038</v>
      </c>
      <c r="C521" s="358" t="b">
        <v>1</v>
      </c>
      <c r="D521" s="358" t="b">
        <v>0</v>
      </c>
      <c r="E521" s="358" t="b">
        <v>0</v>
      </c>
      <c r="F521" s="358" t="b">
        <v>0</v>
      </c>
      <c r="G521" s="358" t="b">
        <v>0</v>
      </c>
      <c r="H521" s="358" t="b">
        <v>0</v>
      </c>
      <c r="I521" s="358">
        <v>1</v>
      </c>
      <c r="J521" s="358">
        <v>4</v>
      </c>
      <c r="K521" s="358" t="s">
        <v>485</v>
      </c>
      <c r="L521" s="358" t="s">
        <v>2039</v>
      </c>
    </row>
    <row r="522" spans="1:12" x14ac:dyDescent="0.2">
      <c r="A522" s="358" t="s">
        <v>2040</v>
      </c>
      <c r="B522" s="359" t="s">
        <v>2041</v>
      </c>
      <c r="C522" s="358" t="b">
        <v>1</v>
      </c>
      <c r="D522" s="358" t="b">
        <v>0</v>
      </c>
      <c r="E522" s="358" t="b">
        <v>0</v>
      </c>
      <c r="F522" s="358" t="b">
        <v>0</v>
      </c>
      <c r="G522" s="358" t="b">
        <v>0</v>
      </c>
      <c r="H522" s="358" t="b">
        <v>0</v>
      </c>
      <c r="I522" s="358">
        <v>1</v>
      </c>
      <c r="J522" s="358">
        <v>28</v>
      </c>
      <c r="K522" s="358" t="s">
        <v>485</v>
      </c>
      <c r="L522" s="358" t="s">
        <v>2042</v>
      </c>
    </row>
    <row r="523" spans="1:12" x14ac:dyDescent="0.2">
      <c r="A523" s="358" t="s">
        <v>362</v>
      </c>
      <c r="B523" s="359" t="s">
        <v>2043</v>
      </c>
      <c r="C523" s="358" t="b">
        <v>1</v>
      </c>
      <c r="D523" s="358" t="b">
        <v>0</v>
      </c>
      <c r="E523" s="358" t="b">
        <v>0</v>
      </c>
      <c r="F523" s="358" t="b">
        <v>0</v>
      </c>
      <c r="G523" s="358" t="b">
        <v>0</v>
      </c>
      <c r="H523" s="358" t="b">
        <v>0</v>
      </c>
      <c r="I523" s="358">
        <v>1</v>
      </c>
      <c r="J523" s="358">
        <v>2</v>
      </c>
      <c r="K523" s="358" t="s">
        <v>485</v>
      </c>
      <c r="L523" s="358" t="s">
        <v>2044</v>
      </c>
    </row>
    <row r="524" spans="1:12" x14ac:dyDescent="0.2">
      <c r="A524" s="358" t="s">
        <v>368</v>
      </c>
      <c r="B524" s="359" t="s">
        <v>2045</v>
      </c>
      <c r="C524" s="358" t="b">
        <v>1</v>
      </c>
      <c r="D524" s="358" t="b">
        <v>0</v>
      </c>
      <c r="E524" s="358" t="b">
        <v>0</v>
      </c>
      <c r="F524" s="358" t="b">
        <v>0</v>
      </c>
      <c r="G524" s="358" t="b">
        <v>0</v>
      </c>
      <c r="H524" s="358" t="b">
        <v>0</v>
      </c>
      <c r="I524" s="358">
        <v>1</v>
      </c>
      <c r="J524" s="358">
        <v>21</v>
      </c>
      <c r="K524" s="358" t="s">
        <v>485</v>
      </c>
      <c r="L524" s="358" t="s">
        <v>2046</v>
      </c>
    </row>
    <row r="525" spans="1:12" x14ac:dyDescent="0.2">
      <c r="A525" s="358" t="s">
        <v>369</v>
      </c>
      <c r="B525" s="359" t="s">
        <v>2047</v>
      </c>
      <c r="C525" s="358" t="b">
        <v>1</v>
      </c>
      <c r="D525" s="358" t="b">
        <v>0</v>
      </c>
      <c r="E525" s="358" t="b">
        <v>0</v>
      </c>
      <c r="F525" s="358" t="b">
        <v>0</v>
      </c>
      <c r="G525" s="358" t="b">
        <v>0</v>
      </c>
      <c r="H525" s="358" t="b">
        <v>0</v>
      </c>
      <c r="I525" s="358">
        <v>1</v>
      </c>
      <c r="J525" s="358">
        <v>21</v>
      </c>
      <c r="K525" s="358" t="s">
        <v>485</v>
      </c>
      <c r="L525" s="358" t="s">
        <v>2048</v>
      </c>
    </row>
    <row r="526" spans="1:12" x14ac:dyDescent="0.2">
      <c r="A526" s="358" t="s">
        <v>370</v>
      </c>
      <c r="B526" s="359" t="s">
        <v>2049</v>
      </c>
      <c r="C526" s="358" t="b">
        <v>1</v>
      </c>
      <c r="D526" s="358" t="b">
        <v>0</v>
      </c>
      <c r="E526" s="358" t="b">
        <v>0</v>
      </c>
      <c r="F526" s="358" t="b">
        <v>0</v>
      </c>
      <c r="G526" s="358" t="b">
        <v>0</v>
      </c>
      <c r="H526" s="358" t="b">
        <v>0</v>
      </c>
      <c r="I526" s="358">
        <v>1</v>
      </c>
      <c r="J526" s="358">
        <v>49</v>
      </c>
      <c r="K526" s="358" t="s">
        <v>485</v>
      </c>
      <c r="L526" s="358" t="s">
        <v>2050</v>
      </c>
    </row>
    <row r="527" spans="1:12" x14ac:dyDescent="0.2">
      <c r="A527" s="358" t="s">
        <v>371</v>
      </c>
      <c r="B527" s="359" t="s">
        <v>2051</v>
      </c>
      <c r="C527" s="358" t="b">
        <v>1</v>
      </c>
      <c r="D527" s="358" t="b">
        <v>0</v>
      </c>
      <c r="E527" s="358" t="b">
        <v>0</v>
      </c>
      <c r="F527" s="358" t="b">
        <v>0</v>
      </c>
      <c r="G527" s="358" t="b">
        <v>0</v>
      </c>
      <c r="H527" s="358" t="b">
        <v>0</v>
      </c>
      <c r="I527" s="358">
        <v>1</v>
      </c>
      <c r="J527" s="358">
        <v>36</v>
      </c>
      <c r="K527" s="358" t="s">
        <v>485</v>
      </c>
      <c r="L527" s="358" t="s">
        <v>2052</v>
      </c>
    </row>
    <row r="528" spans="1:12" x14ac:dyDescent="0.2">
      <c r="A528" s="358" t="s">
        <v>375</v>
      </c>
      <c r="B528" s="359" t="s">
        <v>2053</v>
      </c>
      <c r="C528" s="358" t="b">
        <v>1</v>
      </c>
      <c r="D528" s="358" t="b">
        <v>0</v>
      </c>
      <c r="E528" s="358" t="b">
        <v>0</v>
      </c>
      <c r="F528" s="358" t="b">
        <v>0</v>
      </c>
      <c r="G528" s="358" t="b">
        <v>0</v>
      </c>
      <c r="H528" s="358" t="b">
        <v>0</v>
      </c>
      <c r="I528" s="358">
        <v>1</v>
      </c>
      <c r="J528" s="358">
        <v>3</v>
      </c>
      <c r="K528" s="358" t="s">
        <v>485</v>
      </c>
      <c r="L528" s="358" t="s">
        <v>2054</v>
      </c>
    </row>
    <row r="529" spans="1:12" x14ac:dyDescent="0.2">
      <c r="A529" s="358" t="s">
        <v>354</v>
      </c>
      <c r="B529" s="359" t="s">
        <v>2055</v>
      </c>
      <c r="C529" s="358" t="b">
        <v>1</v>
      </c>
      <c r="D529" s="358" t="b">
        <v>0</v>
      </c>
      <c r="E529" s="358" t="b">
        <v>0</v>
      </c>
      <c r="F529" s="358" t="b">
        <v>0</v>
      </c>
      <c r="G529" s="358" t="b">
        <v>0</v>
      </c>
      <c r="H529" s="358" t="b">
        <v>0</v>
      </c>
      <c r="I529" s="358">
        <v>1</v>
      </c>
      <c r="J529" s="358">
        <v>3</v>
      </c>
      <c r="K529" s="358" t="s">
        <v>485</v>
      </c>
      <c r="L529" s="358" t="s">
        <v>2056</v>
      </c>
    </row>
    <row r="530" spans="1:12" x14ac:dyDescent="0.2">
      <c r="A530" s="358" t="s">
        <v>363</v>
      </c>
      <c r="B530" s="359" t="s">
        <v>2057</v>
      </c>
      <c r="C530" s="358" t="b">
        <v>1</v>
      </c>
      <c r="D530" s="358" t="b">
        <v>0</v>
      </c>
      <c r="E530" s="358" t="b">
        <v>0</v>
      </c>
      <c r="F530" s="358" t="b">
        <v>0</v>
      </c>
      <c r="G530" s="358" t="b">
        <v>0</v>
      </c>
      <c r="H530" s="358" t="b">
        <v>0</v>
      </c>
      <c r="I530" s="358">
        <v>1</v>
      </c>
      <c r="J530" s="358">
        <v>2</v>
      </c>
      <c r="K530" s="358" t="s">
        <v>485</v>
      </c>
      <c r="L530" s="358" t="s">
        <v>2058</v>
      </c>
    </row>
    <row r="531" spans="1:12" x14ac:dyDescent="0.2">
      <c r="A531" s="358" t="s">
        <v>376</v>
      </c>
      <c r="B531" s="359" t="s">
        <v>2059</v>
      </c>
      <c r="C531" s="358" t="b">
        <v>1</v>
      </c>
      <c r="D531" s="358" t="b">
        <v>0</v>
      </c>
      <c r="E531" s="358" t="b">
        <v>0</v>
      </c>
      <c r="F531" s="358" t="b">
        <v>0</v>
      </c>
      <c r="G531" s="358" t="b">
        <v>0</v>
      </c>
      <c r="H531" s="358" t="b">
        <v>0</v>
      </c>
      <c r="I531" s="358">
        <v>1</v>
      </c>
      <c r="J531" s="358">
        <v>1</v>
      </c>
      <c r="K531" s="358" t="s">
        <v>485</v>
      </c>
      <c r="L531" s="358" t="s">
        <v>2060</v>
      </c>
    </row>
    <row r="532" spans="1:12" x14ac:dyDescent="0.2">
      <c r="A532" s="358" t="s">
        <v>355</v>
      </c>
      <c r="B532" s="359" t="s">
        <v>2061</v>
      </c>
      <c r="C532" s="358" t="b">
        <v>1</v>
      </c>
      <c r="D532" s="358" t="b">
        <v>0</v>
      </c>
      <c r="E532" s="358" t="b">
        <v>0</v>
      </c>
      <c r="F532" s="358" t="b">
        <v>0</v>
      </c>
      <c r="G532" s="358" t="b">
        <v>0</v>
      </c>
      <c r="H532" s="358" t="b">
        <v>0</v>
      </c>
      <c r="I532" s="358">
        <v>1</v>
      </c>
      <c r="J532" s="358">
        <v>2</v>
      </c>
      <c r="K532" s="358" t="s">
        <v>485</v>
      </c>
      <c r="L532" s="358" t="s">
        <v>2062</v>
      </c>
    </row>
    <row r="533" spans="1:12" x14ac:dyDescent="0.2">
      <c r="A533" s="358" t="s">
        <v>364</v>
      </c>
      <c r="B533" s="359" t="s">
        <v>2063</v>
      </c>
      <c r="C533" s="358" t="b">
        <v>1</v>
      </c>
      <c r="D533" s="358" t="b">
        <v>0</v>
      </c>
      <c r="E533" s="358" t="b">
        <v>0</v>
      </c>
      <c r="F533" s="358" t="b">
        <v>0</v>
      </c>
      <c r="G533" s="358" t="b">
        <v>0</v>
      </c>
      <c r="H533" s="358" t="b">
        <v>0</v>
      </c>
      <c r="I533" s="358">
        <v>1</v>
      </c>
      <c r="J533" s="358">
        <v>6</v>
      </c>
      <c r="K533" s="358" t="s">
        <v>485</v>
      </c>
      <c r="L533" s="358" t="s">
        <v>2064</v>
      </c>
    </row>
  </sheetData>
  <sheetProtection sheet="1" objects="1" scenarios="1"/>
  <autoFilter ref="A1:L533" xr:uid="{00000000-0009-0000-0000-000012000000}">
    <sortState xmlns:xlrd2="http://schemas.microsoft.com/office/spreadsheetml/2017/richdata2" ref="A2:L534">
      <sortCondition ref="B1:B534"/>
    </sortState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136</vt:i4>
      </vt:variant>
    </vt:vector>
  </HeadingPairs>
  <TitlesOfParts>
    <vt:vector size="151" baseType="lpstr">
      <vt:lpstr>Setup</vt:lpstr>
      <vt:lpstr>DriftBuffers</vt:lpstr>
      <vt:lpstr>Runoff</vt:lpstr>
      <vt:lpstr>Mitigation details</vt:lpstr>
      <vt:lpstr>Crops</vt:lpstr>
      <vt:lpstr>Template</vt:lpstr>
      <vt:lpstr>main</vt:lpstr>
      <vt:lpstr>vd</vt:lpstr>
      <vt:lpstr>vd_24h_FOCUS</vt:lpstr>
      <vt:lpstr>drift_data</vt:lpstr>
      <vt:lpstr>vd_data</vt:lpstr>
      <vt:lpstr>applic_data</vt:lpstr>
      <vt:lpstr>report_table_data</vt:lpstr>
      <vt:lpstr>revision_table</vt:lpstr>
      <vt:lpstr>list_names</vt:lpstr>
      <vt:lpstr>act_applic_rate</vt:lpstr>
      <vt:lpstr>act_factor</vt:lpstr>
      <vt:lpstr>act_interval_applic</vt:lpstr>
      <vt:lpstr>main!active_substance_product</vt:lpstr>
      <vt:lpstr>applic_rate</vt:lpstr>
      <vt:lpstr>applic_rate_unit</vt:lpstr>
      <vt:lpstr>applic_rate_vd</vt:lpstr>
      <vt:lpstr>applic_rate1</vt:lpstr>
      <vt:lpstr>vd!cf_interc_study</vt:lpstr>
      <vt:lpstr>vd_data!col_zero</vt:lpstr>
      <vt:lpstr>compartment</vt:lpstr>
      <vt:lpstr>vd!crit_drift_scenario</vt:lpstr>
      <vt:lpstr>vd!crop_interc_study</vt:lpstr>
      <vt:lpstr>vd!crop_interception</vt:lpstr>
      <vt:lpstr>applic_data!deg_amount_applic</vt:lpstr>
      <vt:lpstr>vd_data!dep_5m</vt:lpstr>
      <vt:lpstr>vd_data!dep_5m_perc</vt:lpstr>
      <vt:lpstr>vd_24h_FOCUS!dep_unit</vt:lpstr>
      <vt:lpstr>dist_matrix_final</vt:lpstr>
      <vt:lpstr>vd_data!drift_loss</vt:lpstr>
      <vt:lpstr>drift_red_index</vt:lpstr>
      <vt:lpstr>drift_scenario_01m</vt:lpstr>
      <vt:lpstr>dt50_act_red</vt:lpstr>
      <vt:lpstr>main!dt50_select_aqua</vt:lpstr>
      <vt:lpstr>main!dt50_select_terr</vt:lpstr>
      <vt:lpstr>main!dt50_type</vt:lpstr>
      <vt:lpstr>dt50_value</vt:lpstr>
      <vt:lpstr>main!dt50_value_aqua</vt:lpstr>
      <vt:lpstr>main!dt50_value_terr</vt:lpstr>
      <vt:lpstr>factor</vt:lpstr>
      <vt:lpstr>factor1</vt:lpstr>
      <vt:lpstr>grnhouse_amount</vt:lpstr>
      <vt:lpstr>grnhouse_area</vt:lpstr>
      <vt:lpstr>vd!grnhouse_area_default</vt:lpstr>
      <vt:lpstr>vd!grnhouse_area_user</vt:lpstr>
      <vt:lpstr>vd_data!grnhouse_dep_01m</vt:lpstr>
      <vt:lpstr>vd_data!grnhouse_dep_05m</vt:lpstr>
      <vt:lpstr>vd_data!grnhouse_dep_10m</vt:lpstr>
      <vt:lpstr>vd_data!grnhouse_dep_15m</vt:lpstr>
      <vt:lpstr>vd_data!grnhouse_dep_20m</vt:lpstr>
      <vt:lpstr>grnhouse_exchange</vt:lpstr>
      <vt:lpstr>vd!grnhouse_exchange_default</vt:lpstr>
      <vt:lpstr>vd!grnhouse_exchange_user</vt:lpstr>
      <vt:lpstr>vd_data!grnhouse_f_air</vt:lpstr>
      <vt:lpstr>vd_data!grnhouse_q_em</vt:lpstr>
      <vt:lpstr>vd_data!grnhouse_q_em_act</vt:lpstr>
      <vt:lpstr>grnhouse_vol</vt:lpstr>
      <vt:lpstr>vd!grnhouse_vol_default</vt:lpstr>
      <vt:lpstr>vd!grnhouse_vol_user</vt:lpstr>
      <vt:lpstr>vd_data!integration_factor</vt:lpstr>
      <vt:lpstr>main!intended_use</vt:lpstr>
      <vt:lpstr>interval_applic</vt:lpstr>
      <vt:lpstr>interval_applic1</vt:lpstr>
      <vt:lpstr>k_deg</vt:lpstr>
      <vt:lpstr>applic_data!k_deg_copy</vt:lpstr>
      <vt:lpstr>vd_data!k_deg_hour</vt:lpstr>
      <vt:lpstr>drift_data!lower_bd_perc</vt:lpstr>
      <vt:lpstr>MAF_crit</vt:lpstr>
      <vt:lpstr>drift_data!MAF_crit_perc</vt:lpstr>
      <vt:lpstr>matrix_rate_PEC_aqua_sed</vt:lpstr>
      <vt:lpstr>matrix_rate_PEC_aqua_wat</vt:lpstr>
      <vt:lpstr>matrix_rate_PEC_terr_</vt:lpstr>
      <vt:lpstr>matrix_restriction</vt:lpstr>
      <vt:lpstr>vd!merged_cells</vt:lpstr>
      <vt:lpstr>mult_applic</vt:lpstr>
      <vt:lpstr>no_applic</vt:lpstr>
      <vt:lpstr>parameter</vt:lpstr>
      <vt:lpstr>applic_data!peak_amount_applic</vt:lpstr>
      <vt:lpstr>PEC_matrix_final</vt:lpstr>
      <vt:lpstr>PEC_unit</vt:lpstr>
      <vt:lpstr>prod_density</vt:lpstr>
      <vt:lpstr>vd_24h_FOCUS!rate_dep_factor</vt:lpstr>
      <vt:lpstr>main!reg_accept_conc</vt:lpstr>
      <vt:lpstr>main!rel_effect_value</vt:lpstr>
      <vt:lpstr>main!rel_HQ_criterion</vt:lpstr>
      <vt:lpstr>main!rel_TER_criterion</vt:lpstr>
      <vt:lpstr>main!report_doc</vt:lpstr>
      <vt:lpstr>report_table_content</vt:lpstr>
      <vt:lpstr>report_table_type</vt:lpstr>
      <vt:lpstr>main!risk_desc_type</vt:lpstr>
      <vt:lpstr>main!scenario_factor</vt:lpstr>
      <vt:lpstr>select_applic_rate_unit</vt:lpstr>
      <vt:lpstr>select_exp</vt:lpstr>
      <vt:lpstr>select_int</vt:lpstr>
      <vt:lpstr>main!select_parameter</vt:lpstr>
      <vt:lpstr>select_PEC_aqua_sed</vt:lpstr>
      <vt:lpstr>select_PEC_aqua_wat</vt:lpstr>
      <vt:lpstr>select_PEC_terr_</vt:lpstr>
      <vt:lpstr>select_perc_type</vt:lpstr>
      <vt:lpstr>vd!select_vd_applic_crit</vt:lpstr>
      <vt:lpstr>select_vd_applic_eff</vt:lpstr>
      <vt:lpstr>select_vd_applic_res</vt:lpstr>
      <vt:lpstr>select_vdf</vt:lpstr>
      <vt:lpstr>main!TER_final_01m</vt:lpstr>
      <vt:lpstr>main!TER_final_05m</vt:lpstr>
      <vt:lpstr>main!TER_final_10m</vt:lpstr>
      <vt:lpstr>main!TER_final_15m</vt:lpstr>
      <vt:lpstr>main!TER_final_20m</vt:lpstr>
      <vt:lpstr>main!TER_matrix_final</vt:lpstr>
      <vt:lpstr>twa_int_value</vt:lpstr>
      <vt:lpstr>drift_data!upper_bd_perc</vt:lpstr>
      <vt:lpstr>drift_data!upplow_bd_perc</vt:lpstr>
      <vt:lpstr>vapour_pressure_20</vt:lpstr>
      <vt:lpstr>vapour_pressure_meas</vt:lpstr>
      <vt:lpstr>vapour_pressure_temp</vt:lpstr>
      <vt:lpstr>vd_applic_crit</vt:lpstr>
      <vt:lpstr>vd_data!vd_dynamics_arable</vt:lpstr>
      <vt:lpstr>vd_data!vd_dynamics_high</vt:lpstr>
      <vt:lpstr>vd_data!vd_dynamics_time</vt:lpstr>
      <vt:lpstr>vd_limit_wat_sol</vt:lpstr>
      <vt:lpstr>vd_perc_final_01m</vt:lpstr>
      <vt:lpstr>vd_perc_final_05m</vt:lpstr>
      <vt:lpstr>vd_perc_final_10m</vt:lpstr>
      <vt:lpstr>vd_perc_final_15m</vt:lpstr>
      <vt:lpstr>vd_perc_final_20m</vt:lpstr>
      <vt:lpstr>vd_percent_01m</vt:lpstr>
      <vt:lpstr>vd_percent_05m</vt:lpstr>
      <vt:lpstr>vd_percent_10m</vt:lpstr>
      <vt:lpstr>vd_percent_15m</vt:lpstr>
      <vt:lpstr>vd_percent_20m</vt:lpstr>
      <vt:lpstr>vd!vd_percent_calc</vt:lpstr>
      <vt:lpstr>vd!vd_percent_meas</vt:lpstr>
      <vt:lpstr>vd_rate_final</vt:lpstr>
      <vt:lpstr>vd_rate_final_01m</vt:lpstr>
      <vt:lpstr>vd_rate_final_05m</vt:lpstr>
      <vt:lpstr>vd_rate_final_10m</vt:lpstr>
      <vt:lpstr>vd_rate_final_15m</vt:lpstr>
      <vt:lpstr>vd_rate_final_20m</vt:lpstr>
      <vt:lpstr>main!vd_rate_select</vt:lpstr>
      <vt:lpstr>vd!vd_rate_select</vt:lpstr>
      <vt:lpstr>vd_data!volatility_class</vt:lpstr>
      <vt:lpstr>volatility_class_def</vt:lpstr>
      <vt:lpstr>water_solubility_20</vt:lpstr>
      <vt:lpstr>water_solubility_20_sed</vt:lpstr>
      <vt:lpstr>water_solubility_meas</vt:lpstr>
      <vt:lpstr>water_solubility_temp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Ford, Simon</dc:creator>
  <cp:lastModifiedBy>Simon Ford</cp:lastModifiedBy>
  <dcterms:created xsi:type="dcterms:W3CDTF">2019-11-18T09:35:47Z</dcterms:created>
  <dcterms:modified xsi:type="dcterms:W3CDTF">2025-04-09T10:51:13Z</dcterms:modified>
</cp:coreProperties>
</file>